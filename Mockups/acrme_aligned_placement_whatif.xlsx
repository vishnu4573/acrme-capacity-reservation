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Request" sheetId="3" state="visible" r:id="rId3"/>
    <sheet xmlns:r="http://schemas.openxmlformats.org/officeDocument/2006/relationships" name="Policy" sheetId="4" state="visible" r:id="rId4"/>
    <sheet xmlns:r="http://schemas.openxmlformats.org/officeDocument/2006/relationships" name="Region_Catalogue" sheetId="5" state="visible" r:id="rId5"/>
    <sheet xmlns:r="http://schemas.openxmlformats.org/officeDocument/2006/relationships" name="SKU_Catalogue" sheetId="6" state="visible" r:id="rId6"/>
    <sheet xmlns:r="http://schemas.openxmlformats.org/officeDocument/2006/relationships" name="Capacity_Reservations" sheetId="7" state="visible" r:id="rId7"/>
    <sheet xmlns:r="http://schemas.openxmlformats.org/officeDocument/2006/relationships" name="Quota_Groups" sheetId="8" state="visible" r:id="rId8"/>
    <sheet xmlns:r="http://schemas.openxmlformats.org/officeDocument/2006/relationships" name="Line_Check" sheetId="9" state="visible" r:id="rId9"/>
    <sheet xmlns:r="http://schemas.openxmlformats.org/officeDocument/2006/relationships" name="Score_Prod" sheetId="10" state="visible" r:id="rId10"/>
    <sheet xmlns:r="http://schemas.openxmlformats.org/officeDocument/2006/relationships" name="Score_CVAL" sheetId="11" state="visible" r:id="rId11"/>
    <sheet xmlns:r="http://schemas.openxmlformats.org/officeDocument/2006/relationships" name="Score_DR" sheetId="12" state="visible" r:id="rId12"/>
    <sheet xmlns:r="http://schemas.openxmlformats.org/officeDocument/2006/relationships" name="Allocation" sheetId="13" state="visible" r:id="rId13"/>
    <sheet xmlns:r="http://schemas.openxmlformats.org/officeDocument/2006/relationships" name="Post_Allocation" sheetId="14" state="visible" r:id="rId14"/>
    <sheet xmlns:r="http://schemas.openxmlformats.org/officeDocument/2006/relationships" name="Quota_After" sheetId="15" state="visible" r:id="rId15"/>
  </sheets>
  <definedNames>
    <definedName name="_xlnm._FilterDatabase" localSheetId="2" hidden="1">'Request'!$A$12:$G$20</definedName>
    <definedName name="_xlnm._FilterDatabase" localSheetId="4" hidden="1">'Region_Catalogue'!$A$4:$J$18</definedName>
    <definedName name="_xlnm._FilterDatabase" localSheetId="5" hidden="1">'SKU_Catalogue'!$A$4:$E$12</definedName>
    <definedName name="_xlnm._FilterDatabase" localSheetId="6" hidden="1">'Capacity_Reservations'!$A$4:$N$340</definedName>
    <definedName name="_xlnm._FilterDatabase" localSheetId="7" hidden="1">'Quota_Groups'!$A$4:$P$60</definedName>
    <definedName name="_xlnm._FilterDatabase" localSheetId="8" hidden="1">'Line_Check'!$A$4:$DA$18</definedName>
    <definedName name="_xlnm._FilterDatabase" localSheetId="9" hidden="1">'Score_Prod'!$A$4:$AC$18</definedName>
    <definedName name="_xlnm._FilterDatabase" localSheetId="10" hidden="1">'Score_CVAL'!$A$4:$AC$18</definedName>
    <definedName name="_xlnm._FilterDatabase" localSheetId="11" hidden="1">'Score_DR'!$A$4:$AC$18</definedName>
    <definedName name="_xlnm._FilterDatabase" localSheetId="13" hidden="1">'Post_Allocation'!$A$4:$P$340</definedName>
    <definedName name="_xlnm._FilterDatabase" localSheetId="14" hidden="1">'Quota_After'!$A$4:$K$60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2"/>
    </font>
    <font>
      <b val="1"/>
    </font>
    <font>
      <color rgb="00595959"/>
      <sz val="9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6E0F0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0" borderId="0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vertical="top" wrapText="1"/>
    </xf>
    <xf numFmtId="2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7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2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" fontId="0" fillId="6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 wrapText="1"/>
    </xf>
    <xf numFmtId="1" fontId="0" fillId="8" borderId="1" applyAlignment="1" pivotButton="0" quotePrefix="0" xfId="0">
      <alignment horizontal="center" vertical="center" wrapText="1"/>
    </xf>
    <xf numFmtId="9" fontId="0" fillId="8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CE4D6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ACRME aligned placement what-if</t>
        </is>
      </c>
    </row>
    <row r="2" ht="18" customHeight="1">
      <c r="A2" s="2" t="inlineStr">
        <is>
          <t>Mock planning workbook. Figures are synthetic. Nothing here is live Azure state.</t>
        </is>
      </c>
    </row>
    <row r="3" ht="18" customHeight="1">
      <c r="A3" s="2" t="inlineStr"/>
    </row>
    <row r="4" ht="18" customHeight="1">
      <c r="A4" s="2" t="inlineStr">
        <is>
          <t>What you do</t>
        </is>
      </c>
    </row>
    <row r="5" ht="18" customHeight="1">
      <c r="A5" s="2" t="inlineStr">
        <is>
          <t>1. On Request, set Geography and Customer ID. Enter up to 8 SKU lines (SKU and VM count).</t>
        </is>
      </c>
    </row>
    <row r="6" ht="32" customHeight="1">
      <c r="A6" s="2" t="inlineStr">
        <is>
          <t>2. Prod region is the normal input (PLC-001). Type a region id, including a Restricted region when the customer named it.</t>
        </is>
      </c>
    </row>
    <row r="7" ht="18" customHeight="1">
      <c r="A7" s="2" t="inlineStr">
        <is>
          <t>3. Leave Prod region blank only when Geography-only selection is an approved exception (PLC-002). Set that flag to Y.</t>
        </is>
      </c>
    </row>
    <row r="8" ht="18" customHeight="1">
      <c r="A8" s="2" t="inlineStr">
        <is>
          <t>4. Set DR offered to N to record DR_NOT_OFFERED for this customer (DR-014).</t>
        </is>
      </c>
    </row>
    <row r="9" ht="18" customHeight="1">
      <c r="A9" s="2" t="inlineStr">
        <is>
          <t>5. Read Calculations for the formulas behind region selection and the availability gates.</t>
        </is>
      </c>
    </row>
    <row r="10" ht="32" customHeight="1">
      <c r="A10" s="2" t="inlineStr">
        <is>
          <t>6. Read Allocation. If the placement is READY or READY_WITH_RISK, Post_Allocation and Quota_After show the estate after that placement.</t>
        </is>
      </c>
    </row>
    <row r="11" ht="18" customHeight="1">
      <c r="A11" s="2" t="inlineStr"/>
    </row>
    <row r="12" ht="18" customHeight="1">
      <c r="A12" s="2" t="inlineStr">
        <is>
          <t>How a region is chosen</t>
        </is>
      </c>
    </row>
    <row r="13" ht="18" customHeight="1">
      <c r="A13" s="2" t="inlineStr">
        <is>
          <t>Order is Prod, then CVAL, then DR. A region that fails a hard gate is not scored.</t>
        </is>
      </c>
    </row>
    <row r="14" ht="18" customHeight="1">
      <c r="A14" s="2" t="inlineStr">
        <is>
          <t>US (3-region): Prod, CVAL, and DR are three different Standard regions, unless that geography's co-host flag is Y.</t>
        </is>
      </c>
    </row>
    <row r="15" ht="32" customHeight="1">
      <c r="A15" s="2" t="inlineStr">
        <is>
          <t>Co-host DR with CVAL is a Policy column, not a model change. Y places DR on the CVAL region even when other Standard regions remain. The model text stays 3-region. HC-2, HC-3, HC-5, HC-7, HC-8, and HC-9 still apply to that DR region. HC-6 stays limited to a 2-region model, so this rule does not add the combined DR+NonProd floor.</t>
        </is>
      </c>
    </row>
    <row r="16" ht="32" customHeight="1">
      <c r="A16" s="2" t="inlineStr">
        <is>
          <t>EU, Australia, Asia Pacific (2-region): Prod takes one Standard region. CVAL and DR co-locate in the other (PLC-010a). HC-6 checks the combined DR + NonProd free pool.</t>
        </is>
      </c>
    </row>
    <row r="17" ht="32" customHeight="1">
      <c r="A17" s="2" t="inlineStr">
        <is>
          <t>Middle East (cross-geo): Prod and CVAL co-locate in one Middle East region on separate reservations. DR is scored across Europe Standard regions (PLC-010b, DR-020). Local DR quantity is zero.</t>
        </is>
      </c>
    </row>
    <row r="18" ht="32" customHeight="1">
      <c r="A18" s="2" t="inlineStr">
        <is>
          <t>Restricted regions (East US 2, North Europe, West Europe) are not auto-selected. They are eligible only when Request names them as Prod.</t>
        </is>
      </c>
    </row>
    <row r="19" ht="18" customHeight="1">
      <c r="A19" s="2" t="inlineStr"/>
    </row>
    <row r="20" ht="18" customHeight="1">
      <c r="A20" s="2" t="inlineStr">
        <is>
          <t>Score (walkthrough §3.3)</t>
        </is>
      </c>
    </row>
    <row r="21" ht="18" customHeight="1">
      <c r="A21" s="2" t="inlineStr">
        <is>
          <t>PS = 0.30α + 0.20β + 0.25γ + 0.15δ + 0.10ε. Weights are editable and must sum to 1.</t>
        </is>
      </c>
    </row>
    <row r="22" ht="18" customHeight="1">
      <c r="A22" s="2" t="inlineStr">
        <is>
          <t>Components are the minimum across the active SKU lines (one thin SKU binds the region).</t>
        </is>
      </c>
    </row>
    <row r="23" ht="18" customHeight="1">
      <c r="A23" s="2" t="inlineStr">
        <is>
          <t>α Prod = NonProd reserved-free ÷ Prod reserved. α CVAL = NonProd free ÷ NonProd reserved. α DR = DR free ÷ DR reserved.</t>
        </is>
      </c>
    </row>
    <row r="24" ht="18" customHeight="1">
      <c r="A24" s="2" t="inlineStr">
        <is>
          <t>β = family quota available ÷ family quota limit.</t>
        </is>
      </c>
    </row>
    <row r="25" ht="32" customHeight="1">
      <c r="A25" s="2" t="inlineStr">
        <is>
          <t>γ = 1 − customers in the region ÷ total_customers(g), the live count of customers in the region's geography (PLC-012, A.10). γ = 1 when that count is zero.</t>
        </is>
      </c>
    </row>
    <row r="26" ht="18" customHeight="1">
      <c r="A26" s="2" t="inlineStr">
        <is>
          <t>δ Prod = DR coverage ratio. δ CVAL repeats α. That duplicate is the documented design of record, not a new metric.</t>
        </is>
      </c>
    </row>
    <row r="27" ht="18" customHeight="1">
      <c r="A27" s="2" t="inlineStr">
        <is>
          <t>δ DR = coverage ÷ the bootstrap fraction, clamped to 1.</t>
        </is>
      </c>
    </row>
    <row r="28" ht="18" customHeight="1">
      <c r="A28" s="2" t="inlineStr">
        <is>
          <t>ε = availability-zone count ÷ 3.</t>
        </is>
      </c>
    </row>
    <row r="29" ht="18" customHeight="1">
      <c r="A29" s="2" t="inlineStr">
        <is>
          <t>A score tie goes to the earlier region in the Section 6 catalogue.</t>
        </is>
      </c>
    </row>
    <row r="30" ht="18" customHeight="1">
      <c r="A30" s="2" t="inlineStr"/>
    </row>
    <row r="31" ht="18" customHeight="1">
      <c r="A31" s="2" t="inlineStr">
        <is>
          <t>Gates</t>
        </is>
      </c>
    </row>
    <row r="32" ht="32" customHeight="1">
      <c r="A32" s="2" t="inlineStr">
        <is>
          <t>HC-2 capacity floor: reserved-free ≥ multiplier × requested cores. The multiplier is policy. This file ships at 1 so the sample fits; the reference write-up uses 2.</t>
        </is>
      </c>
    </row>
    <row r="33" ht="32" customHeight="1">
      <c r="A33" s="2" t="inlineStr">
        <is>
          <t>HC-3 quota floor: the lesser of family quota available and regional vCPU available can absorb the request and still leave the configured remainder.</t>
        </is>
      </c>
    </row>
    <row r="34" ht="18" customHeight="1">
      <c r="A34" s="2" t="inlineStr">
        <is>
          <t>HC-5: region has at least 2 availability zones.</t>
        </is>
      </c>
    </row>
    <row r="35" ht="32" customHeight="1">
      <c r="A35" s="2" t="inlineStr">
        <is>
          <t>HC-6: applied on DR only when the model is 2-region. DR free + NonProd free ≥ this customer's DR bootstrap. The co-host flag does not turn this gate on.</t>
        </is>
      </c>
    </row>
    <row r="36" ht="18" customHeight="1">
      <c r="A36" s="2" t="inlineStr">
        <is>
          <t>HC-7: applied on CVAL. NonProd headroom after Prod and DR earmarks must cover the request.</t>
        </is>
      </c>
    </row>
    <row r="37" ht="32" customHeight="1">
      <c r="A37" s="2" t="inlineStr">
        <is>
          <t>HC-8: Prod and CVAL stay in the requested geography. DR stays in that geography, or in Europe when the request is Middle East.</t>
        </is>
      </c>
    </row>
    <row r="38" ht="18" customHeight="1">
      <c r="A38" s="2" t="inlineStr">
        <is>
          <t>HC-9: Standard regions, or the explicit Prod region even when it is Restricted.</t>
        </is>
      </c>
    </row>
    <row r="39" ht="32" customHeight="1">
      <c r="A39" s="2" t="inlineStr">
        <is>
          <t>HC-4: DR region is a different region from Prod. Middle East DR must be in Europe. The full HIGH/MEDIUM pair matrix is not in the baseline catalogue, so it is not encoded.</t>
        </is>
      </c>
    </row>
    <row r="40" ht="32" customHeight="1">
      <c r="A40" s="2" t="inlineStr">
        <is>
          <t>Group availability for a line is MIN(reserved-free for that SKU and environment, family quota available, regional vCPU available). Every active line must clear it.</t>
        </is>
      </c>
    </row>
    <row r="41" ht="18" customHeight="1">
      <c r="A41" s="2" t="inlineStr"/>
    </row>
    <row r="42" ht="18" customHeight="1">
      <c r="A42" s="2" t="inlineStr">
        <is>
          <t>DR size</t>
        </is>
      </c>
    </row>
    <row r="43" ht="32" customHeight="1">
      <c r="A43" s="2" t="inlineStr">
        <is>
          <t>The new customer's DR reservation is requested cores × the bootstrap fraction on Policy (default 0.10). It is not a 30–40% copy of Prod (ENV-005, DR-007). Existing DR rows in the mock estate are a separate synthetic stock.</t>
        </is>
      </c>
    </row>
    <row r="44" ht="18" customHeight="1">
      <c r="A44" s="2" t="inlineStr"/>
    </row>
    <row r="45" ht="18" customHeight="1">
      <c r="A45" s="2" t="inlineStr">
        <is>
          <t>After a successful allocation</t>
        </is>
      </c>
    </row>
    <row r="46" ht="32" customHeight="1">
      <c r="A46" s="2" t="inlineStr">
        <is>
          <t>Prod and CVAL winners gain the requested cores (allocated up, reserved-free down). The DR winner gains the bootstrap cores. Quota used rises by the same amounts. A failed gate applies nothing.</t>
        </is>
      </c>
    </row>
    <row r="47" ht="18" customHeight="1">
      <c r="A47" s="2" t="inlineStr"/>
    </row>
    <row r="48" ht="18" customHeight="1">
      <c r="A48" s="2" t="inlineStr">
        <is>
          <t>Shipped sample</t>
        </is>
      </c>
    </row>
    <row r="49" ht="18" customHeight="1">
      <c r="A49" s="2" t="inlineStr">
        <is>
          <t>US, no Prod region, exception = Y, DR offered, 4 × Standard_E32ads_v5 (128 cores) and 2 × Standard_D8as_v5 (16 cores).</t>
        </is>
      </c>
    </row>
    <row r="50" ht="32" customHeight="1">
      <c r="A50" s="2" t="inlineStr">
        <is>
          <t>With the shipped numbers the result is Prod = West US 3, CVAL = Central US, DR = Canada Central. Canada Central cannot take the 128-core line, so it is not a Prod or CVAL candidate. East US 2 stays out because it is Restricted. Open Allocation after Excel calculates to see that result.</t>
        </is>
      </c>
    </row>
    <row r="51" ht="18" customHeight="1">
      <c r="A51" s="2" t="inlineStr"/>
    </row>
    <row r="52" ht="18" customHeight="1">
      <c r="A52" s="2" t="inlineStr">
        <is>
          <t>Not in this workbook</t>
        </is>
      </c>
    </row>
    <row r="53" ht="32" customHeight="1">
      <c r="A53" s="2" t="inlineStr">
        <is>
          <t>Per-AZ capacity reservation groups (only crg-…-reg). Zone rebalancing beyond the even-share target on Allocation. Associated-but-deallocated VMs. A multi-customer MAX-not-SUM DR index. STALE_STATE and VALIDATION_REQUIRED (this file is the snapshot). A persisted seed store — Allocation displays the seed, it does not write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6" customWidth="1" min="3" max="3"/>
    <col width="62" customWidth="1" min="4" max="4"/>
  </cols>
  <sheetData>
    <row r="1">
      <c r="A1" s="1" t="inlineStr">
        <is>
          <t>How region selection and availability checks are calculated</t>
        </is>
      </c>
    </row>
    <row r="2" ht="36" customHeight="1">
      <c r="A2" s="2" t="inlineStr">
        <is>
          <t>This sheet is the formula guide for the workbook. Yellow is not used here. Column D repeats the current request so the numbers move when Request or Policy changes. Score_Prod, Score_CVAL, and Score_DR are where each region is judged. Allocation copies rank 1.</t>
        </is>
      </c>
    </row>
    <row r="4">
      <c r="A4" s="3" t="inlineStr">
        <is>
          <t>This request</t>
        </is>
      </c>
      <c r="B4" s="4" t="n"/>
      <c r="C4" s="4" t="n"/>
      <c r="D4" s="4" t="n"/>
    </row>
    <row r="5" ht="32" customHeight="1">
      <c r="A5" s="5" t="inlineStr">
        <is>
          <t>Geography</t>
        </is>
      </c>
      <c r="B5" s="6">
        <f>Request!B4</f>
        <v/>
      </c>
      <c r="C5" s="7" t="n"/>
      <c r="D5" s="8" t="n"/>
    </row>
    <row r="6" ht="32" customHeight="1">
      <c r="A6" s="5" t="inlineStr">
        <is>
          <t>Model</t>
        </is>
      </c>
      <c r="B6" s="6">
        <f>Request!B9</f>
        <v/>
      </c>
      <c r="C6" s="8" t="n"/>
      <c r="D6" s="9" t="inlineStr">
        <is>
          <t>From Policy. Co-host does not change this text.</t>
        </is>
      </c>
    </row>
    <row r="7" ht="32" customHeight="1">
      <c r="A7" s="5" t="inlineStr">
        <is>
          <t>Co-host DR with CVAL</t>
        </is>
      </c>
      <c r="B7" s="6">
        <f>Request!B11</f>
        <v/>
      </c>
      <c r="C7" s="8" t="n"/>
      <c r="D7" s="9" t="inlineStr">
        <is>
          <t>Y forces DR onto the CVAL region when the model is not cross-geo.</t>
        </is>
      </c>
    </row>
    <row r="8" ht="32" customHeight="1">
      <c r="A8" s="5" t="inlineStr">
        <is>
          <t>DR offered</t>
        </is>
      </c>
      <c r="B8" s="6">
        <f>Request!B8</f>
        <v/>
      </c>
      <c r="C8" s="8" t="n"/>
      <c r="D8" s="9" t="inlineStr">
        <is>
          <t>N records NOT_OFFERED and adds no DR cores.</t>
        </is>
      </c>
    </row>
    <row r="9" ht="32" customHeight="1">
      <c r="A9" s="5" t="inlineStr">
        <is>
          <t>Bootstrap fraction</t>
        </is>
      </c>
      <c r="B9" s="10">
        <f>Policy!B15</f>
        <v/>
      </c>
      <c r="C9" s="8" t="n"/>
      <c r="D9" s="9" t="inlineStr">
        <is>
          <t>DR need = ROUND(line cores × this, 0).</t>
        </is>
      </c>
    </row>
    <row r="10" ht="32" customHeight="1">
      <c r="A10" s="5" t="inlineStr">
        <is>
          <t>HC-2 multiplier</t>
        </is>
      </c>
      <c r="B10" s="6">
        <f>Policy!B13</f>
        <v/>
      </c>
      <c r="C10" s="8" t="n"/>
      <c r="D10" s="9" t="inlineStr">
        <is>
          <t>Reserved-free must cover multiplier × need.</t>
        </is>
      </c>
    </row>
    <row r="11" ht="32" customHeight="1">
      <c r="A11" s="5" t="inlineStr">
        <is>
          <t>HC-3 quota floor</t>
        </is>
      </c>
      <c r="B11" s="11">
        <f>Policy!B14</f>
        <v/>
      </c>
      <c r="C11" s="8" t="n"/>
      <c r="D11" s="9" t="inlineStr">
        <is>
          <t>Cores that must remain after the line is placed.</t>
        </is>
      </c>
    </row>
    <row r="12" ht="32" customHeight="1">
      <c r="A12" s="5" t="inlineStr">
        <is>
          <t>α risk threshold</t>
        </is>
      </c>
      <c r="B12" s="6">
        <f>Policy!B12</f>
        <v/>
      </c>
      <c r="C12" s="8" t="n"/>
      <c r="D12" s="9" t="inlineStr">
        <is>
          <t>Eligible and below this α is READY_WITH_RISK.</t>
        </is>
      </c>
    </row>
    <row r="13" ht="32" customHeight="1">
      <c r="A13" s="5" t="inlineStr">
        <is>
          <t>Weight sum</t>
        </is>
      </c>
      <c r="B13" s="10">
        <f>Policy!B9</f>
        <v/>
      </c>
      <c r="C13" s="8" t="n"/>
      <c r="D13" s="9" t="inlineStr">
        <is>
          <t>Must be 1.00 or the run is POLICY_BLOCKED.</t>
        </is>
      </c>
    </row>
    <row r="15">
      <c r="A15" s="12" t="inlineStr">
        <is>
          <t>Environment</t>
        </is>
      </c>
      <c r="B15" s="12" t="inlineStr">
        <is>
          <t>Region chosen</t>
        </is>
      </c>
      <c r="C15" s="12" t="inlineStr">
        <is>
          <t>Placement score</t>
        </is>
      </c>
      <c r="D15" s="12" t="inlineStr">
        <is>
          <t>Readiness</t>
        </is>
      </c>
    </row>
    <row r="16">
      <c r="A16" s="13">
        <f>Allocation!A9</f>
        <v/>
      </c>
      <c r="B16" s="6">
        <f>Allocation!D9&amp;" ("&amp;Allocation!C9&amp;")"</f>
        <v/>
      </c>
      <c r="C16" s="14">
        <f>Allocation!E9</f>
        <v/>
      </c>
      <c r="D16" s="15">
        <f>Allocation!F9</f>
        <v/>
      </c>
    </row>
    <row r="17">
      <c r="A17" s="13">
        <f>Allocation!A10</f>
        <v/>
      </c>
      <c r="B17" s="6">
        <f>Allocation!D10&amp;" ("&amp;Allocation!C10&amp;")"</f>
        <v/>
      </c>
      <c r="C17" s="14">
        <f>Allocation!E10</f>
        <v/>
      </c>
      <c r="D17" s="15">
        <f>Allocation!F10</f>
        <v/>
      </c>
    </row>
    <row r="18">
      <c r="A18" s="13">
        <f>Allocation!A11</f>
        <v/>
      </c>
      <c r="B18" s="6">
        <f>Allocation!D11&amp;" ("&amp;Allocation!C11&amp;")"</f>
        <v/>
      </c>
      <c r="C18" s="14">
        <f>Allocation!E11</f>
        <v/>
      </c>
      <c r="D18" s="15">
        <f>Allocation!F11</f>
        <v/>
      </c>
    </row>
    <row r="20" ht="32" customHeight="1">
      <c r="A20" s="9" t="inlineStr">
        <is>
          <t>Order is Prod, then CVAL, then DR. CVAL is scored only after Prod is a real region. DR is scored only after CVAL is a real region and DR is offered. A region that is not a candidate, or that fails a gate, does not receive a placement score.</t>
        </is>
      </c>
    </row>
    <row r="22">
      <c r="A22" s="3" t="inlineStr">
        <is>
          <t>1. What each SKU line needs</t>
        </is>
      </c>
      <c r="B22" s="4" t="n"/>
      <c r="C22" s="4" t="n"/>
      <c r="D22" s="4" t="n"/>
    </row>
    <row r="23" ht="32" customHeight="1">
      <c r="A23" s="9" t="inlineStr">
        <is>
          <t>Request rows 13–20. A line is active only when both the SKU and the VM count are filled. Duplicate SKUs make the run POLICY_BLOCKED. Blank rows are ignored: they contribute 1 to every MIN, so they cannot fail a region or pull a score down.</t>
        </is>
      </c>
    </row>
    <row r="24">
      <c r="A24" s="12" t="inlineStr">
        <is>
          <t>Quantity</t>
        </is>
      </c>
      <c r="B24" s="12" t="inlineStr">
        <is>
          <t>Formula</t>
        </is>
      </c>
      <c r="C24" s="12" t="inlineStr">
        <is>
          <t>Prod and CVAL</t>
        </is>
      </c>
      <c r="D24" s="12" t="inlineStr">
        <is>
          <t>DR</t>
        </is>
      </c>
    </row>
    <row r="25" ht="36" customHeight="1">
      <c r="A25" s="16" t="inlineStr">
        <is>
          <t>Cores</t>
        </is>
      </c>
      <c r="B25" s="16" t="inlineStr">
        <is>
          <t>VM count × vCPU from SKU_Catalogue</t>
        </is>
      </c>
      <c r="C25" s="16" t="inlineStr">
        <is>
          <t>Full cores</t>
        </is>
      </c>
      <c r="D25" s="16" t="inlineStr">
        <is>
          <t>Full cores are still stored; the gate uses the bootstrap</t>
        </is>
      </c>
    </row>
    <row r="26" ht="36" customHeight="1">
      <c r="A26" s="17" t="inlineStr">
        <is>
          <t>Need</t>
        </is>
      </c>
      <c r="B26" s="17" t="inlineStr">
        <is>
          <t>Cores the environment must cover</t>
        </is>
      </c>
      <c r="C26" s="17" t="inlineStr">
        <is>
          <t>Cores</t>
        </is>
      </c>
      <c r="D26" s="17" t="inlineStr">
        <is>
          <t>ROUND(cores × bootstrap, 0)</t>
        </is>
      </c>
    </row>
    <row r="27" ht="36" customHeight="1">
      <c r="A27" s="16" t="inlineStr">
        <is>
          <t>Reserved</t>
        </is>
      </c>
      <c r="B27" s="16" t="inlineStr">
        <is>
          <t>Capacity_Reservations reserved quantity for that region, environment, and SKU</t>
        </is>
      </c>
      <c r="C27" s="16" t="inlineStr">
        <is>
          <t>Prod row</t>
        </is>
      </c>
      <c r="D27" s="16" t="inlineStr">
        <is>
          <t>DR row</t>
        </is>
      </c>
    </row>
    <row r="28" ht="36" customHeight="1">
      <c r="A28" s="17" t="inlineStr">
        <is>
          <t>Reserved-free</t>
        </is>
      </c>
      <c r="B28" s="17" t="inlineStr">
        <is>
          <t>Reserved − allocated, on that same row</t>
        </is>
      </c>
      <c r="C28" s="17" t="inlineStr">
        <is>
          <t>Must cover the need</t>
        </is>
      </c>
      <c r="D28" s="17" t="inlineStr">
        <is>
          <t>Must cover the bootstrap need</t>
        </is>
      </c>
    </row>
    <row r="30">
      <c r="A30" s="3" t="inlineStr">
        <is>
          <t>2. Availability numbers on Line_Check</t>
        </is>
      </c>
      <c r="B30" s="4" t="n"/>
      <c r="C30" s="4" t="n"/>
      <c r="D30" s="4" t="n"/>
    </row>
    <row r="31" ht="32" customHeight="1">
      <c r="A31" s="9" t="inlineStr">
        <is>
          <t>Line_Check has one row per catalogue region. Each active SKU line adds reserved-free, reserved, and quota columns. The score sheets read those columns. Group availability for a line is the minimum of reserved-free and the quota number for that environment.</t>
        </is>
      </c>
    </row>
    <row r="32">
      <c r="A32" s="12" t="inlineStr">
        <is>
          <t>Number</t>
        </is>
      </c>
      <c r="B32" s="12" t="inlineStr">
        <is>
          <t>How it is calculated</t>
        </is>
      </c>
      <c r="C32" s="12" t="inlineStr">
        <is>
          <t>Used by</t>
        </is>
      </c>
      <c r="D32" s="12" t="inlineStr">
        <is>
          <t>Fails when</t>
        </is>
      </c>
    </row>
    <row r="33" ht="48" customHeight="1">
      <c r="A33" s="16" t="inlineStr">
        <is>
          <t>Family available</t>
        </is>
      </c>
      <c r="B33" s="16" t="inlineStr">
        <is>
          <t>Quota_Groups Available for this region and this VM family. One cell covers Prod, NonProd, and DR.</t>
        </is>
      </c>
      <c r="C33" s="16" t="inlineStr">
        <is>
          <t>Part of quota available</t>
        </is>
      </c>
      <c r="D33" s="16" t="inlineStr">
        <is>
          <t>The family cell cannot take the line</t>
        </is>
      </c>
    </row>
    <row r="34" ht="48" customHeight="1">
      <c r="A34" s="17" t="inlineStr">
        <is>
          <t>Regional vCPU available</t>
        </is>
      </c>
      <c r="B34" s="17" t="inlineStr">
        <is>
          <t>Quota_Groups column P on the region's Eadsv5 row. That is the total regional vCPU cap (QUA-002).</t>
        </is>
      </c>
      <c r="C34" s="17" t="inlineStr">
        <is>
          <t>Part of quota available</t>
        </is>
      </c>
      <c r="D34" s="17" t="inlineStr">
        <is>
          <t>The regional total is tighter than the family cell</t>
        </is>
      </c>
    </row>
    <row r="35" ht="36" customHeight="1">
      <c r="A35" s="16" t="inlineStr">
        <is>
          <t>Quota available</t>
        </is>
      </c>
      <c r="B35" s="16" t="inlineStr">
        <is>
          <t>MIN(family available, regional vCPU available).</t>
        </is>
      </c>
      <c r="C35" s="16" t="inlineStr">
        <is>
          <t>HC-3, and Meets-all for Prod and DR</t>
        </is>
      </c>
      <c r="D35" s="16" t="inlineStr">
        <is>
          <t>The lesser of the two caps is short</t>
        </is>
      </c>
    </row>
    <row r="36" ht="52" customHeight="1">
      <c r="A36" s="17" t="inlineStr">
        <is>
          <t>NonProd headroom</t>
        </is>
      </c>
      <c r="B36" s="17" t="inlineStr">
        <is>
          <t>Family limit − Prod earmark − DR earmark − NonProd used. Earmarks are reserved cores, so CVAL cannot spend Prod or DR quota (HC-7).</t>
        </is>
      </c>
      <c r="C36" s="17" t="inlineStr">
        <is>
          <t>HC-7, and Meets-all for CVAL</t>
        </is>
      </c>
      <c r="D36" s="17" t="inlineStr">
        <is>
          <t>Headroom after the earmarks is short</t>
        </is>
      </c>
    </row>
    <row r="38">
      <c r="A38" s="3" t="inlineStr">
        <is>
          <t>3. Which regions are allowed to compete</t>
        </is>
      </c>
      <c r="B38" s="4" t="n"/>
      <c r="C38" s="4" t="n"/>
      <c r="D38" s="4" t="n"/>
    </row>
    <row r="39" ht="20" customHeight="1">
      <c r="A39" s="9" t="inlineStr">
        <is>
          <t>Candidate = 1 on the score sheet (column J) before any capacity check. Candidate = 0 is not scored.</t>
        </is>
      </c>
    </row>
    <row r="40">
      <c r="A40" s="12" t="inlineStr">
        <is>
          <t>Environment</t>
        </is>
      </c>
      <c r="B40" s="12" t="inlineStr">
        <is>
          <t>Who is a candidate</t>
        </is>
      </c>
      <c r="C40" s="12" t="inlineStr">
        <is>
          <t>Named Prod region</t>
        </is>
      </c>
      <c r="D40" s="12" t="inlineStr">
        <is>
          <t>Restricted regions</t>
        </is>
      </c>
    </row>
    <row r="41" ht="52" customHeight="1">
      <c r="A41" s="16" t="inlineStr">
        <is>
          <t>Prod</t>
        </is>
      </c>
      <c r="B41" s="16" t="inlineStr">
        <is>
          <t>If Request Prod region is blank and the geography-only exception is Y: every Standard region in the geography.</t>
        </is>
      </c>
      <c r="C41" s="16" t="inlineStr">
        <is>
          <t>If a Prod region id is entered: only that region, and it must sit in the requested geography.</t>
        </is>
      </c>
      <c r="D41" s="16" t="inlineStr">
        <is>
          <t>A Restricted region competes for Prod only when Request names it.</t>
        </is>
      </c>
    </row>
    <row r="42" ht="48" customHeight="1">
      <c r="A42" s="17" t="inlineStr">
        <is>
          <t>CVAL</t>
        </is>
      </c>
      <c r="B42" s="17" t="inlineStr">
        <is>
          <t>Standard regions in the geography other than Prod. Cross-geo (Middle East): the Prod region itself, on a separate reservation.</t>
        </is>
      </c>
      <c r="C42" s="17" t="inlineStr">
        <is>
          <t>Follows the Prod winner. It does not re-read the Prod region box.</t>
        </is>
      </c>
      <c r="D42" s="17" t="inlineStr">
        <is>
          <t>Never a CVAL candidate.</t>
        </is>
      </c>
    </row>
    <row r="43" ht="56" customHeight="1">
      <c r="A43" s="16" t="inlineStr">
        <is>
          <t>DR</t>
        </is>
      </c>
      <c r="B43" s="16" t="inlineStr">
        <is>
          <t>3-region: a Standard region that is neither Prod nor CVAL. 2-region, or co-host = Y: the CVAL region only. Cross-geo: Standard regions in the DR scope (Europe).</t>
        </is>
      </c>
      <c r="C43" s="16" t="inlineStr">
        <is>
          <t>Requires DR offered = Y and a real CVAL winner.</t>
        </is>
      </c>
      <c r="D43" s="16" t="inlineStr">
        <is>
          <t>Never a DR candidate.</t>
        </is>
      </c>
    </row>
    <row r="45">
      <c r="A45" s="3" t="inlineStr">
        <is>
          <t>4. Availability gates</t>
        </is>
      </c>
      <c r="B45" s="4" t="n"/>
      <c r="C45" s="4" t="n"/>
      <c r="D45" s="4" t="n"/>
    </row>
    <row r="46" ht="32" customHeight="1">
      <c r="A46" s="9" t="inlineStr">
        <is>
          <t>Every active line must pass. One short SKU fails the region. PASS or N/A is a pass. Eligible (column T) = 1 only when Candidate = 1 and columns K through S all pass. The same column letters are used on Score_Prod, Score_CVAL, and Score_DR.</t>
        </is>
      </c>
    </row>
    <row r="47">
      <c r="A47" s="12" t="inlineStr">
        <is>
          <t>Column</t>
        </is>
      </c>
      <c r="B47" s="12" t="inlineStr">
        <is>
          <t>Gate</t>
        </is>
      </c>
      <c r="C47" s="12" t="inlineStr">
        <is>
          <t>Rule</t>
        </is>
      </c>
      <c r="D47" s="12" t="inlineStr">
        <is>
          <t>Where it applies</t>
        </is>
      </c>
    </row>
    <row r="48" ht="40" customHeight="1">
      <c r="A48" s="16" t="inlineStr">
        <is>
          <t>K</t>
        </is>
      </c>
      <c r="B48" s="16" t="inlineStr">
        <is>
          <t>HC-2 capacity floor</t>
        </is>
      </c>
      <c r="C48" s="16" t="inlineStr">
        <is>
          <t>Reserved-free ≥ HC-2 multiplier × need. Prod uses Prod free, CVAL uses NonProd free, DR uses DR free.</t>
        </is>
      </c>
      <c r="D48" s="16" t="inlineStr">
        <is>
          <t>All three score sheets</t>
        </is>
      </c>
    </row>
    <row r="49" ht="36" customHeight="1">
      <c r="A49" s="17" t="inlineStr">
        <is>
          <t>L</t>
        </is>
      </c>
      <c r="B49" s="17" t="inlineStr">
        <is>
          <t>HC-3 quota floor</t>
        </is>
      </c>
      <c r="C49" s="17" t="inlineStr">
        <is>
          <t>Quota available ≥ need, and quota available − need ≥ the quota floor.</t>
        </is>
      </c>
      <c r="D49" s="17" t="inlineStr">
        <is>
          <t>All three. DR need is the bootstrap quantity.</t>
        </is>
      </c>
    </row>
    <row r="50" ht="28" customHeight="1">
      <c r="A50" s="16" t="inlineStr">
        <is>
          <t>M</t>
        </is>
      </c>
      <c r="B50" s="16" t="inlineStr">
        <is>
          <t>HC-5 zones</t>
        </is>
      </c>
      <c r="C50" s="16" t="inlineStr">
        <is>
          <t>Availability-zone count ≥ 2.</t>
        </is>
      </c>
      <c r="D50" s="16" t="inlineStr">
        <is>
          <t>All three</t>
        </is>
      </c>
    </row>
    <row r="51" ht="48" customHeight="1">
      <c r="A51" s="17" t="inlineStr">
        <is>
          <t>N</t>
        </is>
      </c>
      <c r="B51" s="17" t="inlineStr">
        <is>
          <t>HC-6 combined floor</t>
        </is>
      </c>
      <c r="C51" s="17" t="inlineStr">
        <is>
          <t>DR free + NonProd free ≥ bootstrap need.</t>
        </is>
      </c>
      <c r="D51" s="17" t="inlineStr">
        <is>
          <t>DR only, and only when the model is exactly 2-region. Otherwise N/A. Co-host does not turn this on.</t>
        </is>
      </c>
    </row>
    <row r="52" ht="40" customHeight="1">
      <c r="A52" s="16" t="inlineStr">
        <is>
          <t>O</t>
        </is>
      </c>
      <c r="B52" s="16" t="inlineStr">
        <is>
          <t>HC-7 DR floor integrity</t>
        </is>
      </c>
      <c r="C52" s="16" t="inlineStr">
        <is>
          <t>NonProd headroom ≥ cores, and headroom − cores ≥ the quota floor.</t>
        </is>
      </c>
      <c r="D52" s="16" t="inlineStr">
        <is>
          <t>CVAL only. N/A on Prod and DR.</t>
        </is>
      </c>
    </row>
    <row r="53" ht="40" customHeight="1">
      <c r="A53" s="17" t="inlineStr">
        <is>
          <t>P</t>
        </is>
      </c>
      <c r="B53" s="17" t="inlineStr">
        <is>
          <t>HC-8 geography</t>
        </is>
      </c>
      <c r="C53" s="17" t="inlineStr">
        <is>
          <t>Prod and CVAL stay in the requested geography. DR stays in the DR scope.</t>
        </is>
      </c>
      <c r="D53" s="17" t="inlineStr">
        <is>
          <t>All three. Middle East DR scope is Europe.</t>
        </is>
      </c>
    </row>
    <row r="54" ht="40" customHeight="1">
      <c r="A54" s="16" t="inlineStr">
        <is>
          <t>Q</t>
        </is>
      </c>
      <c r="B54" s="16" t="inlineStr">
        <is>
          <t>HC-9 class</t>
        </is>
      </c>
      <c r="C54" s="16" t="inlineStr">
        <is>
          <t>Prod: Standard, or the region named on the request. CVAL and DR: Standard only.</t>
        </is>
      </c>
      <c r="D54" s="16" t="inlineStr">
        <is>
          <t>All three</t>
        </is>
      </c>
    </row>
    <row r="55" ht="36" customHeight="1">
      <c r="A55" s="17" t="inlineStr">
        <is>
          <t>R</t>
        </is>
      </c>
      <c r="B55" s="17" t="inlineStr">
        <is>
          <t>HC-4 separation</t>
        </is>
      </c>
      <c r="C55" s="17" t="inlineStr">
        <is>
          <t>DR region ≠ Prod region. A cross-geo DR in the DR scope passes.</t>
        </is>
      </c>
      <c r="D55" s="17" t="inlineStr">
        <is>
          <t>DR only</t>
        </is>
      </c>
    </row>
    <row r="56" ht="48" customHeight="1">
      <c r="A56" s="16" t="inlineStr">
        <is>
          <t>S</t>
        </is>
      </c>
      <c r="B56" s="16" t="inlineStr">
        <is>
          <t>Meets-all</t>
        </is>
      </c>
      <c r="C56" s="16" t="inlineStr">
        <is>
          <t>MIN(reserved-free, quota number) ≥ need. CVAL uses NonProd headroom as the quota number. Prod and DR use quota available.</t>
        </is>
      </c>
      <c r="D56" s="16" t="inlineStr">
        <is>
          <t>All three</t>
        </is>
      </c>
    </row>
    <row r="58">
      <c r="A58" s="3" t="inlineStr">
        <is>
          <t>5. Placement score</t>
        </is>
      </c>
      <c r="B58" s="4" t="n"/>
      <c r="C58" s="4" t="n"/>
      <c r="D58" s="4" t="n"/>
    </row>
    <row r="59" ht="48" customHeight="1">
      <c r="A59" s="9" t="inlineStr">
        <is>
          <t>PS = (α weight × α) + (β weight × β) + (γ weight × γ) + (δ weight × δ) + (ε weight × ε). Weights are Policy B4:B8. A component is the minimum of that ratio across the active SKU lines, clamped between 0 and 1. Components are shown for every candidate (columns U–Y). The placement score (column Z) is filled only when Eligible = 1.</t>
        </is>
      </c>
    </row>
    <row r="60">
      <c r="A60" s="12" t="inlineStr">
        <is>
          <t>Term</t>
        </is>
      </c>
      <c r="B60" s="12" t="inlineStr">
        <is>
          <t>Weight cell</t>
        </is>
      </c>
      <c r="C60" s="12" t="inlineStr">
        <is>
          <t>Prod</t>
        </is>
      </c>
      <c r="D60" s="12" t="inlineStr">
        <is>
          <t>CVAL and DR</t>
        </is>
      </c>
    </row>
    <row r="61" ht="36" customHeight="1">
      <c r="A61" s="16" t="inlineStr">
        <is>
          <t>α capacity headroom</t>
        </is>
      </c>
      <c r="B61" s="16" t="inlineStr">
        <is>
          <t>Policy!B4</t>
        </is>
      </c>
      <c r="C61" s="16" t="inlineStr">
        <is>
          <t>NonProd reserved-free ÷ Prod reserved</t>
        </is>
      </c>
      <c r="D61" s="16" t="inlineStr">
        <is>
          <t>CVAL: NonProd free ÷ NonProd reserved. DR: DR free ÷ DR reserved.</t>
        </is>
      </c>
    </row>
    <row r="62" ht="40" customHeight="1">
      <c r="A62" s="17" t="inlineStr">
        <is>
          <t>β quota headroom</t>
        </is>
      </c>
      <c r="B62" s="17" t="inlineStr">
        <is>
          <t>Policy!B5</t>
        </is>
      </c>
      <c r="C62" s="17" t="inlineStr">
        <is>
          <t>Quota available ÷ family quota limit</t>
        </is>
      </c>
      <c r="D62" s="17" t="inlineStr">
        <is>
          <t>Same on CVAL and DR. The divisor is the family limit, not the regional vCPU cap.</t>
        </is>
      </c>
    </row>
    <row r="63" ht="40" customHeight="1">
      <c r="A63" s="16" t="inlineStr">
        <is>
          <t>γ fairness</t>
        </is>
      </c>
      <c r="B63" s="16" t="inlineStr">
        <is>
          <t>Policy!B6</t>
        </is>
      </c>
      <c r="C63" s="16" t="inlineStr">
        <is>
          <t>1 − customers in the region ÷ total_customers</t>
        </is>
      </c>
      <c r="D63" s="16" t="inlineStr">
        <is>
          <t>Same. total_customers(g) = sum of Customers over the geography's regions on the score sheet (live, PLC-012); γ = 1 when zero.</t>
        </is>
      </c>
    </row>
    <row r="64" ht="40" customHeight="1">
      <c r="A64" s="17" t="inlineStr">
        <is>
          <t>δ DR readiness</t>
        </is>
      </c>
      <c r="B64" s="17" t="inlineStr">
        <is>
          <t>Policy!B7</t>
        </is>
      </c>
      <c r="C64" s="17" t="inlineStr">
        <is>
          <t>DR coverage ratio on the region, clamped to 1</t>
        </is>
      </c>
      <c r="D64" s="17" t="inlineStr">
        <is>
          <t>CVAL repeats α. DR is coverage ÷ bootstrap, clamped to 1.</t>
        </is>
      </c>
    </row>
    <row r="65" ht="32" customHeight="1">
      <c r="A65" s="16" t="inlineStr">
        <is>
          <t>ε zone diversity</t>
        </is>
      </c>
      <c r="B65" s="16" t="inlineStr">
        <is>
          <t>Policy!B8</t>
        </is>
      </c>
      <c r="C65" s="16" t="inlineStr">
        <is>
          <t>Availability zones ÷ 3, clamped to 1</t>
        </is>
      </c>
      <c r="D65" s="16" t="inlineStr">
        <is>
          <t>Same</t>
        </is>
      </c>
    </row>
    <row r="67">
      <c r="A67" s="3" t="inlineStr">
        <is>
          <t>6. Who wins</t>
        </is>
      </c>
      <c r="B67" s="4" t="n"/>
      <c r="C67" s="4" t="n"/>
      <c r="D67" s="4" t="n"/>
    </row>
    <row r="68" ht="36" customHeight="1">
      <c r="A68" s="9" t="inlineStr">
        <is>
          <t>Among Eligible regions, rank 1 is the highest placement score. An equal score goes to the earlier row in the Section 6 catalogue. Allocation takes that rank-1 region id from Score_Prod, then Score_CVAL, then Score_DR. If no region is Eligible, the environment is NONE ELIGIBLE.</t>
        </is>
      </c>
    </row>
    <row r="69">
      <c r="A69" s="3" t="inlineStr">
        <is>
          <t>7. Readiness</t>
        </is>
      </c>
      <c r="B69" s="4" t="n"/>
      <c r="C69" s="4" t="n"/>
      <c r="D69" s="4" t="n"/>
    </row>
    <row r="70">
      <c r="A70" s="12" t="inlineStr">
        <is>
          <t>State</t>
        </is>
      </c>
      <c r="B70" s="12" t="inlineStr">
        <is>
          <t>On the score row (column AB)</t>
        </is>
      </c>
      <c r="C70" s="12" t="inlineStr">
        <is>
          <t>On Allocation overall</t>
        </is>
      </c>
      <c r="D70" s="12" t="inlineStr">
        <is>
          <t>What to change</t>
        </is>
      </c>
    </row>
    <row r="71" ht="40" customHeight="1">
      <c r="A71" s="16" t="inlineStr">
        <is>
          <t>RESERVATION_DEFICIT</t>
        </is>
      </c>
      <c r="B71" s="16" t="inlineStr">
        <is>
          <t>An active SKU has reserved quantity 0 in that environment.</t>
        </is>
      </c>
      <c r="C71" s="16" t="inlineStr">
        <is>
          <t>Read the environment row. Overall does not use this name.</t>
        </is>
      </c>
      <c r="D71" s="16" t="inlineStr">
        <is>
          <t>Add a reservation for that SKU.</t>
        </is>
      </c>
    </row>
    <row r="72" ht="48" customHeight="1">
      <c r="A72" s="17" t="inlineStr">
        <is>
          <t>QUOTA_DEFICIT</t>
        </is>
      </c>
      <c r="B72" s="17" t="inlineStr">
        <is>
          <t>HC-3 failed.</t>
        </is>
      </c>
      <c r="C72" s="17" t="inlineStr">
        <is>
          <t>A missing environment is reported as CAPACITY_UNAVAILABLE. Read column F on Allocation for the specific state.</t>
        </is>
      </c>
      <c r="D72" s="17" t="inlineStr">
        <is>
          <t>Raise the family limit or the regional vCPU limit, or shrink the request.</t>
        </is>
      </c>
    </row>
    <row r="73" ht="44" customHeight="1">
      <c r="A73" s="16" t="inlineStr">
        <is>
          <t>CAPACITY_UNAVAILABLE</t>
        </is>
      </c>
      <c r="B73" s="16" t="inlineStr">
        <is>
          <t>HC-2 failed, or any other gate failed, or the region is not eligible.</t>
        </is>
      </c>
      <c r="C73" s="16" t="inlineStr">
        <is>
          <t>Also used when Prod, CVAL, or an offered DR has no winner.</t>
        </is>
      </c>
      <c r="D73" s="16" t="inlineStr">
        <is>
          <t>Free reserved cores, or pick a region that passes.</t>
        </is>
      </c>
    </row>
    <row r="74" ht="36" customHeight="1">
      <c r="A74" s="17" t="inlineStr">
        <is>
          <t>READY_WITH_RISK</t>
        </is>
      </c>
      <c r="B74" s="17" t="inlineStr">
        <is>
          <t>Eligible, and α is below the risk threshold.</t>
        </is>
      </c>
      <c r="C74" s="17" t="inlineStr">
        <is>
          <t>Overall is READY_WITH_RISK if any placed environment is.</t>
        </is>
      </c>
      <c r="D74" s="17" t="inlineStr">
        <is>
          <t>The placement is still applied.</t>
        </is>
      </c>
    </row>
    <row r="75" ht="36" customHeight="1">
      <c r="A75" s="16" t="inlineStr">
        <is>
          <t>READY</t>
        </is>
      </c>
      <c r="B75" s="16" t="inlineStr">
        <is>
          <t>Eligible, and α is at or above the risk threshold.</t>
        </is>
      </c>
      <c r="C75" s="16" t="inlineStr">
        <is>
          <t>Every placed environment is READY.</t>
        </is>
      </c>
      <c r="D75" s="16" t="inlineStr">
        <is>
          <t>Post_Allocation and Quota_After include the request.</t>
        </is>
      </c>
    </row>
    <row r="76" ht="44" customHeight="1">
      <c r="A76" s="17" t="inlineStr">
        <is>
          <t>POLICY_BLOCKED</t>
        </is>
      </c>
      <c r="B76" s="17" t="inlineStr">
        <is>
          <t>Not a score-row state.</t>
        </is>
      </c>
      <c r="C76" s="17" t="inlineStr">
        <is>
          <t>Weights do not sum to 1, a SKU is duplicated, or Prod is blank without the exception.</t>
        </is>
      </c>
      <c r="D76" s="17" t="inlineStr">
        <is>
          <t>Fix Request or Policy. Nothing is allocated.</t>
        </is>
      </c>
    </row>
    <row r="77" ht="36" customHeight="1">
      <c r="A77" s="16" t="inlineStr">
        <is>
          <t>NOT_OFFERED</t>
        </is>
      </c>
      <c r="B77" s="16" t="inlineStr">
        <is>
          <t>DR candidates are all 0.</t>
        </is>
      </c>
      <c r="C77" s="16" t="inlineStr">
        <is>
          <t>DR region is NOT_OFFERED when DR offered = N.</t>
        </is>
      </c>
      <c r="D77" s="16" t="inlineStr">
        <is>
          <t>No DR cores are added.</t>
        </is>
      </c>
    </row>
    <row r="79">
      <c r="A79" s="3" t="inlineStr">
        <is>
          <t>8. What a successful allocation changes</t>
        </is>
      </c>
      <c r="B79" s="4" t="n"/>
      <c r="C79" s="4" t="n"/>
      <c r="D79" s="4" t="n"/>
    </row>
    <row r="80" ht="52" customHeight="1">
      <c r="A80" s="9" t="inlineStr">
        <is>
          <t>Post_Allocation and Quota_After move only when Allocation overall readiness is READY or READY_WITH_RISK. Prod and CVAL gain the full line cores on the winning region. DR gains the rounded bootstrap cores. Allocated rises and reserved-free falls by those cores. The family cell’s used cores rise by the sum of every line of that family placed in that region. Buffer is left as it was. A later reconciliation would rebuild it; this workbook does not.</t>
        </is>
      </c>
    </row>
  </sheetData>
  <mergeCells count="27">
    <mergeCell ref="A23:D23"/>
    <mergeCell ref="B7:C7"/>
    <mergeCell ref="A22:D22"/>
    <mergeCell ref="A4:D4"/>
    <mergeCell ref="A20:D20"/>
    <mergeCell ref="A38:D38"/>
    <mergeCell ref="A68:D68"/>
    <mergeCell ref="B12:C12"/>
    <mergeCell ref="A67:D67"/>
    <mergeCell ref="A31:D31"/>
    <mergeCell ref="A58:D58"/>
    <mergeCell ref="B11:C11"/>
    <mergeCell ref="A30:D30"/>
    <mergeCell ref="A39:D39"/>
    <mergeCell ref="A59:D59"/>
    <mergeCell ref="B8:C8"/>
    <mergeCell ref="B13:C13"/>
    <mergeCell ref="A45:D45"/>
    <mergeCell ref="B5:D5"/>
    <mergeCell ref="A79:D79"/>
    <mergeCell ref="A69:D69"/>
    <mergeCell ref="B10:C10"/>
    <mergeCell ref="B9:C9"/>
    <mergeCell ref="A46:D46"/>
    <mergeCell ref="A80:D80"/>
    <mergeCell ref="B6:C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65911"/>
    <outlinePr summaryBelow="1" summaryRight="1"/>
    <pageSetUpPr/>
  </sheetPr>
  <dimension ref="A1:G27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2" customWidth="1" min="1" max="1"/>
    <col width="42" customWidth="1" min="2" max="2"/>
    <col width="22" customWidth="1" min="3" max="3"/>
    <col width="16" customWidth="1" min="4" max="4"/>
    <col width="20" customWidth="1" min="5" max="5"/>
    <col width="12" customWidth="1" min="6" max="6"/>
    <col width="14" customWidth="1" min="7" max="7"/>
  </cols>
  <sheetData>
    <row r="1">
      <c r="A1" s="1" t="inlineStr">
        <is>
          <t>Deployment request</t>
        </is>
      </c>
    </row>
    <row r="2">
      <c r="A2" s="18" t="inlineStr">
        <is>
          <t>Yellow cells are the only inputs. One row per SKU. Both SKU and VM count are required for a line to count.</t>
        </is>
      </c>
    </row>
    <row r="4">
      <c r="A4" s="19" t="inlineStr">
        <is>
          <t>Geography</t>
        </is>
      </c>
      <c r="B4" s="20" t="inlineStr">
        <is>
          <t>US</t>
        </is>
      </c>
      <c r="C4" s="21" t="inlineStr">
        <is>
          <t>US, EU, Australia, Asia Pacific, or Middle East</t>
        </is>
      </c>
    </row>
    <row r="5">
      <c r="A5" s="19" t="inlineStr">
        <is>
          <t>Customer ID</t>
        </is>
      </c>
      <c r="B5" s="20" t="inlineStr">
        <is>
          <t>CUST-1008</t>
        </is>
      </c>
    </row>
    <row r="6">
      <c r="A6" s="19" t="inlineStr">
        <is>
          <t>Prod region id (blank = do not auto-pick)</t>
        </is>
      </c>
      <c r="B6" s="20" t="inlineStr"/>
      <c r="C6" s="21" t="inlineStr">
        <is>
          <t>PLC-001. Restricted ids are allowed here: eastus2, northeurope, westeurope.</t>
        </is>
      </c>
    </row>
    <row r="7">
      <c r="A7" s="19" t="inlineStr">
        <is>
          <t>Geography-only exception approved (Y/N)</t>
        </is>
      </c>
      <c r="B7" s="20" t="inlineStr">
        <is>
          <t>Y</t>
        </is>
      </c>
      <c r="C7" s="21" t="inlineStr">
        <is>
          <t>PLC-002. Must be Y when Prod region is blank. Ignored when a Prod region is named.</t>
        </is>
      </c>
    </row>
    <row r="8">
      <c r="A8" s="19" t="inlineStr">
        <is>
          <t>DR offered (Y/N)</t>
        </is>
      </c>
      <c r="B8" s="20" t="inlineStr">
        <is>
          <t>Y</t>
        </is>
      </c>
      <c r="C8" s="21" t="inlineStr">
        <is>
          <t>N writes DR_NOT_OFFERED and does not reserve DR cores.</t>
        </is>
      </c>
    </row>
    <row r="9">
      <c r="A9" s="19" t="inlineStr">
        <is>
          <t>Distribution model</t>
        </is>
      </c>
      <c r="B9" s="22">
        <f>IF(B4="","",VLOOKUP(B4,Policy!D5:F9,2,FALSE))</f>
        <v/>
      </c>
    </row>
    <row r="10">
      <c r="A10" s="19" t="inlineStr">
        <is>
          <t>DR scope geography</t>
        </is>
      </c>
      <c r="B10" s="22">
        <f>IF(B4="","",VLOOKUP(B4,Policy!D5:F9,3,FALSE))</f>
        <v/>
      </c>
    </row>
    <row r="11">
      <c r="A11" s="19" t="inlineStr">
        <is>
          <t>Co-host DR with CVAL</t>
        </is>
      </c>
      <c r="B11" s="22">
        <f>IF(B4="","",VLOOKUP(B4,Policy!D5:G9,4,FALSE))</f>
        <v/>
      </c>
      <c r="C11" s="18" t="inlineStr">
        <is>
          <t>From Policy column G. Y does not change B9. Cross-geo ignores it.</t>
        </is>
      </c>
    </row>
    <row r="12">
      <c r="A12" s="12" t="inlineStr">
        <is>
          <t>SKU</t>
        </is>
      </c>
      <c r="B12" s="12" t="inlineStr">
        <is>
          <t>VM count</t>
        </is>
      </c>
      <c r="C12" s="12" t="inlineStr">
        <is>
          <t>vCPU / VM</t>
        </is>
      </c>
      <c r="D12" s="12" t="inlineStr">
        <is>
          <t>Line cores</t>
        </is>
      </c>
      <c r="E12" s="12" t="inlineStr">
        <is>
          <t>Quota family</t>
        </is>
      </c>
      <c r="F12" s="12" t="inlineStr">
        <is>
          <t>Active</t>
        </is>
      </c>
      <c r="G12" s="12" t="inlineStr">
        <is>
          <t>Duplicate</t>
        </is>
      </c>
    </row>
    <row r="13">
      <c r="A13" s="20" t="inlineStr">
        <is>
          <t>Standard_E32ads_v5</t>
        </is>
      </c>
      <c r="B13" s="23" t="n">
        <v>4</v>
      </c>
      <c r="C13" s="24">
        <f>IF(A13="","",VLOOKUP(A13,SKU_Catalogue!A$5:C$12,2,FALSE))</f>
        <v/>
      </c>
      <c r="D13" s="24">
        <f>IF(OR(A13="",NOT(ISNUMBER(B13)),B13&lt;=0),"",B13*C13)</f>
        <v/>
      </c>
      <c r="E13" s="25">
        <f>IF(A13="","",VLOOKUP(A13,SKU_Catalogue!A$5:C$12,3,FALSE))</f>
        <v/>
      </c>
      <c r="F13" s="24">
        <f>IF(AND(A13&lt;&gt;"",ISNUMBER(B13),B13&gt;0),1,0)</f>
        <v/>
      </c>
      <c r="G13" s="24">
        <f>IF(A13="",0,IF(COUNTIF($A$13:$A$20,A13)&gt;1,1,0))</f>
        <v/>
      </c>
    </row>
    <row r="14">
      <c r="A14" s="20" t="inlineStr">
        <is>
          <t>Standard_D8as_v5</t>
        </is>
      </c>
      <c r="B14" s="23" t="n">
        <v>2</v>
      </c>
      <c r="C14" s="24">
        <f>IF(A14="","",VLOOKUP(A14,SKU_Catalogue!A$5:C$12,2,FALSE))</f>
        <v/>
      </c>
      <c r="D14" s="24">
        <f>IF(OR(A14="",NOT(ISNUMBER(B14)),B14&lt;=0),"",B14*C14)</f>
        <v/>
      </c>
      <c r="E14" s="25">
        <f>IF(A14="","",VLOOKUP(A14,SKU_Catalogue!A$5:C$12,3,FALSE))</f>
        <v/>
      </c>
      <c r="F14" s="24">
        <f>IF(AND(A14&lt;&gt;"",ISNUMBER(B14),B14&gt;0),1,0)</f>
        <v/>
      </c>
      <c r="G14" s="24">
        <f>IF(A14="",0,IF(COUNTIF($A$13:$A$20,A14)&gt;1,1,0))</f>
        <v/>
      </c>
    </row>
    <row r="15">
      <c r="A15" s="20" t="n"/>
      <c r="B15" s="23" t="n"/>
      <c r="C15" s="24">
        <f>IF(A15="","",VLOOKUP(A15,SKU_Catalogue!A$5:C$12,2,FALSE))</f>
        <v/>
      </c>
      <c r="D15" s="24">
        <f>IF(OR(A15="",NOT(ISNUMBER(B15)),B15&lt;=0),"",B15*C15)</f>
        <v/>
      </c>
      <c r="E15" s="25">
        <f>IF(A15="","",VLOOKUP(A15,SKU_Catalogue!A$5:C$12,3,FALSE))</f>
        <v/>
      </c>
      <c r="F15" s="24">
        <f>IF(AND(A15&lt;&gt;"",ISNUMBER(B15),B15&gt;0),1,0)</f>
        <v/>
      </c>
      <c r="G15" s="24">
        <f>IF(A15="",0,IF(COUNTIF($A$13:$A$20,A15)&gt;1,1,0))</f>
        <v/>
      </c>
    </row>
    <row r="16">
      <c r="A16" s="20" t="n"/>
      <c r="B16" s="23" t="n"/>
      <c r="C16" s="24">
        <f>IF(A16="","",VLOOKUP(A16,SKU_Catalogue!A$5:C$12,2,FALSE))</f>
        <v/>
      </c>
      <c r="D16" s="24">
        <f>IF(OR(A16="",NOT(ISNUMBER(B16)),B16&lt;=0),"",B16*C16)</f>
        <v/>
      </c>
      <c r="E16" s="25">
        <f>IF(A16="","",VLOOKUP(A16,SKU_Catalogue!A$5:C$12,3,FALSE))</f>
        <v/>
      </c>
      <c r="F16" s="24">
        <f>IF(AND(A16&lt;&gt;"",ISNUMBER(B16),B16&gt;0),1,0)</f>
        <v/>
      </c>
      <c r="G16" s="24">
        <f>IF(A16="",0,IF(COUNTIF($A$13:$A$20,A16)&gt;1,1,0))</f>
        <v/>
      </c>
    </row>
    <row r="17">
      <c r="A17" s="20" t="n"/>
      <c r="B17" s="23" t="n"/>
      <c r="C17" s="24">
        <f>IF(A17="","",VLOOKUP(A17,SKU_Catalogue!A$5:C$12,2,FALSE))</f>
        <v/>
      </c>
      <c r="D17" s="24">
        <f>IF(OR(A17="",NOT(ISNUMBER(B17)),B17&lt;=0),"",B17*C17)</f>
        <v/>
      </c>
      <c r="E17" s="25">
        <f>IF(A17="","",VLOOKUP(A17,SKU_Catalogue!A$5:C$12,3,FALSE))</f>
        <v/>
      </c>
      <c r="F17" s="24">
        <f>IF(AND(A17&lt;&gt;"",ISNUMBER(B17),B17&gt;0),1,0)</f>
        <v/>
      </c>
      <c r="G17" s="24">
        <f>IF(A17="",0,IF(COUNTIF($A$13:$A$20,A17)&gt;1,1,0))</f>
        <v/>
      </c>
    </row>
    <row r="18">
      <c r="A18" s="20" t="n"/>
      <c r="B18" s="23" t="n"/>
      <c r="C18" s="24">
        <f>IF(A18="","",VLOOKUP(A18,SKU_Catalogue!A$5:C$12,2,FALSE))</f>
        <v/>
      </c>
      <c r="D18" s="24">
        <f>IF(OR(A18="",NOT(ISNUMBER(B18)),B18&lt;=0),"",B18*C18)</f>
        <v/>
      </c>
      <c r="E18" s="25">
        <f>IF(A18="","",VLOOKUP(A18,SKU_Catalogue!A$5:C$12,3,FALSE))</f>
        <v/>
      </c>
      <c r="F18" s="24">
        <f>IF(AND(A18&lt;&gt;"",ISNUMBER(B18),B18&gt;0),1,0)</f>
        <v/>
      </c>
      <c r="G18" s="24">
        <f>IF(A18="",0,IF(COUNTIF($A$13:$A$20,A18)&gt;1,1,0))</f>
        <v/>
      </c>
    </row>
    <row r="19">
      <c r="A19" s="20" t="n"/>
      <c r="B19" s="23" t="n"/>
      <c r="C19" s="24">
        <f>IF(A19="","",VLOOKUP(A19,SKU_Catalogue!A$5:C$12,2,FALSE))</f>
        <v/>
      </c>
      <c r="D19" s="24">
        <f>IF(OR(A19="",NOT(ISNUMBER(B19)),B19&lt;=0),"",B19*C19)</f>
        <v/>
      </c>
      <c r="E19" s="25">
        <f>IF(A19="","",VLOOKUP(A19,SKU_Catalogue!A$5:C$12,3,FALSE))</f>
        <v/>
      </c>
      <c r="F19" s="24">
        <f>IF(AND(A19&lt;&gt;"",ISNUMBER(B19),B19&gt;0),1,0)</f>
        <v/>
      </c>
      <c r="G19" s="24">
        <f>IF(A19="",0,IF(COUNTIF($A$13:$A$20,A19)&gt;1,1,0))</f>
        <v/>
      </c>
    </row>
    <row r="20">
      <c r="A20" s="20" t="n"/>
      <c r="B20" s="23" t="n"/>
      <c r="C20" s="24">
        <f>IF(A20="","",VLOOKUP(A20,SKU_Catalogue!A$5:C$12,2,FALSE))</f>
        <v/>
      </c>
      <c r="D20" s="24">
        <f>IF(OR(A20="",NOT(ISNUMBER(B20)),B20&lt;=0),"",B20*C20)</f>
        <v/>
      </c>
      <c r="E20" s="25">
        <f>IF(A20="","",VLOOKUP(A20,SKU_Catalogue!A$5:C$12,3,FALSE))</f>
        <v/>
      </c>
      <c r="F20" s="24">
        <f>IF(AND(A20&lt;&gt;"",ISNUMBER(B20),B20&gt;0),1,0)</f>
        <v/>
      </c>
      <c r="G20" s="24">
        <f>IF(A20="",0,IF(COUNTIF($A$13:$A$20,A20)&gt;1,1,0))</f>
        <v/>
      </c>
    </row>
    <row r="22">
      <c r="A22" s="19" t="inlineStr">
        <is>
          <t>Active SKU lines</t>
        </is>
      </c>
      <c r="B22" s="26">
        <f>SUM(F13:F20)</f>
        <v/>
      </c>
    </row>
    <row r="23">
      <c r="A23" s="19" t="inlineStr">
        <is>
          <t>Total requested cores</t>
        </is>
      </c>
      <c r="B23" s="26">
        <f>SUM(D13:D20)</f>
        <v/>
      </c>
    </row>
    <row r="24">
      <c r="A24" s="19" t="inlineStr">
        <is>
          <t>SKU uniqueness</t>
        </is>
      </c>
      <c r="B24" s="15">
        <f>IF(SUM(G13:G20)&gt;0,"DUPLICATE SKU","OK")</f>
        <v/>
      </c>
    </row>
    <row r="25">
      <c r="A25" s="19" t="inlineStr">
        <is>
          <t>DR bootstrap cores (all lines)</t>
        </is>
      </c>
      <c r="B25" s="26">
        <f>IF(B8&lt;&gt;"Y",0,ROUND(B23*Policy!B15,0))</f>
        <v/>
      </c>
    </row>
    <row r="27">
      <c r="A27" t="inlineStr">
        <is>
          <t>Prod path</t>
        </is>
      </c>
      <c r="B27" s="6">
        <f>IF(B22=0,"Enter at least one SKU line",IF(Policy!B10&lt;&gt;"OK","Weights must sum to 1",IF(B24&lt;&gt;"OK","Remove duplicate SKUs",IF(B6&lt;&gt;"","Validate the named Prod region",IF(B7="Y","Exception path: score Standard regions in this geography","Blocked: name a Prod region or approve the geography exception")))))</f>
        <v/>
      </c>
      <c r="C27" s="7" t="n"/>
      <c r="D27" s="7" t="n"/>
      <c r="E27" s="8" t="n"/>
    </row>
  </sheetData>
  <autoFilter ref="A12:G20"/>
  <mergeCells count="1">
    <mergeCell ref="B27:E27"/>
  </mergeCells>
  <dataValidations count="4">
    <dataValidation sqref="B4" showDropDown="0" showInputMessage="0" showErrorMessage="0" allowBlank="0" type="list">
      <formula1>"US,EU,Australia,Asia Pacific,Middle East"</formula1>
    </dataValidation>
    <dataValidation sqref="B7 B8" showDropDown="0" showInputMessage="0" showErrorMessage="0" allowBlank="0" type="list">
      <formula1>"Y,N"</formula1>
    </dataValidation>
    <dataValidation sqref="B6" showDropDown="0" showInputMessage="0" showErrorMessage="0" allowBlank="1" type="list">
      <formula1>"westus3,centralus,canadacentral,eastus2,switzerlandnorth,swedencentral,northeurope,westeurope,australiaeast,australiasoutheast,eastasia,southeastasia,saudicentral,uaenorth"</formula1>
    </dataValidation>
    <dataValidation sqref="A13:A20" showDropDown="0" showInputMessage="0" showErrorMessage="0" allowBlank="1" type="list">
      <formula1>"Standard_E32ads_v5,Standard_E64ads_v5,Standard_E16ads_v5,Standard_E32ads_v6,Standard_D8ads_v5,Standard_D16ads_v5,Standard_D8as_v5,Standard_D16as_v5"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65911"/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8" customWidth="1" min="1" max="1"/>
    <col width="22" customWidth="1" min="2" max="2"/>
    <col width="3" customWidth="1" min="3" max="3"/>
    <col width="22" customWidth="1" min="4" max="4"/>
    <col width="16" customWidth="1" min="5" max="5"/>
    <col width="18" customWidth="1" min="6" max="6"/>
    <col width="26" customWidth="1" min="7" max="7"/>
  </cols>
  <sheetData>
    <row r="1">
      <c r="A1" s="1" t="inlineStr">
        <is>
          <t>Placement policy</t>
        </is>
      </c>
    </row>
    <row r="2">
      <c r="A2" s="18" t="inlineStr">
        <is>
          <t>Yellow cells are inputs. The score is invalid unless the five weights sum to 1.00.</t>
        </is>
      </c>
    </row>
    <row r="3">
      <c r="D3" s="27" t="inlineStr">
        <is>
          <t>Geography model (REG-003)</t>
        </is>
      </c>
    </row>
    <row r="4">
      <c r="A4" s="19" t="inlineStr">
        <is>
          <t>α capacity headroom</t>
        </is>
      </c>
      <c r="B4" s="28" t="n">
        <v>0.3</v>
      </c>
      <c r="D4" s="12" t="inlineStr">
        <is>
          <t>Geography</t>
        </is>
      </c>
      <c r="E4" s="12" t="inlineStr">
        <is>
          <t>Model</t>
        </is>
      </c>
      <c r="F4" s="12" t="inlineStr">
        <is>
          <t>DR scope</t>
        </is>
      </c>
      <c r="G4" s="12" t="inlineStr">
        <is>
          <t>Co-host DR with CVAL</t>
        </is>
      </c>
    </row>
    <row r="5">
      <c r="A5" s="19" t="inlineStr">
        <is>
          <t>β quota headroom</t>
        </is>
      </c>
      <c r="B5" s="28" t="n">
        <v>0.2</v>
      </c>
      <c r="D5" s="6" t="inlineStr">
        <is>
          <t>US</t>
        </is>
      </c>
      <c r="E5" s="6" t="inlineStr">
        <is>
          <t>3-region</t>
        </is>
      </c>
      <c r="F5" s="6" t="inlineStr">
        <is>
          <t>US</t>
        </is>
      </c>
      <c r="G5" s="29" t="inlineStr">
        <is>
          <t>N</t>
        </is>
      </c>
    </row>
    <row r="6">
      <c r="A6" s="19" t="inlineStr">
        <is>
          <t>γ distribution fairness</t>
        </is>
      </c>
      <c r="B6" s="28" t="n">
        <v>0.25</v>
      </c>
      <c r="D6" s="6" t="inlineStr">
        <is>
          <t>EU</t>
        </is>
      </c>
      <c r="E6" s="6" t="inlineStr">
        <is>
          <t>2-region</t>
        </is>
      </c>
      <c r="F6" s="6" t="inlineStr">
        <is>
          <t>EU</t>
        </is>
      </c>
      <c r="G6" s="29" t="inlineStr">
        <is>
          <t>Y</t>
        </is>
      </c>
    </row>
    <row r="7">
      <c r="A7" s="19" t="inlineStr">
        <is>
          <t>δ DR readiness</t>
        </is>
      </c>
      <c r="B7" s="28" t="n">
        <v>0.15</v>
      </c>
      <c r="D7" s="6" t="inlineStr">
        <is>
          <t>Australia</t>
        </is>
      </c>
      <c r="E7" s="6" t="inlineStr">
        <is>
          <t>2-region</t>
        </is>
      </c>
      <c r="F7" s="6" t="inlineStr">
        <is>
          <t>Australia</t>
        </is>
      </c>
      <c r="G7" s="29" t="inlineStr">
        <is>
          <t>Y</t>
        </is>
      </c>
    </row>
    <row r="8">
      <c r="A8" s="19" t="inlineStr">
        <is>
          <t>ε zone diversity</t>
        </is>
      </c>
      <c r="B8" s="28" t="n">
        <v>0.1</v>
      </c>
      <c r="D8" s="6" t="inlineStr">
        <is>
          <t>Asia Pacific</t>
        </is>
      </c>
      <c r="E8" s="6" t="inlineStr">
        <is>
          <t>2-region</t>
        </is>
      </c>
      <c r="F8" s="6" t="inlineStr">
        <is>
          <t>Asia Pacific</t>
        </is>
      </c>
      <c r="G8" s="29" t="inlineStr">
        <is>
          <t>Y</t>
        </is>
      </c>
    </row>
    <row r="9">
      <c r="A9" s="19" t="inlineStr">
        <is>
          <t>Weight sum</t>
        </is>
      </c>
      <c r="B9" s="30">
        <f>SUM(B4:B8)</f>
        <v/>
      </c>
      <c r="D9" s="6" t="inlineStr">
        <is>
          <t>Middle East</t>
        </is>
      </c>
      <c r="E9" s="6" t="inlineStr">
        <is>
          <t>cross-geo</t>
        </is>
      </c>
      <c r="F9" s="6" t="inlineStr">
        <is>
          <t>EU</t>
        </is>
      </c>
      <c r="G9" s="29" t="inlineStr">
        <is>
          <t>N</t>
        </is>
      </c>
    </row>
    <row r="10">
      <c r="A10" s="19" t="inlineStr">
        <is>
          <t>Weight check</t>
        </is>
      </c>
      <c r="B10" s="25">
        <f>IF(ABS(B9-1)&lt;0.001,"OK","INVALID")</f>
        <v/>
      </c>
    </row>
    <row r="11">
      <c r="D11" s="18" t="inlineStr">
        <is>
          <t>Middle East DR scope is EU. CVAL co-locates with Prod. The co-host column does not apply to cross-geo: DR stays in Europe.</t>
        </is>
      </c>
    </row>
    <row r="12">
      <c r="A12" s="19" t="inlineStr">
        <is>
          <t>Risk threshold (α below this is READY_WITH_RISK)</t>
        </is>
      </c>
      <c r="B12" s="28" t="n">
        <v>0.1</v>
      </c>
      <c r="D12" s="18" t="inlineStr">
        <is>
          <t>Co-host Y places DR on the CVAL region without changing the Model column. HC-6 still runs only for a 2-region model. Other hard gates still apply to that DR region.</t>
        </is>
      </c>
    </row>
    <row r="13">
      <c r="A13" s="19" t="inlineStr">
        <is>
          <t>HC-2 capacity-floor multiplier</t>
        </is>
      </c>
      <c r="B13" s="23" t="n">
        <v>1</v>
      </c>
    </row>
    <row r="14">
      <c r="A14" s="19" t="inlineStr">
        <is>
          <t>HC-3 minimum quota left after the placement (cores)</t>
        </is>
      </c>
      <c r="B14" s="31" t="n">
        <v>20</v>
      </c>
    </row>
    <row r="15">
      <c r="A15" s="19" t="inlineStr">
        <is>
          <t>DR bootstrap fraction of requested cores (DR-007)</t>
        </is>
      </c>
      <c r="B15" s="28" t="n">
        <v>0.1</v>
      </c>
    </row>
    <row r="16">
      <c r="A16" s="19" t="inlineStr">
        <is>
          <t>Policy version</t>
        </is>
      </c>
      <c r="B16" s="22" t="inlineStr">
        <is>
          <t>v2.4-aligned-mock</t>
        </is>
      </c>
    </row>
    <row r="17">
      <c r="A17" s="19" t="inlineStr">
        <is>
          <t>total_customers source</t>
        </is>
      </c>
      <c r="B17" s="22" t="inlineStr">
        <is>
          <t>Live geography count (PLC-012); γ = 1 when zero</t>
        </is>
      </c>
    </row>
    <row r="18">
      <c r="A18" s="18" t="inlineStr">
        <is>
          <t>δ DR divides the region's coverage ratio by the bootstrap fraction in B15, then clamps to 1.</t>
        </is>
      </c>
    </row>
    <row r="19">
      <c r="A19" s="18" t="inlineStr">
        <is>
          <t>HC-2 reference multiplier in the hard-constraint note is 2. B13 ships at 1 so the sample request fits the mock estate.</t>
        </is>
      </c>
    </row>
  </sheetData>
  <mergeCells count="1">
    <mergeCell ref="D12:G12"/>
  </mergeCells>
  <dataValidations count="1">
    <dataValidation sqref="G5:G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J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8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78" customWidth="1" min="10" max="10"/>
  </cols>
  <sheetData>
    <row r="1">
      <c r="A1" s="1" t="inlineStr">
        <is>
          <t>In-scope region catalogue — baseline v2.4 Section 6</t>
        </is>
      </c>
    </row>
    <row r="2">
      <c r="A2" s="18" t="inlineStr">
        <is>
          <t>Class and model are the baseline, not the earlier what-if promotion of Restricted regions.</t>
        </is>
      </c>
    </row>
    <row r="4" ht="32" customHeight="1">
      <c r="A4" s="12" t="inlineStr">
        <is>
          <t>Region</t>
        </is>
      </c>
      <c r="B4" s="12" t="inlineStr">
        <is>
          <t>Region id</t>
        </is>
      </c>
      <c r="C4" s="12" t="inlineStr">
        <is>
          <t>Geography</t>
        </is>
      </c>
      <c r="D4" s="12" t="inlineStr">
        <is>
          <t>AZ</t>
        </is>
      </c>
      <c r="E4" s="12" t="inlineStr">
        <is>
          <t>Model</t>
        </is>
      </c>
      <c r="F4" s="12" t="inlineStr">
        <is>
          <t>DR scope</t>
        </is>
      </c>
      <c r="G4" s="12" t="inlineStr">
        <is>
          <t>Class</t>
        </is>
      </c>
      <c r="H4" s="12" t="inlineStr">
        <is>
          <t>Customers</t>
        </is>
      </c>
      <c r="I4" s="12" t="inlineStr">
        <is>
          <t>DR coverage</t>
        </is>
      </c>
      <c r="J4" s="12" t="inlineStr">
        <is>
          <t>Note</t>
        </is>
      </c>
    </row>
    <row r="5">
      <c r="A5" s="32" t="inlineStr">
        <is>
          <t>West US 3</t>
        </is>
      </c>
      <c r="B5" s="32" t="inlineStr">
        <is>
          <t>westus3</t>
        </is>
      </c>
      <c r="C5" s="33" t="inlineStr">
        <is>
          <t>US</t>
        </is>
      </c>
      <c r="D5" s="34" t="n">
        <v>3</v>
      </c>
      <c r="E5" s="33" t="inlineStr">
        <is>
          <t>3-region</t>
        </is>
      </c>
      <c r="F5" s="33" t="inlineStr">
        <is>
          <t>US</t>
        </is>
      </c>
      <c r="G5" s="33" t="inlineStr">
        <is>
          <t>Standard</t>
        </is>
      </c>
      <c r="H5" s="34" t="n">
        <v>40</v>
      </c>
      <c r="I5" s="35" t="n">
        <v>0.5</v>
      </c>
      <c r="J5" s="32" t="inlineStr">
        <is>
          <t>Synthetic estate</t>
        </is>
      </c>
    </row>
    <row r="6">
      <c r="A6" s="32" t="inlineStr">
        <is>
          <t>Central US</t>
        </is>
      </c>
      <c r="B6" s="32" t="inlineStr">
        <is>
          <t>centralus</t>
        </is>
      </c>
      <c r="C6" s="33" t="inlineStr">
        <is>
          <t>US</t>
        </is>
      </c>
      <c r="D6" s="34" t="n">
        <v>3</v>
      </c>
      <c r="E6" s="33" t="inlineStr">
        <is>
          <t>3-region</t>
        </is>
      </c>
      <c r="F6" s="33" t="inlineStr">
        <is>
          <t>US</t>
        </is>
      </c>
      <c r="G6" s="33" t="inlineStr">
        <is>
          <t>Standard</t>
        </is>
      </c>
      <c r="H6" s="34" t="n">
        <v>25</v>
      </c>
      <c r="I6" s="35" t="n">
        <v>0.45</v>
      </c>
      <c r="J6" s="32" t="inlineStr">
        <is>
          <t>Synthetic estate</t>
        </is>
      </c>
    </row>
    <row r="7">
      <c r="A7" s="22" t="inlineStr">
        <is>
          <t>Canada Central</t>
        </is>
      </c>
      <c r="B7" s="22" t="inlineStr">
        <is>
          <t>canadacentral</t>
        </is>
      </c>
      <c r="C7" s="25" t="inlineStr">
        <is>
          <t>US</t>
        </is>
      </c>
      <c r="D7" s="36" t="n">
        <v>3</v>
      </c>
      <c r="E7" s="25" t="inlineStr">
        <is>
          <t>3-region</t>
        </is>
      </c>
      <c r="F7" s="25" t="inlineStr">
        <is>
          <t>US</t>
        </is>
      </c>
      <c r="G7" s="25" t="inlineStr">
        <is>
          <t>Standard</t>
        </is>
      </c>
      <c r="H7" s="36" t="n">
        <v>12</v>
      </c>
      <c r="I7" s="37" t="n">
        <v>0.6</v>
      </c>
      <c r="J7" s="22" t="inlineStr">
        <is>
          <t>Synthetic — region is in the catalogue but not in the local usage extracts</t>
        </is>
      </c>
    </row>
    <row r="8">
      <c r="A8" s="38" t="inlineStr">
        <is>
          <t>East US 2</t>
        </is>
      </c>
      <c r="B8" s="38" t="inlineStr">
        <is>
          <t>eastus2</t>
        </is>
      </c>
      <c r="C8" s="39" t="inlineStr">
        <is>
          <t>US</t>
        </is>
      </c>
      <c r="D8" s="40" t="n">
        <v>3</v>
      </c>
      <c r="E8" s="39" t="inlineStr">
        <is>
          <t>3-region</t>
        </is>
      </c>
      <c r="F8" s="39" t="inlineStr">
        <is>
          <t>US</t>
        </is>
      </c>
      <c r="G8" s="39" t="inlineStr">
        <is>
          <t>Restricted</t>
        </is>
      </c>
      <c r="H8" s="40" t="n">
        <v>18</v>
      </c>
      <c r="I8" s="41" t="n">
        <v>0.4</v>
      </c>
      <c r="J8" s="38" t="inlineStr">
        <is>
          <t>Restricted — explicit Prod region only (Section 6)</t>
        </is>
      </c>
    </row>
    <row r="9">
      <c r="A9" s="32" t="inlineStr">
        <is>
          <t>Switzerland North</t>
        </is>
      </c>
      <c r="B9" s="32" t="inlineStr">
        <is>
          <t>switzerlandnorth</t>
        </is>
      </c>
      <c r="C9" s="33" t="inlineStr">
        <is>
          <t>EU</t>
        </is>
      </c>
      <c r="D9" s="34" t="n">
        <v>3</v>
      </c>
      <c r="E9" s="33" t="inlineStr">
        <is>
          <t>2-region</t>
        </is>
      </c>
      <c r="F9" s="33" t="inlineStr">
        <is>
          <t>EU</t>
        </is>
      </c>
      <c r="G9" s="33" t="inlineStr">
        <is>
          <t>Standard</t>
        </is>
      </c>
      <c r="H9" s="34" t="n">
        <v>22</v>
      </c>
      <c r="I9" s="35" t="n">
        <v>0.5</v>
      </c>
      <c r="J9" s="32" t="inlineStr">
        <is>
          <t>Synthetic estate</t>
        </is>
      </c>
    </row>
    <row r="10">
      <c r="A10" s="32" t="inlineStr">
        <is>
          <t>Sweden Central</t>
        </is>
      </c>
      <c r="B10" s="32" t="inlineStr">
        <is>
          <t>swedencentral</t>
        </is>
      </c>
      <c r="C10" s="33" t="inlineStr">
        <is>
          <t>EU</t>
        </is>
      </c>
      <c r="D10" s="34" t="n">
        <v>3</v>
      </c>
      <c r="E10" s="33" t="inlineStr">
        <is>
          <t>2-region</t>
        </is>
      </c>
      <c r="F10" s="33" t="inlineStr">
        <is>
          <t>EU</t>
        </is>
      </c>
      <c r="G10" s="33" t="inlineStr">
        <is>
          <t>Standard</t>
        </is>
      </c>
      <c r="H10" s="34" t="n">
        <v>15</v>
      </c>
      <c r="I10" s="35" t="n">
        <v>0.58</v>
      </c>
      <c r="J10" s="32" t="inlineStr">
        <is>
          <t>Synthetic estate</t>
        </is>
      </c>
    </row>
    <row r="11">
      <c r="A11" s="38" t="inlineStr">
        <is>
          <t>North Europe</t>
        </is>
      </c>
      <c r="B11" s="38" t="inlineStr">
        <is>
          <t>northeurope</t>
        </is>
      </c>
      <c r="C11" s="39" t="inlineStr">
        <is>
          <t>EU</t>
        </is>
      </c>
      <c r="D11" s="40" t="n">
        <v>3</v>
      </c>
      <c r="E11" s="39" t="inlineStr">
        <is>
          <t>2-region</t>
        </is>
      </c>
      <c r="F11" s="39" t="inlineStr">
        <is>
          <t>EU</t>
        </is>
      </c>
      <c r="G11" s="39" t="inlineStr">
        <is>
          <t>Restricted</t>
        </is>
      </c>
      <c r="H11" s="40" t="n">
        <v>10</v>
      </c>
      <c r="I11" s="41" t="n">
        <v>0.35</v>
      </c>
      <c r="J11" s="38" t="inlineStr">
        <is>
          <t>Restricted — explicit Prod region only</t>
        </is>
      </c>
    </row>
    <row r="12">
      <c r="A12" s="38" t="inlineStr">
        <is>
          <t>West Europe</t>
        </is>
      </c>
      <c r="B12" s="38" t="inlineStr">
        <is>
          <t>westeurope</t>
        </is>
      </c>
      <c r="C12" s="39" t="inlineStr">
        <is>
          <t>EU</t>
        </is>
      </c>
      <c r="D12" s="40" t="n">
        <v>3</v>
      </c>
      <c r="E12" s="39" t="inlineStr">
        <is>
          <t>2-region</t>
        </is>
      </c>
      <c r="F12" s="39" t="inlineStr">
        <is>
          <t>EU</t>
        </is>
      </c>
      <c r="G12" s="39" t="inlineStr">
        <is>
          <t>Restricted</t>
        </is>
      </c>
      <c r="H12" s="40" t="n">
        <v>20</v>
      </c>
      <c r="I12" s="41" t="n">
        <v>0.42</v>
      </c>
      <c r="J12" s="38" t="inlineStr">
        <is>
          <t>Restricted — explicit Prod region only</t>
        </is>
      </c>
    </row>
    <row r="13">
      <c r="A13" s="32" t="inlineStr">
        <is>
          <t>Australia East</t>
        </is>
      </c>
      <c r="B13" s="32" t="inlineStr">
        <is>
          <t>australiaeast</t>
        </is>
      </c>
      <c r="C13" s="33" t="inlineStr">
        <is>
          <t>Australia</t>
        </is>
      </c>
      <c r="D13" s="34" t="n">
        <v>3</v>
      </c>
      <c r="E13" s="33" t="inlineStr">
        <is>
          <t>2-region</t>
        </is>
      </c>
      <c r="F13" s="33" t="inlineStr">
        <is>
          <t>Australia</t>
        </is>
      </c>
      <c r="G13" s="33" t="inlineStr">
        <is>
          <t>Standard</t>
        </is>
      </c>
      <c r="H13" s="34" t="n">
        <v>14</v>
      </c>
      <c r="I13" s="35" t="n">
        <v>0.48</v>
      </c>
      <c r="J13" s="32" t="inlineStr">
        <is>
          <t>Synthetic estate</t>
        </is>
      </c>
    </row>
    <row r="14">
      <c r="A14" s="32" t="inlineStr">
        <is>
          <t>Australia Southeast</t>
        </is>
      </c>
      <c r="B14" s="32" t="inlineStr">
        <is>
          <t>australiasoutheast</t>
        </is>
      </c>
      <c r="C14" s="33" t="inlineStr">
        <is>
          <t>Australia</t>
        </is>
      </c>
      <c r="D14" s="34" t="n">
        <v>2</v>
      </c>
      <c r="E14" s="33" t="inlineStr">
        <is>
          <t>2-region</t>
        </is>
      </c>
      <c r="F14" s="33" t="inlineStr">
        <is>
          <t>Australia</t>
        </is>
      </c>
      <c r="G14" s="33" t="inlineStr">
        <is>
          <t>Standard</t>
        </is>
      </c>
      <c r="H14" s="34" t="n">
        <v>8</v>
      </c>
      <c r="I14" s="35" t="n">
        <v>0.52</v>
      </c>
      <c r="J14" s="32" t="inlineStr">
        <is>
          <t>2 availability zones — ε = 2/3</t>
        </is>
      </c>
    </row>
    <row r="15">
      <c r="A15" s="32" t="inlineStr">
        <is>
          <t>East Asia</t>
        </is>
      </c>
      <c r="B15" s="32" t="inlineStr">
        <is>
          <t>eastasia</t>
        </is>
      </c>
      <c r="C15" s="33" t="inlineStr">
        <is>
          <t>Asia Pacific</t>
        </is>
      </c>
      <c r="D15" s="34" t="n">
        <v>3</v>
      </c>
      <c r="E15" s="33" t="inlineStr">
        <is>
          <t>2-region</t>
        </is>
      </c>
      <c r="F15" s="33" t="inlineStr">
        <is>
          <t>Asia Pacific</t>
        </is>
      </c>
      <c r="G15" s="33" t="inlineStr">
        <is>
          <t>Standard</t>
        </is>
      </c>
      <c r="H15" s="34" t="n">
        <v>11</v>
      </c>
      <c r="I15" s="35" t="n">
        <v>0.44</v>
      </c>
      <c r="J15" s="32" t="inlineStr">
        <is>
          <t>Synthetic estate. Japan East is not in the catalogue.</t>
        </is>
      </c>
    </row>
    <row r="16">
      <c r="A16" s="32" t="inlineStr">
        <is>
          <t>Southeast Asia</t>
        </is>
      </c>
      <c r="B16" s="32" t="inlineStr">
        <is>
          <t>southeastasia</t>
        </is>
      </c>
      <c r="C16" s="33" t="inlineStr">
        <is>
          <t>Asia Pacific</t>
        </is>
      </c>
      <c r="D16" s="34" t="n">
        <v>3</v>
      </c>
      <c r="E16" s="33" t="inlineStr">
        <is>
          <t>2-region</t>
        </is>
      </c>
      <c r="F16" s="33" t="inlineStr">
        <is>
          <t>Asia Pacific</t>
        </is>
      </c>
      <c r="G16" s="33" t="inlineStr">
        <is>
          <t>Standard</t>
        </is>
      </c>
      <c r="H16" s="34" t="n">
        <v>16</v>
      </c>
      <c r="I16" s="35" t="n">
        <v>0.5</v>
      </c>
      <c r="J16" s="32" t="inlineStr">
        <is>
          <t>Synthetic estate</t>
        </is>
      </c>
    </row>
    <row r="17">
      <c r="A17" s="22" t="inlineStr">
        <is>
          <t>Saudi Arabia Central</t>
        </is>
      </c>
      <c r="B17" s="22" t="inlineStr">
        <is>
          <t>saudicentral</t>
        </is>
      </c>
      <c r="C17" s="25" t="inlineStr">
        <is>
          <t>Middle East</t>
        </is>
      </c>
      <c r="D17" s="36" t="n">
        <v>3</v>
      </c>
      <c r="E17" s="25" t="inlineStr">
        <is>
          <t>cross-geo</t>
        </is>
      </c>
      <c r="F17" s="25" t="inlineStr">
        <is>
          <t>EU</t>
        </is>
      </c>
      <c r="G17" s="25" t="inlineStr">
        <is>
          <t>Standard</t>
        </is>
      </c>
      <c r="H17" s="36" t="n">
        <v>4</v>
      </c>
      <c r="I17" s="37" t="n">
        <v>0</v>
      </c>
      <c r="J17" s="22" t="inlineStr">
        <is>
          <t>Synthetic. Local DR is 0 — DR is placed in Europe (DR-020).</t>
        </is>
      </c>
    </row>
    <row r="18">
      <c r="A18" s="22" t="inlineStr">
        <is>
          <t>UAE North</t>
        </is>
      </c>
      <c r="B18" s="22" t="inlineStr">
        <is>
          <t>uaenorth</t>
        </is>
      </c>
      <c r="C18" s="25" t="inlineStr">
        <is>
          <t>Middle East</t>
        </is>
      </c>
      <c r="D18" s="36" t="n">
        <v>3</v>
      </c>
      <c r="E18" s="25" t="inlineStr">
        <is>
          <t>cross-geo</t>
        </is>
      </c>
      <c r="F18" s="25" t="inlineStr">
        <is>
          <t>EU</t>
        </is>
      </c>
      <c r="G18" s="25" t="inlineStr">
        <is>
          <t>Standard</t>
        </is>
      </c>
      <c r="H18" s="36" t="n">
        <v>6</v>
      </c>
      <c r="I18" s="37" t="n">
        <v>0</v>
      </c>
      <c r="J18" s="22" t="inlineStr">
        <is>
          <t>Synthetic. Local DR is 0 — DR is placed in Europe (DR-020).</t>
        </is>
      </c>
    </row>
  </sheetData>
  <autoFilter ref="A4:J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22" customWidth="1" min="4" max="4"/>
    <col width="70" customWidth="1" min="5" max="5"/>
  </cols>
  <sheetData>
    <row r="1">
      <c r="A1" s="1" t="inlineStr">
        <is>
          <t>Managed SKU catalogue</t>
        </is>
      </c>
    </row>
    <row r="2">
      <c r="A2" s="18" t="inlineStr">
        <is>
          <t>Family names follow the Azure VM size (Eadsv5, Eadsv6, Dadsv5, Dasv5). Eight SKUs, several per family, so quota is shared.</t>
        </is>
      </c>
    </row>
    <row r="4" ht="32" customHeight="1">
      <c r="A4" s="12" t="inlineStr">
        <is>
          <t>SKU</t>
        </is>
      </c>
      <c r="B4" s="12" t="inlineStr">
        <is>
          <t>vCPU / VM</t>
        </is>
      </c>
      <c r="C4" s="12" t="inlineStr">
        <is>
          <t>Quota family</t>
        </is>
      </c>
      <c r="D4" s="12" t="inlineStr">
        <is>
          <t>Zonal reservation</t>
        </is>
      </c>
      <c r="E4" s="12" t="inlineStr">
        <is>
          <t>Note</t>
        </is>
      </c>
    </row>
    <row r="5">
      <c r="A5" s="32" t="inlineStr">
        <is>
          <t>Standard_E32ads_v5</t>
        </is>
      </c>
      <c r="B5" s="34" t="n">
        <v>32</v>
      </c>
      <c r="C5" s="33" t="inlineStr">
        <is>
          <t>Eadsv5</t>
        </is>
      </c>
      <c r="D5" s="33" t="inlineStr">
        <is>
          <t>Yes</t>
        </is>
      </c>
      <c r="E5" s="32" t="inlineStr">
        <is>
          <t>Seed-matrix member. Count starts from the mock estate, not from zero.</t>
        </is>
      </c>
    </row>
    <row r="6">
      <c r="A6" s="32" t="inlineStr">
        <is>
          <t>Standard_E64ads_v5</t>
        </is>
      </c>
      <c r="B6" s="34" t="n">
        <v>64</v>
      </c>
      <c r="C6" s="33" t="inlineStr">
        <is>
          <t>Eadsv5</t>
        </is>
      </c>
      <c r="D6" s="33" t="inlineStr">
        <is>
          <t>Yes</t>
        </is>
      </c>
      <c r="E6" s="32" t="inlineStr">
        <is>
          <t>Seed-matrix member. Count starts from the mock estate, not from zero.</t>
        </is>
      </c>
    </row>
    <row r="7">
      <c r="A7" s="32" t="inlineStr">
        <is>
          <t>Standard_E16ads_v5</t>
        </is>
      </c>
      <c r="B7" s="34" t="n">
        <v>16</v>
      </c>
      <c r="C7" s="33" t="inlineStr">
        <is>
          <t>Eadsv5</t>
        </is>
      </c>
      <c r="D7" s="33" t="inlineStr">
        <is>
          <t>Yes</t>
        </is>
      </c>
      <c r="E7" s="32" t="inlineStr">
        <is>
          <t>Seed-matrix member. Count starts from the mock estate, not from zero.</t>
        </is>
      </c>
    </row>
    <row r="8">
      <c r="A8" s="32" t="inlineStr">
        <is>
          <t>Standard_E32ads_v6</t>
        </is>
      </c>
      <c r="B8" s="34" t="n">
        <v>32</v>
      </c>
      <c r="C8" s="33" t="inlineStr">
        <is>
          <t>Eadsv6</t>
        </is>
      </c>
      <c r="D8" s="33" t="inlineStr">
        <is>
          <t>Yes</t>
        </is>
      </c>
      <c r="E8" s="32" t="inlineStr">
        <is>
          <t>Seed-matrix member. Count starts from the mock estate, not from zero.</t>
        </is>
      </c>
    </row>
    <row r="9">
      <c r="A9" s="32" t="inlineStr">
        <is>
          <t>Standard_D8ads_v5</t>
        </is>
      </c>
      <c r="B9" s="34" t="n">
        <v>8</v>
      </c>
      <c r="C9" s="33" t="inlineStr">
        <is>
          <t>Dadsv5</t>
        </is>
      </c>
      <c r="D9" s="33" t="inlineStr">
        <is>
          <t>Yes</t>
        </is>
      </c>
      <c r="E9" s="32" t="inlineStr">
        <is>
          <t>Seed-matrix member. Count starts from the mock estate, not from zero.</t>
        </is>
      </c>
    </row>
    <row r="10">
      <c r="A10" s="32" t="inlineStr">
        <is>
          <t>Standard_D16ads_v5</t>
        </is>
      </c>
      <c r="B10" s="34" t="n">
        <v>16</v>
      </c>
      <c r="C10" s="33" t="inlineStr">
        <is>
          <t>Dadsv5</t>
        </is>
      </c>
      <c r="D10" s="33" t="inlineStr">
        <is>
          <t>Yes</t>
        </is>
      </c>
      <c r="E10" s="32" t="inlineStr">
        <is>
          <t>Seed-matrix member. Count starts from the mock estate, not from zero.</t>
        </is>
      </c>
    </row>
    <row r="11">
      <c r="A11" s="32" t="inlineStr">
        <is>
          <t>Standard_D8as_v5</t>
        </is>
      </c>
      <c r="B11" s="34" t="n">
        <v>8</v>
      </c>
      <c r="C11" s="33" t="inlineStr">
        <is>
          <t>Dasv5</t>
        </is>
      </c>
      <c r="D11" s="33" t="inlineStr">
        <is>
          <t>Yes</t>
        </is>
      </c>
      <c r="E11" s="32" t="inlineStr">
        <is>
          <t>Seed-matrix member. Count starts from the mock estate, not from zero.</t>
        </is>
      </c>
    </row>
    <row r="12">
      <c r="A12" s="32" t="inlineStr">
        <is>
          <t>Standard_D16as_v5</t>
        </is>
      </c>
      <c r="B12" s="34" t="n">
        <v>16</v>
      </c>
      <c r="C12" s="33" t="inlineStr">
        <is>
          <t>Dasv5</t>
        </is>
      </c>
      <c r="D12" s="33" t="inlineStr">
        <is>
          <t>Yes</t>
        </is>
      </c>
      <c r="E12" s="32" t="inlineStr">
        <is>
          <t>Seed-matrix member. Count starts from the mock estate, not from zero.</t>
        </is>
      </c>
    </row>
  </sheetData>
  <autoFilter ref="A4:E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4" customWidth="1" min="5" max="5"/>
    <col width="12" customWidth="1" min="6" max="6"/>
    <col width="10" customWidth="1" min="7" max="7"/>
    <col width="22" customWidth="1" min="8" max="8"/>
    <col width="14" customWidth="1" min="9" max="9"/>
    <col width="12" customWidth="1" min="10" max="10"/>
    <col width="14" customWidth="1" min="11" max="11"/>
    <col width="16" customWidth="1" min="12" max="12"/>
    <col width="14" customWidth="1" min="13" max="13"/>
    <col width="62" customWidth="1" min="14" max="14"/>
  </cols>
  <sheetData>
    <row r="1">
      <c r="A1" s="1" t="inlineStr">
        <is>
          <t>Mock capacity reservations — one row per region, environment, and SKU</t>
        </is>
      </c>
    </row>
    <row r="2">
      <c r="A2" s="18" t="inlineStr">
        <is>
          <t>Yellow Allocated and Buffer cells are the mock estate. Reserved = Allocated + Buffer (CAP-003). Reserved-free = Buffer. CRG names are regional (crg-…-reg); per-AZ groups are not in this file. Middle East DR rows are zero because that DR lives in Europe.</t>
        </is>
      </c>
    </row>
    <row r="4" ht="32" customHeight="1">
      <c r="A4" s="12" t="inlineStr">
        <is>
          <t>Region</t>
        </is>
      </c>
      <c r="B4" s="12" t="inlineStr">
        <is>
          <t>Region id</t>
        </is>
      </c>
      <c r="C4" s="12" t="inlineStr">
        <is>
          <t>Geography</t>
        </is>
      </c>
      <c r="D4" s="12" t="inlineStr">
        <is>
          <t>Environment</t>
        </is>
      </c>
      <c r="E4" s="12" t="inlineStr">
        <is>
          <t>SKU</t>
        </is>
      </c>
      <c r="F4" s="12" t="inlineStr">
        <is>
          <t>Family</t>
        </is>
      </c>
      <c r="G4" s="12" t="inlineStr">
        <is>
          <t>vCPU</t>
        </is>
      </c>
      <c r="H4" s="12" t="inlineStr">
        <is>
          <t>CRG</t>
        </is>
      </c>
      <c r="I4" s="12" t="inlineStr">
        <is>
          <t>Allocated</t>
        </is>
      </c>
      <c r="J4" s="12" t="inlineStr">
        <is>
          <t>Buffer</t>
        </is>
      </c>
      <c r="K4" s="12" t="inlineStr">
        <is>
          <t>Reserved</t>
        </is>
      </c>
      <c r="L4" s="12" t="inlineStr">
        <is>
          <t>Reserved-free</t>
        </is>
      </c>
      <c r="M4" s="12" t="inlineStr">
        <is>
          <t>Class</t>
        </is>
      </c>
      <c r="N4" s="12" t="inlineStr">
        <is>
          <t>Note</t>
        </is>
      </c>
    </row>
    <row r="5">
      <c r="A5" s="32" t="inlineStr">
        <is>
          <t>West US 3</t>
        </is>
      </c>
      <c r="B5" s="32" t="inlineStr">
        <is>
          <t>westus3</t>
        </is>
      </c>
      <c r="C5" s="33" t="inlineStr">
        <is>
          <t>US</t>
        </is>
      </c>
      <c r="D5" s="33" t="inlineStr">
        <is>
          <t>Prod</t>
        </is>
      </c>
      <c r="E5" s="32" t="inlineStr">
        <is>
          <t>Standard_E32ads_v5</t>
        </is>
      </c>
      <c r="F5" s="33" t="inlineStr">
        <is>
          <t>Eadsv5</t>
        </is>
      </c>
      <c r="G5" s="34" t="n">
        <v>32</v>
      </c>
      <c r="H5" s="32" t="inlineStr">
        <is>
          <t>crg-pr-wus3-reg</t>
        </is>
      </c>
      <c r="I5" s="23" t="n">
        <v>600</v>
      </c>
      <c r="J5" s="23" t="n">
        <v>200</v>
      </c>
      <c r="K5" s="24">
        <f>I5+J5</f>
        <v/>
      </c>
      <c r="L5" s="24">
        <f>K5-I5</f>
        <v/>
      </c>
      <c r="M5" s="33" t="inlineStr">
        <is>
          <t>Standard</t>
        </is>
      </c>
      <c r="N5" s="32" t="inlineStr">
        <is>
          <t>Synthetic estate</t>
        </is>
      </c>
    </row>
    <row r="6">
      <c r="A6" s="32" t="inlineStr">
        <is>
          <t>West US 3</t>
        </is>
      </c>
      <c r="B6" s="32" t="inlineStr">
        <is>
          <t>westus3</t>
        </is>
      </c>
      <c r="C6" s="33" t="inlineStr">
        <is>
          <t>US</t>
        </is>
      </c>
      <c r="D6" s="33" t="inlineStr">
        <is>
          <t>Prod</t>
        </is>
      </c>
      <c r="E6" s="32" t="inlineStr">
        <is>
          <t>Standard_E64ads_v5</t>
        </is>
      </c>
      <c r="F6" s="33" t="inlineStr">
        <is>
          <t>Eadsv5</t>
        </is>
      </c>
      <c r="G6" s="34" t="n">
        <v>64</v>
      </c>
      <c r="H6" s="32" t="inlineStr">
        <is>
          <t>crg-pr-wus3-reg</t>
        </is>
      </c>
      <c r="I6" s="23" t="n">
        <v>1200</v>
      </c>
      <c r="J6" s="23" t="n">
        <v>400</v>
      </c>
      <c r="K6" s="24">
        <f>I6+J6</f>
        <v/>
      </c>
      <c r="L6" s="24">
        <f>K6-I6</f>
        <v/>
      </c>
      <c r="M6" s="33" t="inlineStr">
        <is>
          <t>Standard</t>
        </is>
      </c>
      <c r="N6" s="32" t="inlineStr">
        <is>
          <t>Synthetic estate</t>
        </is>
      </c>
    </row>
    <row r="7">
      <c r="A7" s="32" t="inlineStr">
        <is>
          <t>West US 3</t>
        </is>
      </c>
      <c r="B7" s="32" t="inlineStr">
        <is>
          <t>westus3</t>
        </is>
      </c>
      <c r="C7" s="33" t="inlineStr">
        <is>
          <t>US</t>
        </is>
      </c>
      <c r="D7" s="33" t="inlineStr">
        <is>
          <t>Prod</t>
        </is>
      </c>
      <c r="E7" s="32" t="inlineStr">
        <is>
          <t>Standard_E16ads_v5</t>
        </is>
      </c>
      <c r="F7" s="33" t="inlineStr">
        <is>
          <t>Eadsv5</t>
        </is>
      </c>
      <c r="G7" s="34" t="n">
        <v>16</v>
      </c>
      <c r="H7" s="32" t="inlineStr">
        <is>
          <t>crg-pr-wus3-reg</t>
        </is>
      </c>
      <c r="I7" s="23" t="n">
        <v>300</v>
      </c>
      <c r="J7" s="23" t="n">
        <v>100</v>
      </c>
      <c r="K7" s="24">
        <f>I7+J7</f>
        <v/>
      </c>
      <c r="L7" s="24">
        <f>K7-I7</f>
        <v/>
      </c>
      <c r="M7" s="33" t="inlineStr">
        <is>
          <t>Standard</t>
        </is>
      </c>
      <c r="N7" s="32" t="inlineStr">
        <is>
          <t>Synthetic estate</t>
        </is>
      </c>
    </row>
    <row r="8">
      <c r="A8" s="32" t="inlineStr">
        <is>
          <t>West US 3</t>
        </is>
      </c>
      <c r="B8" s="32" t="inlineStr">
        <is>
          <t>westus3</t>
        </is>
      </c>
      <c r="C8" s="33" t="inlineStr">
        <is>
          <t>US</t>
        </is>
      </c>
      <c r="D8" s="33" t="inlineStr">
        <is>
          <t>Prod</t>
        </is>
      </c>
      <c r="E8" s="32" t="inlineStr">
        <is>
          <t>Standard_E32ads_v6</t>
        </is>
      </c>
      <c r="F8" s="33" t="inlineStr">
        <is>
          <t>Eadsv6</t>
        </is>
      </c>
      <c r="G8" s="34" t="n">
        <v>32</v>
      </c>
      <c r="H8" s="32" t="inlineStr">
        <is>
          <t>crg-pr-wus3-reg</t>
        </is>
      </c>
      <c r="I8" s="23" t="n">
        <v>600</v>
      </c>
      <c r="J8" s="23" t="n">
        <v>200</v>
      </c>
      <c r="K8" s="24">
        <f>I8+J8</f>
        <v/>
      </c>
      <c r="L8" s="24">
        <f>K8-I8</f>
        <v/>
      </c>
      <c r="M8" s="33" t="inlineStr">
        <is>
          <t>Standard</t>
        </is>
      </c>
      <c r="N8" s="32" t="inlineStr">
        <is>
          <t>Synthetic estate</t>
        </is>
      </c>
    </row>
    <row r="9">
      <c r="A9" s="32" t="inlineStr">
        <is>
          <t>West US 3</t>
        </is>
      </c>
      <c r="B9" s="32" t="inlineStr">
        <is>
          <t>westus3</t>
        </is>
      </c>
      <c r="C9" s="33" t="inlineStr">
        <is>
          <t>US</t>
        </is>
      </c>
      <c r="D9" s="33" t="inlineStr">
        <is>
          <t>Prod</t>
        </is>
      </c>
      <c r="E9" s="32" t="inlineStr">
        <is>
          <t>Standard_D8ads_v5</t>
        </is>
      </c>
      <c r="F9" s="33" t="inlineStr">
        <is>
          <t>Dadsv5</t>
        </is>
      </c>
      <c r="G9" s="34" t="n">
        <v>8</v>
      </c>
      <c r="H9" s="32" t="inlineStr">
        <is>
          <t>crg-pr-wus3-reg</t>
        </is>
      </c>
      <c r="I9" s="23" t="n">
        <v>150</v>
      </c>
      <c r="J9" s="23" t="n">
        <v>50</v>
      </c>
      <c r="K9" s="24">
        <f>I9+J9</f>
        <v/>
      </c>
      <c r="L9" s="24">
        <f>K9-I9</f>
        <v/>
      </c>
      <c r="M9" s="33" t="inlineStr">
        <is>
          <t>Standard</t>
        </is>
      </c>
      <c r="N9" s="32" t="inlineStr">
        <is>
          <t>Synthetic estate</t>
        </is>
      </c>
    </row>
    <row r="10">
      <c r="A10" s="32" t="inlineStr">
        <is>
          <t>West US 3</t>
        </is>
      </c>
      <c r="B10" s="32" t="inlineStr">
        <is>
          <t>westus3</t>
        </is>
      </c>
      <c r="C10" s="33" t="inlineStr">
        <is>
          <t>US</t>
        </is>
      </c>
      <c r="D10" s="33" t="inlineStr">
        <is>
          <t>Prod</t>
        </is>
      </c>
      <c r="E10" s="32" t="inlineStr">
        <is>
          <t>Standard_D16ads_v5</t>
        </is>
      </c>
      <c r="F10" s="33" t="inlineStr">
        <is>
          <t>Dadsv5</t>
        </is>
      </c>
      <c r="G10" s="34" t="n">
        <v>16</v>
      </c>
      <c r="H10" s="32" t="inlineStr">
        <is>
          <t>crg-pr-wus3-reg</t>
        </is>
      </c>
      <c r="I10" s="23" t="n">
        <v>300</v>
      </c>
      <c r="J10" s="23" t="n">
        <v>100</v>
      </c>
      <c r="K10" s="24">
        <f>I10+J10</f>
        <v/>
      </c>
      <c r="L10" s="24">
        <f>K10-I10</f>
        <v/>
      </c>
      <c r="M10" s="33" t="inlineStr">
        <is>
          <t>Standard</t>
        </is>
      </c>
      <c r="N10" s="32" t="inlineStr">
        <is>
          <t>Synthetic estate</t>
        </is>
      </c>
    </row>
    <row r="11">
      <c r="A11" s="32" t="inlineStr">
        <is>
          <t>West US 3</t>
        </is>
      </c>
      <c r="B11" s="32" t="inlineStr">
        <is>
          <t>westus3</t>
        </is>
      </c>
      <c r="C11" s="33" t="inlineStr">
        <is>
          <t>US</t>
        </is>
      </c>
      <c r="D11" s="33" t="inlineStr">
        <is>
          <t>Prod</t>
        </is>
      </c>
      <c r="E11" s="32" t="inlineStr">
        <is>
          <t>Standard_D8as_v5</t>
        </is>
      </c>
      <c r="F11" s="33" t="inlineStr">
        <is>
          <t>Dasv5</t>
        </is>
      </c>
      <c r="G11" s="34" t="n">
        <v>8</v>
      </c>
      <c r="H11" s="32" t="inlineStr">
        <is>
          <t>crg-pr-wus3-reg</t>
        </is>
      </c>
      <c r="I11" s="23" t="n">
        <v>150</v>
      </c>
      <c r="J11" s="23" t="n">
        <v>50</v>
      </c>
      <c r="K11" s="24">
        <f>I11+J11</f>
        <v/>
      </c>
      <c r="L11" s="24">
        <f>K11-I11</f>
        <v/>
      </c>
      <c r="M11" s="33" t="inlineStr">
        <is>
          <t>Standard</t>
        </is>
      </c>
      <c r="N11" s="32" t="inlineStr">
        <is>
          <t>Synthetic estate</t>
        </is>
      </c>
    </row>
    <row r="12">
      <c r="A12" s="32" t="inlineStr">
        <is>
          <t>West US 3</t>
        </is>
      </c>
      <c r="B12" s="32" t="inlineStr">
        <is>
          <t>westus3</t>
        </is>
      </c>
      <c r="C12" s="33" t="inlineStr">
        <is>
          <t>US</t>
        </is>
      </c>
      <c r="D12" s="33" t="inlineStr">
        <is>
          <t>Prod</t>
        </is>
      </c>
      <c r="E12" s="32" t="inlineStr">
        <is>
          <t>Standard_D16as_v5</t>
        </is>
      </c>
      <c r="F12" s="33" t="inlineStr">
        <is>
          <t>Dasv5</t>
        </is>
      </c>
      <c r="G12" s="34" t="n">
        <v>16</v>
      </c>
      <c r="H12" s="32" t="inlineStr">
        <is>
          <t>crg-pr-wus3-reg</t>
        </is>
      </c>
      <c r="I12" s="23" t="n">
        <v>300</v>
      </c>
      <c r="J12" s="23" t="n">
        <v>100</v>
      </c>
      <c r="K12" s="24">
        <f>I12+J12</f>
        <v/>
      </c>
      <c r="L12" s="24">
        <f>K12-I12</f>
        <v/>
      </c>
      <c r="M12" s="33" t="inlineStr">
        <is>
          <t>Standard</t>
        </is>
      </c>
      <c r="N12" s="32" t="inlineStr">
        <is>
          <t>Synthetic estate</t>
        </is>
      </c>
    </row>
    <row r="13">
      <c r="A13" s="32" t="inlineStr">
        <is>
          <t>West US 3</t>
        </is>
      </c>
      <c r="B13" s="32" t="inlineStr">
        <is>
          <t>westus3</t>
        </is>
      </c>
      <c r="C13" s="33" t="inlineStr">
        <is>
          <t>US</t>
        </is>
      </c>
      <c r="D13" s="33" t="inlineStr">
        <is>
          <t>NonProd</t>
        </is>
      </c>
      <c r="E13" s="32" t="inlineStr">
        <is>
          <t>Standard_E32ads_v5</t>
        </is>
      </c>
      <c r="F13" s="33" t="inlineStr">
        <is>
          <t>Eadsv5</t>
        </is>
      </c>
      <c r="G13" s="34" t="n">
        <v>32</v>
      </c>
      <c r="H13" s="32" t="inlineStr">
        <is>
          <t>crg-np-wus3-reg</t>
        </is>
      </c>
      <c r="I13" s="23" t="n">
        <v>400</v>
      </c>
      <c r="J13" s="23" t="n">
        <v>520</v>
      </c>
      <c r="K13" s="24">
        <f>I13+J13</f>
        <v/>
      </c>
      <c r="L13" s="24">
        <f>K13-I13</f>
        <v/>
      </c>
      <c r="M13" s="33" t="inlineStr">
        <is>
          <t>Standard</t>
        </is>
      </c>
      <c r="N13" s="32" t="inlineStr">
        <is>
          <t>Synthetic estate</t>
        </is>
      </c>
    </row>
    <row r="14">
      <c r="A14" s="32" t="inlineStr">
        <is>
          <t>West US 3</t>
        </is>
      </c>
      <c r="B14" s="32" t="inlineStr">
        <is>
          <t>westus3</t>
        </is>
      </c>
      <c r="C14" s="33" t="inlineStr">
        <is>
          <t>US</t>
        </is>
      </c>
      <c r="D14" s="33" t="inlineStr">
        <is>
          <t>NonProd</t>
        </is>
      </c>
      <c r="E14" s="32" t="inlineStr">
        <is>
          <t>Standard_E64ads_v5</t>
        </is>
      </c>
      <c r="F14" s="33" t="inlineStr">
        <is>
          <t>Eadsv5</t>
        </is>
      </c>
      <c r="G14" s="34" t="n">
        <v>64</v>
      </c>
      <c r="H14" s="32" t="inlineStr">
        <is>
          <t>crg-np-wus3-reg</t>
        </is>
      </c>
      <c r="I14" s="23" t="n">
        <v>800</v>
      </c>
      <c r="J14" s="23" t="n">
        <v>1040</v>
      </c>
      <c r="K14" s="24">
        <f>I14+J14</f>
        <v/>
      </c>
      <c r="L14" s="24">
        <f>K14-I14</f>
        <v/>
      </c>
      <c r="M14" s="33" t="inlineStr">
        <is>
          <t>Standard</t>
        </is>
      </c>
      <c r="N14" s="32" t="inlineStr">
        <is>
          <t>Synthetic estate</t>
        </is>
      </c>
    </row>
    <row r="15">
      <c r="A15" s="32" t="inlineStr">
        <is>
          <t>West US 3</t>
        </is>
      </c>
      <c r="B15" s="32" t="inlineStr">
        <is>
          <t>westus3</t>
        </is>
      </c>
      <c r="C15" s="33" t="inlineStr">
        <is>
          <t>US</t>
        </is>
      </c>
      <c r="D15" s="33" t="inlineStr">
        <is>
          <t>NonProd</t>
        </is>
      </c>
      <c r="E15" s="32" t="inlineStr">
        <is>
          <t>Standard_E16ads_v5</t>
        </is>
      </c>
      <c r="F15" s="33" t="inlineStr">
        <is>
          <t>Eadsv5</t>
        </is>
      </c>
      <c r="G15" s="34" t="n">
        <v>16</v>
      </c>
      <c r="H15" s="32" t="inlineStr">
        <is>
          <t>crg-np-wus3-reg</t>
        </is>
      </c>
      <c r="I15" s="23" t="n">
        <v>200</v>
      </c>
      <c r="J15" s="23" t="n">
        <v>260</v>
      </c>
      <c r="K15" s="24">
        <f>I15+J15</f>
        <v/>
      </c>
      <c r="L15" s="24">
        <f>K15-I15</f>
        <v/>
      </c>
      <c r="M15" s="33" t="inlineStr">
        <is>
          <t>Standard</t>
        </is>
      </c>
      <c r="N15" s="32" t="inlineStr">
        <is>
          <t>Synthetic estate</t>
        </is>
      </c>
    </row>
    <row r="16">
      <c r="A16" s="32" t="inlineStr">
        <is>
          <t>West US 3</t>
        </is>
      </c>
      <c r="B16" s="32" t="inlineStr">
        <is>
          <t>westus3</t>
        </is>
      </c>
      <c r="C16" s="33" t="inlineStr">
        <is>
          <t>US</t>
        </is>
      </c>
      <c r="D16" s="33" t="inlineStr">
        <is>
          <t>NonProd</t>
        </is>
      </c>
      <c r="E16" s="32" t="inlineStr">
        <is>
          <t>Standard_E32ads_v6</t>
        </is>
      </c>
      <c r="F16" s="33" t="inlineStr">
        <is>
          <t>Eadsv6</t>
        </is>
      </c>
      <c r="G16" s="34" t="n">
        <v>32</v>
      </c>
      <c r="H16" s="32" t="inlineStr">
        <is>
          <t>crg-np-wus3-reg</t>
        </is>
      </c>
      <c r="I16" s="23" t="n">
        <v>400</v>
      </c>
      <c r="J16" s="23" t="n">
        <v>520</v>
      </c>
      <c r="K16" s="24">
        <f>I16+J16</f>
        <v/>
      </c>
      <c r="L16" s="24">
        <f>K16-I16</f>
        <v/>
      </c>
      <c r="M16" s="33" t="inlineStr">
        <is>
          <t>Standard</t>
        </is>
      </c>
      <c r="N16" s="32" t="inlineStr">
        <is>
          <t>Synthetic estate</t>
        </is>
      </c>
    </row>
    <row r="17">
      <c r="A17" s="32" t="inlineStr">
        <is>
          <t>West US 3</t>
        </is>
      </c>
      <c r="B17" s="32" t="inlineStr">
        <is>
          <t>westus3</t>
        </is>
      </c>
      <c r="C17" s="33" t="inlineStr">
        <is>
          <t>US</t>
        </is>
      </c>
      <c r="D17" s="33" t="inlineStr">
        <is>
          <t>NonProd</t>
        </is>
      </c>
      <c r="E17" s="32" t="inlineStr">
        <is>
          <t>Standard_D8ads_v5</t>
        </is>
      </c>
      <c r="F17" s="33" t="inlineStr">
        <is>
          <t>Dadsv5</t>
        </is>
      </c>
      <c r="G17" s="34" t="n">
        <v>8</v>
      </c>
      <c r="H17" s="32" t="inlineStr">
        <is>
          <t>crg-np-wus3-reg</t>
        </is>
      </c>
      <c r="I17" s="23" t="n">
        <v>100</v>
      </c>
      <c r="J17" s="23" t="n">
        <v>130</v>
      </c>
      <c r="K17" s="24">
        <f>I17+J17</f>
        <v/>
      </c>
      <c r="L17" s="24">
        <f>K17-I17</f>
        <v/>
      </c>
      <c r="M17" s="33" t="inlineStr">
        <is>
          <t>Standard</t>
        </is>
      </c>
      <c r="N17" s="32" t="inlineStr">
        <is>
          <t>Synthetic estate</t>
        </is>
      </c>
    </row>
    <row r="18">
      <c r="A18" s="32" t="inlineStr">
        <is>
          <t>West US 3</t>
        </is>
      </c>
      <c r="B18" s="32" t="inlineStr">
        <is>
          <t>westus3</t>
        </is>
      </c>
      <c r="C18" s="33" t="inlineStr">
        <is>
          <t>US</t>
        </is>
      </c>
      <c r="D18" s="33" t="inlineStr">
        <is>
          <t>NonProd</t>
        </is>
      </c>
      <c r="E18" s="32" t="inlineStr">
        <is>
          <t>Standard_D16ads_v5</t>
        </is>
      </c>
      <c r="F18" s="33" t="inlineStr">
        <is>
          <t>Dadsv5</t>
        </is>
      </c>
      <c r="G18" s="34" t="n">
        <v>16</v>
      </c>
      <c r="H18" s="32" t="inlineStr">
        <is>
          <t>crg-np-wus3-reg</t>
        </is>
      </c>
      <c r="I18" s="23" t="n">
        <v>200</v>
      </c>
      <c r="J18" s="23" t="n">
        <v>260</v>
      </c>
      <c r="K18" s="24">
        <f>I18+J18</f>
        <v/>
      </c>
      <c r="L18" s="24">
        <f>K18-I18</f>
        <v/>
      </c>
      <c r="M18" s="33" t="inlineStr">
        <is>
          <t>Standard</t>
        </is>
      </c>
      <c r="N18" s="32" t="inlineStr">
        <is>
          <t>Synthetic estate</t>
        </is>
      </c>
    </row>
    <row r="19">
      <c r="A19" s="32" t="inlineStr">
        <is>
          <t>West US 3</t>
        </is>
      </c>
      <c r="B19" s="32" t="inlineStr">
        <is>
          <t>westus3</t>
        </is>
      </c>
      <c r="C19" s="33" t="inlineStr">
        <is>
          <t>US</t>
        </is>
      </c>
      <c r="D19" s="33" t="inlineStr">
        <is>
          <t>NonProd</t>
        </is>
      </c>
      <c r="E19" s="32" t="inlineStr">
        <is>
          <t>Standard_D8as_v5</t>
        </is>
      </c>
      <c r="F19" s="33" t="inlineStr">
        <is>
          <t>Dasv5</t>
        </is>
      </c>
      <c r="G19" s="34" t="n">
        <v>8</v>
      </c>
      <c r="H19" s="32" t="inlineStr">
        <is>
          <t>crg-np-wus3-reg</t>
        </is>
      </c>
      <c r="I19" s="23" t="n">
        <v>100</v>
      </c>
      <c r="J19" s="23" t="n">
        <v>130</v>
      </c>
      <c r="K19" s="24">
        <f>I19+J19</f>
        <v/>
      </c>
      <c r="L19" s="24">
        <f>K19-I19</f>
        <v/>
      </c>
      <c r="M19" s="33" t="inlineStr">
        <is>
          <t>Standard</t>
        </is>
      </c>
      <c r="N19" s="32" t="inlineStr">
        <is>
          <t>Synthetic estate</t>
        </is>
      </c>
    </row>
    <row r="20">
      <c r="A20" s="32" t="inlineStr">
        <is>
          <t>West US 3</t>
        </is>
      </c>
      <c r="B20" s="32" t="inlineStr">
        <is>
          <t>westus3</t>
        </is>
      </c>
      <c r="C20" s="33" t="inlineStr">
        <is>
          <t>US</t>
        </is>
      </c>
      <c r="D20" s="33" t="inlineStr">
        <is>
          <t>NonProd</t>
        </is>
      </c>
      <c r="E20" s="32" t="inlineStr">
        <is>
          <t>Standard_D16as_v5</t>
        </is>
      </c>
      <c r="F20" s="33" t="inlineStr">
        <is>
          <t>Dasv5</t>
        </is>
      </c>
      <c r="G20" s="34" t="n">
        <v>16</v>
      </c>
      <c r="H20" s="32" t="inlineStr">
        <is>
          <t>crg-np-wus3-reg</t>
        </is>
      </c>
      <c r="I20" s="23" t="n">
        <v>200</v>
      </c>
      <c r="J20" s="23" t="n">
        <v>260</v>
      </c>
      <c r="K20" s="24">
        <f>I20+J20</f>
        <v/>
      </c>
      <c r="L20" s="24">
        <f>K20-I20</f>
        <v/>
      </c>
      <c r="M20" s="33" t="inlineStr">
        <is>
          <t>Standard</t>
        </is>
      </c>
      <c r="N20" s="32" t="inlineStr">
        <is>
          <t>Synthetic estate</t>
        </is>
      </c>
    </row>
    <row r="21">
      <c r="A21" s="32" t="inlineStr">
        <is>
          <t>West US 3</t>
        </is>
      </c>
      <c r="B21" s="32" t="inlineStr">
        <is>
          <t>westus3</t>
        </is>
      </c>
      <c r="C21" s="33" t="inlineStr">
        <is>
          <t>US</t>
        </is>
      </c>
      <c r="D21" s="33" t="inlineStr">
        <is>
          <t>DR</t>
        </is>
      </c>
      <c r="E21" s="32" t="inlineStr">
        <is>
          <t>Standard_E32ads_v5</t>
        </is>
      </c>
      <c r="F21" s="33" t="inlineStr">
        <is>
          <t>Eadsv5</t>
        </is>
      </c>
      <c r="G21" s="34" t="n">
        <v>32</v>
      </c>
      <c r="H21" s="32" t="inlineStr">
        <is>
          <t>crg-dr-wus3-reg</t>
        </is>
      </c>
      <c r="I21" s="23" t="n">
        <v>80</v>
      </c>
      <c r="J21" s="23" t="n">
        <v>40</v>
      </c>
      <c r="K21" s="24">
        <f>I21+J21</f>
        <v/>
      </c>
      <c r="L21" s="24">
        <f>K21-I21</f>
        <v/>
      </c>
      <c r="M21" s="33" t="inlineStr">
        <is>
          <t>Standard</t>
        </is>
      </c>
      <c r="N21" s="32" t="inlineStr">
        <is>
          <t>Synthetic estate</t>
        </is>
      </c>
    </row>
    <row r="22">
      <c r="A22" s="32" t="inlineStr">
        <is>
          <t>West US 3</t>
        </is>
      </c>
      <c r="B22" s="32" t="inlineStr">
        <is>
          <t>westus3</t>
        </is>
      </c>
      <c r="C22" s="33" t="inlineStr">
        <is>
          <t>US</t>
        </is>
      </c>
      <c r="D22" s="33" t="inlineStr">
        <is>
          <t>DR</t>
        </is>
      </c>
      <c r="E22" s="32" t="inlineStr">
        <is>
          <t>Standard_E64ads_v5</t>
        </is>
      </c>
      <c r="F22" s="33" t="inlineStr">
        <is>
          <t>Eadsv5</t>
        </is>
      </c>
      <c r="G22" s="34" t="n">
        <v>64</v>
      </c>
      <c r="H22" s="32" t="inlineStr">
        <is>
          <t>crg-dr-wus3-reg</t>
        </is>
      </c>
      <c r="I22" s="23" t="n">
        <v>160</v>
      </c>
      <c r="J22" s="23" t="n">
        <v>80</v>
      </c>
      <c r="K22" s="24">
        <f>I22+J22</f>
        <v/>
      </c>
      <c r="L22" s="24">
        <f>K22-I22</f>
        <v/>
      </c>
      <c r="M22" s="33" t="inlineStr">
        <is>
          <t>Standard</t>
        </is>
      </c>
      <c r="N22" s="32" t="inlineStr">
        <is>
          <t>Synthetic estate</t>
        </is>
      </c>
    </row>
    <row r="23">
      <c r="A23" s="32" t="inlineStr">
        <is>
          <t>West US 3</t>
        </is>
      </c>
      <c r="B23" s="32" t="inlineStr">
        <is>
          <t>westus3</t>
        </is>
      </c>
      <c r="C23" s="33" t="inlineStr">
        <is>
          <t>US</t>
        </is>
      </c>
      <c r="D23" s="33" t="inlineStr">
        <is>
          <t>DR</t>
        </is>
      </c>
      <c r="E23" s="32" t="inlineStr">
        <is>
          <t>Standard_E16ads_v5</t>
        </is>
      </c>
      <c r="F23" s="33" t="inlineStr">
        <is>
          <t>Eadsv5</t>
        </is>
      </c>
      <c r="G23" s="34" t="n">
        <v>16</v>
      </c>
      <c r="H23" s="32" t="inlineStr">
        <is>
          <t>crg-dr-wus3-reg</t>
        </is>
      </c>
      <c r="I23" s="23" t="n">
        <v>40</v>
      </c>
      <c r="J23" s="23" t="n">
        <v>20</v>
      </c>
      <c r="K23" s="24">
        <f>I23+J23</f>
        <v/>
      </c>
      <c r="L23" s="24">
        <f>K23-I23</f>
        <v/>
      </c>
      <c r="M23" s="33" t="inlineStr">
        <is>
          <t>Standard</t>
        </is>
      </c>
      <c r="N23" s="32" t="inlineStr">
        <is>
          <t>Synthetic estate</t>
        </is>
      </c>
    </row>
    <row r="24">
      <c r="A24" s="32" t="inlineStr">
        <is>
          <t>West US 3</t>
        </is>
      </c>
      <c r="B24" s="32" t="inlineStr">
        <is>
          <t>westus3</t>
        </is>
      </c>
      <c r="C24" s="33" t="inlineStr">
        <is>
          <t>US</t>
        </is>
      </c>
      <c r="D24" s="33" t="inlineStr">
        <is>
          <t>DR</t>
        </is>
      </c>
      <c r="E24" s="32" t="inlineStr">
        <is>
          <t>Standard_E32ads_v6</t>
        </is>
      </c>
      <c r="F24" s="33" t="inlineStr">
        <is>
          <t>Eadsv6</t>
        </is>
      </c>
      <c r="G24" s="34" t="n">
        <v>32</v>
      </c>
      <c r="H24" s="32" t="inlineStr">
        <is>
          <t>crg-dr-wus3-reg</t>
        </is>
      </c>
      <c r="I24" s="23" t="n">
        <v>80</v>
      </c>
      <c r="J24" s="23" t="n">
        <v>40</v>
      </c>
      <c r="K24" s="24">
        <f>I24+J24</f>
        <v/>
      </c>
      <c r="L24" s="24">
        <f>K24-I24</f>
        <v/>
      </c>
      <c r="M24" s="33" t="inlineStr">
        <is>
          <t>Standard</t>
        </is>
      </c>
      <c r="N24" s="32" t="inlineStr">
        <is>
          <t>Synthetic estate</t>
        </is>
      </c>
    </row>
    <row r="25">
      <c r="A25" s="32" t="inlineStr">
        <is>
          <t>West US 3</t>
        </is>
      </c>
      <c r="B25" s="32" t="inlineStr">
        <is>
          <t>westus3</t>
        </is>
      </c>
      <c r="C25" s="33" t="inlineStr">
        <is>
          <t>US</t>
        </is>
      </c>
      <c r="D25" s="33" t="inlineStr">
        <is>
          <t>DR</t>
        </is>
      </c>
      <c r="E25" s="32" t="inlineStr">
        <is>
          <t>Standard_D8ads_v5</t>
        </is>
      </c>
      <c r="F25" s="33" t="inlineStr">
        <is>
          <t>Dadsv5</t>
        </is>
      </c>
      <c r="G25" s="34" t="n">
        <v>8</v>
      </c>
      <c r="H25" s="32" t="inlineStr">
        <is>
          <t>crg-dr-wus3-reg</t>
        </is>
      </c>
      <c r="I25" s="23" t="n">
        <v>20</v>
      </c>
      <c r="J25" s="23" t="n">
        <v>10</v>
      </c>
      <c r="K25" s="24">
        <f>I25+J25</f>
        <v/>
      </c>
      <c r="L25" s="24">
        <f>K25-I25</f>
        <v/>
      </c>
      <c r="M25" s="33" t="inlineStr">
        <is>
          <t>Standard</t>
        </is>
      </c>
      <c r="N25" s="32" t="inlineStr">
        <is>
          <t>Synthetic estate</t>
        </is>
      </c>
    </row>
    <row r="26">
      <c r="A26" s="32" t="inlineStr">
        <is>
          <t>West US 3</t>
        </is>
      </c>
      <c r="B26" s="32" t="inlineStr">
        <is>
          <t>westus3</t>
        </is>
      </c>
      <c r="C26" s="33" t="inlineStr">
        <is>
          <t>US</t>
        </is>
      </c>
      <c r="D26" s="33" t="inlineStr">
        <is>
          <t>DR</t>
        </is>
      </c>
      <c r="E26" s="32" t="inlineStr">
        <is>
          <t>Standard_D16ads_v5</t>
        </is>
      </c>
      <c r="F26" s="33" t="inlineStr">
        <is>
          <t>Dadsv5</t>
        </is>
      </c>
      <c r="G26" s="34" t="n">
        <v>16</v>
      </c>
      <c r="H26" s="32" t="inlineStr">
        <is>
          <t>crg-dr-wus3-reg</t>
        </is>
      </c>
      <c r="I26" s="23" t="n">
        <v>40</v>
      </c>
      <c r="J26" s="23" t="n">
        <v>20</v>
      </c>
      <c r="K26" s="24">
        <f>I26+J26</f>
        <v/>
      </c>
      <c r="L26" s="24">
        <f>K26-I26</f>
        <v/>
      </c>
      <c r="M26" s="33" t="inlineStr">
        <is>
          <t>Standard</t>
        </is>
      </c>
      <c r="N26" s="32" t="inlineStr">
        <is>
          <t>Synthetic estate</t>
        </is>
      </c>
    </row>
    <row r="27">
      <c r="A27" s="32" t="inlineStr">
        <is>
          <t>West US 3</t>
        </is>
      </c>
      <c r="B27" s="32" t="inlineStr">
        <is>
          <t>westus3</t>
        </is>
      </c>
      <c r="C27" s="33" t="inlineStr">
        <is>
          <t>US</t>
        </is>
      </c>
      <c r="D27" s="33" t="inlineStr">
        <is>
          <t>DR</t>
        </is>
      </c>
      <c r="E27" s="32" t="inlineStr">
        <is>
          <t>Standard_D8as_v5</t>
        </is>
      </c>
      <c r="F27" s="33" t="inlineStr">
        <is>
          <t>Dasv5</t>
        </is>
      </c>
      <c r="G27" s="34" t="n">
        <v>8</v>
      </c>
      <c r="H27" s="32" t="inlineStr">
        <is>
          <t>crg-dr-wus3-reg</t>
        </is>
      </c>
      <c r="I27" s="23" t="n">
        <v>20</v>
      </c>
      <c r="J27" s="23" t="n">
        <v>10</v>
      </c>
      <c r="K27" s="24">
        <f>I27+J27</f>
        <v/>
      </c>
      <c r="L27" s="24">
        <f>K27-I27</f>
        <v/>
      </c>
      <c r="M27" s="33" t="inlineStr">
        <is>
          <t>Standard</t>
        </is>
      </c>
      <c r="N27" s="32" t="inlineStr">
        <is>
          <t>Synthetic estate</t>
        </is>
      </c>
    </row>
    <row r="28">
      <c r="A28" s="32" t="inlineStr">
        <is>
          <t>West US 3</t>
        </is>
      </c>
      <c r="B28" s="32" t="inlineStr">
        <is>
          <t>westus3</t>
        </is>
      </c>
      <c r="C28" s="33" t="inlineStr">
        <is>
          <t>US</t>
        </is>
      </c>
      <c r="D28" s="33" t="inlineStr">
        <is>
          <t>DR</t>
        </is>
      </c>
      <c r="E28" s="32" t="inlineStr">
        <is>
          <t>Standard_D16as_v5</t>
        </is>
      </c>
      <c r="F28" s="33" t="inlineStr">
        <is>
          <t>Dasv5</t>
        </is>
      </c>
      <c r="G28" s="34" t="n">
        <v>16</v>
      </c>
      <c r="H28" s="32" t="inlineStr">
        <is>
          <t>crg-dr-wus3-reg</t>
        </is>
      </c>
      <c r="I28" s="23" t="n">
        <v>40</v>
      </c>
      <c r="J28" s="23" t="n">
        <v>20</v>
      </c>
      <c r="K28" s="24">
        <f>I28+J28</f>
        <v/>
      </c>
      <c r="L28" s="24">
        <f>K28-I28</f>
        <v/>
      </c>
      <c r="M28" s="33" t="inlineStr">
        <is>
          <t>Standard</t>
        </is>
      </c>
      <c r="N28" s="32" t="inlineStr">
        <is>
          <t>Synthetic estate</t>
        </is>
      </c>
    </row>
    <row r="29">
      <c r="A29" s="32" t="inlineStr">
        <is>
          <t>Central US</t>
        </is>
      </c>
      <c r="B29" s="32" t="inlineStr">
        <is>
          <t>centralus</t>
        </is>
      </c>
      <c r="C29" s="33" t="inlineStr">
        <is>
          <t>US</t>
        </is>
      </c>
      <c r="D29" s="33" t="inlineStr">
        <is>
          <t>Prod</t>
        </is>
      </c>
      <c r="E29" s="32" t="inlineStr">
        <is>
          <t>Standard_E32ads_v5</t>
        </is>
      </c>
      <c r="F29" s="33" t="inlineStr">
        <is>
          <t>Eadsv5</t>
        </is>
      </c>
      <c r="G29" s="34" t="n">
        <v>32</v>
      </c>
      <c r="H29" s="32" t="inlineStr">
        <is>
          <t>crg-pr-cus-reg</t>
        </is>
      </c>
      <c r="I29" s="23" t="n">
        <v>700</v>
      </c>
      <c r="J29" s="23" t="n">
        <v>180</v>
      </c>
      <c r="K29" s="24">
        <f>I29+J29</f>
        <v/>
      </c>
      <c r="L29" s="24">
        <f>K29-I29</f>
        <v/>
      </c>
      <c r="M29" s="33" t="inlineStr">
        <is>
          <t>Standard</t>
        </is>
      </c>
      <c r="N29" s="32" t="inlineStr">
        <is>
          <t>Synthetic estate</t>
        </is>
      </c>
    </row>
    <row r="30">
      <c r="A30" s="32" t="inlineStr">
        <is>
          <t>Central US</t>
        </is>
      </c>
      <c r="B30" s="32" t="inlineStr">
        <is>
          <t>centralus</t>
        </is>
      </c>
      <c r="C30" s="33" t="inlineStr">
        <is>
          <t>US</t>
        </is>
      </c>
      <c r="D30" s="33" t="inlineStr">
        <is>
          <t>Prod</t>
        </is>
      </c>
      <c r="E30" s="32" t="inlineStr">
        <is>
          <t>Standard_E64ads_v5</t>
        </is>
      </c>
      <c r="F30" s="33" t="inlineStr">
        <is>
          <t>Eadsv5</t>
        </is>
      </c>
      <c r="G30" s="34" t="n">
        <v>64</v>
      </c>
      <c r="H30" s="32" t="inlineStr">
        <is>
          <t>crg-pr-cus-reg</t>
        </is>
      </c>
      <c r="I30" s="23" t="n">
        <v>1400</v>
      </c>
      <c r="J30" s="23" t="n">
        <v>360</v>
      </c>
      <c r="K30" s="24">
        <f>I30+J30</f>
        <v/>
      </c>
      <c r="L30" s="24">
        <f>K30-I30</f>
        <v/>
      </c>
      <c r="M30" s="33" t="inlineStr">
        <is>
          <t>Standard</t>
        </is>
      </c>
      <c r="N30" s="32" t="inlineStr">
        <is>
          <t>Synthetic estate</t>
        </is>
      </c>
    </row>
    <row r="31">
      <c r="A31" s="32" t="inlineStr">
        <is>
          <t>Central US</t>
        </is>
      </c>
      <c r="B31" s="32" t="inlineStr">
        <is>
          <t>centralus</t>
        </is>
      </c>
      <c r="C31" s="33" t="inlineStr">
        <is>
          <t>US</t>
        </is>
      </c>
      <c r="D31" s="33" t="inlineStr">
        <is>
          <t>Prod</t>
        </is>
      </c>
      <c r="E31" s="32" t="inlineStr">
        <is>
          <t>Standard_E16ads_v5</t>
        </is>
      </c>
      <c r="F31" s="33" t="inlineStr">
        <is>
          <t>Eadsv5</t>
        </is>
      </c>
      <c r="G31" s="34" t="n">
        <v>16</v>
      </c>
      <c r="H31" s="32" t="inlineStr">
        <is>
          <t>crg-pr-cus-reg</t>
        </is>
      </c>
      <c r="I31" s="23" t="n">
        <v>350</v>
      </c>
      <c r="J31" s="23" t="n">
        <v>90</v>
      </c>
      <c r="K31" s="24">
        <f>I31+J31</f>
        <v/>
      </c>
      <c r="L31" s="24">
        <f>K31-I31</f>
        <v/>
      </c>
      <c r="M31" s="33" t="inlineStr">
        <is>
          <t>Standard</t>
        </is>
      </c>
      <c r="N31" s="32" t="inlineStr">
        <is>
          <t>Synthetic estate</t>
        </is>
      </c>
    </row>
    <row r="32">
      <c r="A32" s="32" t="inlineStr">
        <is>
          <t>Central US</t>
        </is>
      </c>
      <c r="B32" s="32" t="inlineStr">
        <is>
          <t>centralus</t>
        </is>
      </c>
      <c r="C32" s="33" t="inlineStr">
        <is>
          <t>US</t>
        </is>
      </c>
      <c r="D32" s="33" t="inlineStr">
        <is>
          <t>Prod</t>
        </is>
      </c>
      <c r="E32" s="32" t="inlineStr">
        <is>
          <t>Standard_E32ads_v6</t>
        </is>
      </c>
      <c r="F32" s="33" t="inlineStr">
        <is>
          <t>Eadsv6</t>
        </is>
      </c>
      <c r="G32" s="34" t="n">
        <v>32</v>
      </c>
      <c r="H32" s="32" t="inlineStr">
        <is>
          <t>crg-pr-cus-reg</t>
        </is>
      </c>
      <c r="I32" s="23" t="n">
        <v>700</v>
      </c>
      <c r="J32" s="23" t="n">
        <v>180</v>
      </c>
      <c r="K32" s="24">
        <f>I32+J32</f>
        <v/>
      </c>
      <c r="L32" s="24">
        <f>K32-I32</f>
        <v/>
      </c>
      <c r="M32" s="33" t="inlineStr">
        <is>
          <t>Standard</t>
        </is>
      </c>
      <c r="N32" s="32" t="inlineStr">
        <is>
          <t>Synthetic estate</t>
        </is>
      </c>
    </row>
    <row r="33">
      <c r="A33" s="32" t="inlineStr">
        <is>
          <t>Central US</t>
        </is>
      </c>
      <c r="B33" s="32" t="inlineStr">
        <is>
          <t>centralus</t>
        </is>
      </c>
      <c r="C33" s="33" t="inlineStr">
        <is>
          <t>US</t>
        </is>
      </c>
      <c r="D33" s="33" t="inlineStr">
        <is>
          <t>Prod</t>
        </is>
      </c>
      <c r="E33" s="32" t="inlineStr">
        <is>
          <t>Standard_D8ads_v5</t>
        </is>
      </c>
      <c r="F33" s="33" t="inlineStr">
        <is>
          <t>Dadsv5</t>
        </is>
      </c>
      <c r="G33" s="34" t="n">
        <v>8</v>
      </c>
      <c r="H33" s="32" t="inlineStr">
        <is>
          <t>crg-pr-cus-reg</t>
        </is>
      </c>
      <c r="I33" s="23" t="n">
        <v>175</v>
      </c>
      <c r="J33" s="23" t="n">
        <v>45</v>
      </c>
      <c r="K33" s="24">
        <f>I33+J33</f>
        <v/>
      </c>
      <c r="L33" s="24">
        <f>K33-I33</f>
        <v/>
      </c>
      <c r="M33" s="33" t="inlineStr">
        <is>
          <t>Standard</t>
        </is>
      </c>
      <c r="N33" s="32" t="inlineStr">
        <is>
          <t>Synthetic estate</t>
        </is>
      </c>
    </row>
    <row r="34">
      <c r="A34" s="32" t="inlineStr">
        <is>
          <t>Central US</t>
        </is>
      </c>
      <c r="B34" s="32" t="inlineStr">
        <is>
          <t>centralus</t>
        </is>
      </c>
      <c r="C34" s="33" t="inlineStr">
        <is>
          <t>US</t>
        </is>
      </c>
      <c r="D34" s="33" t="inlineStr">
        <is>
          <t>Prod</t>
        </is>
      </c>
      <c r="E34" s="32" t="inlineStr">
        <is>
          <t>Standard_D16ads_v5</t>
        </is>
      </c>
      <c r="F34" s="33" t="inlineStr">
        <is>
          <t>Dadsv5</t>
        </is>
      </c>
      <c r="G34" s="34" t="n">
        <v>16</v>
      </c>
      <c r="H34" s="32" t="inlineStr">
        <is>
          <t>crg-pr-cus-reg</t>
        </is>
      </c>
      <c r="I34" s="23" t="n">
        <v>350</v>
      </c>
      <c r="J34" s="23" t="n">
        <v>90</v>
      </c>
      <c r="K34" s="24">
        <f>I34+J34</f>
        <v/>
      </c>
      <c r="L34" s="24">
        <f>K34-I34</f>
        <v/>
      </c>
      <c r="M34" s="33" t="inlineStr">
        <is>
          <t>Standard</t>
        </is>
      </c>
      <c r="N34" s="32" t="inlineStr">
        <is>
          <t>Synthetic estate</t>
        </is>
      </c>
    </row>
    <row r="35">
      <c r="A35" s="32" t="inlineStr">
        <is>
          <t>Central US</t>
        </is>
      </c>
      <c r="B35" s="32" t="inlineStr">
        <is>
          <t>centralus</t>
        </is>
      </c>
      <c r="C35" s="33" t="inlineStr">
        <is>
          <t>US</t>
        </is>
      </c>
      <c r="D35" s="33" t="inlineStr">
        <is>
          <t>Prod</t>
        </is>
      </c>
      <c r="E35" s="32" t="inlineStr">
        <is>
          <t>Standard_D8as_v5</t>
        </is>
      </c>
      <c r="F35" s="33" t="inlineStr">
        <is>
          <t>Dasv5</t>
        </is>
      </c>
      <c r="G35" s="34" t="n">
        <v>8</v>
      </c>
      <c r="H35" s="32" t="inlineStr">
        <is>
          <t>crg-pr-cus-reg</t>
        </is>
      </c>
      <c r="I35" s="23" t="n">
        <v>175</v>
      </c>
      <c r="J35" s="23" t="n">
        <v>45</v>
      </c>
      <c r="K35" s="24">
        <f>I35+J35</f>
        <v/>
      </c>
      <c r="L35" s="24">
        <f>K35-I35</f>
        <v/>
      </c>
      <c r="M35" s="33" t="inlineStr">
        <is>
          <t>Standard</t>
        </is>
      </c>
      <c r="N35" s="32" t="inlineStr">
        <is>
          <t>Synthetic estate</t>
        </is>
      </c>
    </row>
    <row r="36">
      <c r="A36" s="32" t="inlineStr">
        <is>
          <t>Central US</t>
        </is>
      </c>
      <c r="B36" s="32" t="inlineStr">
        <is>
          <t>centralus</t>
        </is>
      </c>
      <c r="C36" s="33" t="inlineStr">
        <is>
          <t>US</t>
        </is>
      </c>
      <c r="D36" s="33" t="inlineStr">
        <is>
          <t>Prod</t>
        </is>
      </c>
      <c r="E36" s="32" t="inlineStr">
        <is>
          <t>Standard_D16as_v5</t>
        </is>
      </c>
      <c r="F36" s="33" t="inlineStr">
        <is>
          <t>Dasv5</t>
        </is>
      </c>
      <c r="G36" s="34" t="n">
        <v>16</v>
      </c>
      <c r="H36" s="32" t="inlineStr">
        <is>
          <t>crg-pr-cus-reg</t>
        </is>
      </c>
      <c r="I36" s="23" t="n">
        <v>350</v>
      </c>
      <c r="J36" s="23" t="n">
        <v>90</v>
      </c>
      <c r="K36" s="24">
        <f>I36+J36</f>
        <v/>
      </c>
      <c r="L36" s="24">
        <f>K36-I36</f>
        <v/>
      </c>
      <c r="M36" s="33" t="inlineStr">
        <is>
          <t>Standard</t>
        </is>
      </c>
      <c r="N36" s="32" t="inlineStr">
        <is>
          <t>Synthetic estate</t>
        </is>
      </c>
    </row>
    <row r="37">
      <c r="A37" s="32" t="inlineStr">
        <is>
          <t>Central US</t>
        </is>
      </c>
      <c r="B37" s="32" t="inlineStr">
        <is>
          <t>centralus</t>
        </is>
      </c>
      <c r="C37" s="33" t="inlineStr">
        <is>
          <t>US</t>
        </is>
      </c>
      <c r="D37" s="33" t="inlineStr">
        <is>
          <t>NonProd</t>
        </is>
      </c>
      <c r="E37" s="32" t="inlineStr">
        <is>
          <t>Standard_E32ads_v5</t>
        </is>
      </c>
      <c r="F37" s="33" t="inlineStr">
        <is>
          <t>Eadsv5</t>
        </is>
      </c>
      <c r="G37" s="34" t="n">
        <v>32</v>
      </c>
      <c r="H37" s="32" t="inlineStr">
        <is>
          <t>crg-np-cus-reg</t>
        </is>
      </c>
      <c r="I37" s="23" t="n">
        <v>400</v>
      </c>
      <c r="J37" s="23" t="n">
        <v>352</v>
      </c>
      <c r="K37" s="24">
        <f>I37+J37</f>
        <v/>
      </c>
      <c r="L37" s="24">
        <f>K37-I37</f>
        <v/>
      </c>
      <c r="M37" s="33" t="inlineStr">
        <is>
          <t>Standard</t>
        </is>
      </c>
      <c r="N37" s="32" t="inlineStr">
        <is>
          <t>Synthetic estate</t>
        </is>
      </c>
    </row>
    <row r="38">
      <c r="A38" s="32" t="inlineStr">
        <is>
          <t>Central US</t>
        </is>
      </c>
      <c r="B38" s="32" t="inlineStr">
        <is>
          <t>centralus</t>
        </is>
      </c>
      <c r="C38" s="33" t="inlineStr">
        <is>
          <t>US</t>
        </is>
      </c>
      <c r="D38" s="33" t="inlineStr">
        <is>
          <t>NonProd</t>
        </is>
      </c>
      <c r="E38" s="32" t="inlineStr">
        <is>
          <t>Standard_E64ads_v5</t>
        </is>
      </c>
      <c r="F38" s="33" t="inlineStr">
        <is>
          <t>Eadsv5</t>
        </is>
      </c>
      <c r="G38" s="34" t="n">
        <v>64</v>
      </c>
      <c r="H38" s="32" t="inlineStr">
        <is>
          <t>crg-np-cus-reg</t>
        </is>
      </c>
      <c r="I38" s="23" t="n">
        <v>800</v>
      </c>
      <c r="J38" s="23" t="n">
        <v>704</v>
      </c>
      <c r="K38" s="24">
        <f>I38+J38</f>
        <v/>
      </c>
      <c r="L38" s="24">
        <f>K38-I38</f>
        <v/>
      </c>
      <c r="M38" s="33" t="inlineStr">
        <is>
          <t>Standard</t>
        </is>
      </c>
      <c r="N38" s="32" t="inlineStr">
        <is>
          <t>Synthetic estate</t>
        </is>
      </c>
    </row>
    <row r="39">
      <c r="A39" s="32" t="inlineStr">
        <is>
          <t>Central US</t>
        </is>
      </c>
      <c r="B39" s="32" t="inlineStr">
        <is>
          <t>centralus</t>
        </is>
      </c>
      <c r="C39" s="33" t="inlineStr">
        <is>
          <t>US</t>
        </is>
      </c>
      <c r="D39" s="33" t="inlineStr">
        <is>
          <t>NonProd</t>
        </is>
      </c>
      <c r="E39" s="32" t="inlineStr">
        <is>
          <t>Standard_E16ads_v5</t>
        </is>
      </c>
      <c r="F39" s="33" t="inlineStr">
        <is>
          <t>Eadsv5</t>
        </is>
      </c>
      <c r="G39" s="34" t="n">
        <v>16</v>
      </c>
      <c r="H39" s="32" t="inlineStr">
        <is>
          <t>crg-np-cus-reg</t>
        </is>
      </c>
      <c r="I39" s="23" t="n">
        <v>200</v>
      </c>
      <c r="J39" s="23" t="n">
        <v>176</v>
      </c>
      <c r="K39" s="24">
        <f>I39+J39</f>
        <v/>
      </c>
      <c r="L39" s="24">
        <f>K39-I39</f>
        <v/>
      </c>
      <c r="M39" s="33" t="inlineStr">
        <is>
          <t>Standard</t>
        </is>
      </c>
      <c r="N39" s="32" t="inlineStr">
        <is>
          <t>Synthetic estate</t>
        </is>
      </c>
    </row>
    <row r="40">
      <c r="A40" s="32" t="inlineStr">
        <is>
          <t>Central US</t>
        </is>
      </c>
      <c r="B40" s="32" t="inlineStr">
        <is>
          <t>centralus</t>
        </is>
      </c>
      <c r="C40" s="33" t="inlineStr">
        <is>
          <t>US</t>
        </is>
      </c>
      <c r="D40" s="33" t="inlineStr">
        <is>
          <t>NonProd</t>
        </is>
      </c>
      <c r="E40" s="32" t="inlineStr">
        <is>
          <t>Standard_E32ads_v6</t>
        </is>
      </c>
      <c r="F40" s="33" t="inlineStr">
        <is>
          <t>Eadsv6</t>
        </is>
      </c>
      <c r="G40" s="34" t="n">
        <v>32</v>
      </c>
      <c r="H40" s="32" t="inlineStr">
        <is>
          <t>crg-np-cus-reg</t>
        </is>
      </c>
      <c r="I40" s="23" t="n">
        <v>400</v>
      </c>
      <c r="J40" s="23" t="n">
        <v>352</v>
      </c>
      <c r="K40" s="24">
        <f>I40+J40</f>
        <v/>
      </c>
      <c r="L40" s="24">
        <f>K40-I40</f>
        <v/>
      </c>
      <c r="M40" s="33" t="inlineStr">
        <is>
          <t>Standard</t>
        </is>
      </c>
      <c r="N40" s="32" t="inlineStr">
        <is>
          <t>Synthetic estate</t>
        </is>
      </c>
    </row>
    <row r="41">
      <c r="A41" s="32" t="inlineStr">
        <is>
          <t>Central US</t>
        </is>
      </c>
      <c r="B41" s="32" t="inlineStr">
        <is>
          <t>centralus</t>
        </is>
      </c>
      <c r="C41" s="33" t="inlineStr">
        <is>
          <t>US</t>
        </is>
      </c>
      <c r="D41" s="33" t="inlineStr">
        <is>
          <t>NonProd</t>
        </is>
      </c>
      <c r="E41" s="32" t="inlineStr">
        <is>
          <t>Standard_D8ads_v5</t>
        </is>
      </c>
      <c r="F41" s="33" t="inlineStr">
        <is>
          <t>Dadsv5</t>
        </is>
      </c>
      <c r="G41" s="34" t="n">
        <v>8</v>
      </c>
      <c r="H41" s="32" t="inlineStr">
        <is>
          <t>crg-np-cus-reg</t>
        </is>
      </c>
      <c r="I41" s="23" t="n">
        <v>100</v>
      </c>
      <c r="J41" s="23" t="n">
        <v>88</v>
      </c>
      <c r="K41" s="24">
        <f>I41+J41</f>
        <v/>
      </c>
      <c r="L41" s="24">
        <f>K41-I41</f>
        <v/>
      </c>
      <c r="M41" s="33" t="inlineStr">
        <is>
          <t>Standard</t>
        </is>
      </c>
      <c r="N41" s="32" t="inlineStr">
        <is>
          <t>Synthetic estate</t>
        </is>
      </c>
    </row>
    <row r="42">
      <c r="A42" s="32" t="inlineStr">
        <is>
          <t>Central US</t>
        </is>
      </c>
      <c r="B42" s="32" t="inlineStr">
        <is>
          <t>centralus</t>
        </is>
      </c>
      <c r="C42" s="33" t="inlineStr">
        <is>
          <t>US</t>
        </is>
      </c>
      <c r="D42" s="33" t="inlineStr">
        <is>
          <t>NonProd</t>
        </is>
      </c>
      <c r="E42" s="32" t="inlineStr">
        <is>
          <t>Standard_D16ads_v5</t>
        </is>
      </c>
      <c r="F42" s="33" t="inlineStr">
        <is>
          <t>Dadsv5</t>
        </is>
      </c>
      <c r="G42" s="34" t="n">
        <v>16</v>
      </c>
      <c r="H42" s="32" t="inlineStr">
        <is>
          <t>crg-np-cus-reg</t>
        </is>
      </c>
      <c r="I42" s="23" t="n">
        <v>200</v>
      </c>
      <c r="J42" s="23" t="n">
        <v>176</v>
      </c>
      <c r="K42" s="24">
        <f>I42+J42</f>
        <v/>
      </c>
      <c r="L42" s="24">
        <f>K42-I42</f>
        <v/>
      </c>
      <c r="M42" s="33" t="inlineStr">
        <is>
          <t>Standard</t>
        </is>
      </c>
      <c r="N42" s="32" t="inlineStr">
        <is>
          <t>Synthetic estate</t>
        </is>
      </c>
    </row>
    <row r="43">
      <c r="A43" s="32" t="inlineStr">
        <is>
          <t>Central US</t>
        </is>
      </c>
      <c r="B43" s="32" t="inlineStr">
        <is>
          <t>centralus</t>
        </is>
      </c>
      <c r="C43" s="33" t="inlineStr">
        <is>
          <t>US</t>
        </is>
      </c>
      <c r="D43" s="33" t="inlineStr">
        <is>
          <t>NonProd</t>
        </is>
      </c>
      <c r="E43" s="32" t="inlineStr">
        <is>
          <t>Standard_D8as_v5</t>
        </is>
      </c>
      <c r="F43" s="33" t="inlineStr">
        <is>
          <t>Dasv5</t>
        </is>
      </c>
      <c r="G43" s="34" t="n">
        <v>8</v>
      </c>
      <c r="H43" s="32" t="inlineStr">
        <is>
          <t>crg-np-cus-reg</t>
        </is>
      </c>
      <c r="I43" s="23" t="n">
        <v>100</v>
      </c>
      <c r="J43" s="23" t="n">
        <v>88</v>
      </c>
      <c r="K43" s="24">
        <f>I43+J43</f>
        <v/>
      </c>
      <c r="L43" s="24">
        <f>K43-I43</f>
        <v/>
      </c>
      <c r="M43" s="33" t="inlineStr">
        <is>
          <t>Standard</t>
        </is>
      </c>
      <c r="N43" s="32" t="inlineStr">
        <is>
          <t>Synthetic estate</t>
        </is>
      </c>
    </row>
    <row r="44">
      <c r="A44" s="32" t="inlineStr">
        <is>
          <t>Central US</t>
        </is>
      </c>
      <c r="B44" s="32" t="inlineStr">
        <is>
          <t>centralus</t>
        </is>
      </c>
      <c r="C44" s="33" t="inlineStr">
        <is>
          <t>US</t>
        </is>
      </c>
      <c r="D44" s="33" t="inlineStr">
        <is>
          <t>NonProd</t>
        </is>
      </c>
      <c r="E44" s="32" t="inlineStr">
        <is>
          <t>Standard_D16as_v5</t>
        </is>
      </c>
      <c r="F44" s="33" t="inlineStr">
        <is>
          <t>Dasv5</t>
        </is>
      </c>
      <c r="G44" s="34" t="n">
        <v>16</v>
      </c>
      <c r="H44" s="32" t="inlineStr">
        <is>
          <t>crg-np-cus-reg</t>
        </is>
      </c>
      <c r="I44" s="23" t="n">
        <v>200</v>
      </c>
      <c r="J44" s="23" t="n">
        <v>176</v>
      </c>
      <c r="K44" s="24">
        <f>I44+J44</f>
        <v/>
      </c>
      <c r="L44" s="24">
        <f>K44-I44</f>
        <v/>
      </c>
      <c r="M44" s="33" t="inlineStr">
        <is>
          <t>Standard</t>
        </is>
      </c>
      <c r="N44" s="32" t="inlineStr">
        <is>
          <t>Synthetic estate</t>
        </is>
      </c>
    </row>
    <row r="45">
      <c r="A45" s="32" t="inlineStr">
        <is>
          <t>Central US</t>
        </is>
      </c>
      <c r="B45" s="32" t="inlineStr">
        <is>
          <t>centralus</t>
        </is>
      </c>
      <c r="C45" s="33" t="inlineStr">
        <is>
          <t>US</t>
        </is>
      </c>
      <c r="D45" s="33" t="inlineStr">
        <is>
          <t>DR</t>
        </is>
      </c>
      <c r="E45" s="32" t="inlineStr">
        <is>
          <t>Standard_E32ads_v5</t>
        </is>
      </c>
      <c r="F45" s="33" t="inlineStr">
        <is>
          <t>Eadsv5</t>
        </is>
      </c>
      <c r="G45" s="34" t="n">
        <v>32</v>
      </c>
      <c r="H45" s="32" t="inlineStr">
        <is>
          <t>crg-dr-cus-reg</t>
        </is>
      </c>
      <c r="I45" s="23" t="n">
        <v>60</v>
      </c>
      <c r="J45" s="23" t="n">
        <v>36</v>
      </c>
      <c r="K45" s="24">
        <f>I45+J45</f>
        <v/>
      </c>
      <c r="L45" s="24">
        <f>K45-I45</f>
        <v/>
      </c>
      <c r="M45" s="33" t="inlineStr">
        <is>
          <t>Standard</t>
        </is>
      </c>
      <c r="N45" s="32" t="inlineStr">
        <is>
          <t>Synthetic estate</t>
        </is>
      </c>
    </row>
    <row r="46">
      <c r="A46" s="32" t="inlineStr">
        <is>
          <t>Central US</t>
        </is>
      </c>
      <c r="B46" s="32" t="inlineStr">
        <is>
          <t>centralus</t>
        </is>
      </c>
      <c r="C46" s="33" t="inlineStr">
        <is>
          <t>US</t>
        </is>
      </c>
      <c r="D46" s="33" t="inlineStr">
        <is>
          <t>DR</t>
        </is>
      </c>
      <c r="E46" s="32" t="inlineStr">
        <is>
          <t>Standard_E64ads_v5</t>
        </is>
      </c>
      <c r="F46" s="33" t="inlineStr">
        <is>
          <t>Eadsv5</t>
        </is>
      </c>
      <c r="G46" s="34" t="n">
        <v>64</v>
      </c>
      <c r="H46" s="32" t="inlineStr">
        <is>
          <t>crg-dr-cus-reg</t>
        </is>
      </c>
      <c r="I46" s="23" t="n">
        <v>120</v>
      </c>
      <c r="J46" s="23" t="n">
        <v>72</v>
      </c>
      <c r="K46" s="24">
        <f>I46+J46</f>
        <v/>
      </c>
      <c r="L46" s="24">
        <f>K46-I46</f>
        <v/>
      </c>
      <c r="M46" s="33" t="inlineStr">
        <is>
          <t>Standard</t>
        </is>
      </c>
      <c r="N46" s="32" t="inlineStr">
        <is>
          <t>Synthetic estate</t>
        </is>
      </c>
    </row>
    <row r="47">
      <c r="A47" s="32" t="inlineStr">
        <is>
          <t>Central US</t>
        </is>
      </c>
      <c r="B47" s="32" t="inlineStr">
        <is>
          <t>centralus</t>
        </is>
      </c>
      <c r="C47" s="33" t="inlineStr">
        <is>
          <t>US</t>
        </is>
      </c>
      <c r="D47" s="33" t="inlineStr">
        <is>
          <t>DR</t>
        </is>
      </c>
      <c r="E47" s="32" t="inlineStr">
        <is>
          <t>Standard_E16ads_v5</t>
        </is>
      </c>
      <c r="F47" s="33" t="inlineStr">
        <is>
          <t>Eadsv5</t>
        </is>
      </c>
      <c r="G47" s="34" t="n">
        <v>16</v>
      </c>
      <c r="H47" s="32" t="inlineStr">
        <is>
          <t>crg-dr-cus-reg</t>
        </is>
      </c>
      <c r="I47" s="23" t="n">
        <v>30</v>
      </c>
      <c r="J47" s="23" t="n">
        <v>18</v>
      </c>
      <c r="K47" s="24">
        <f>I47+J47</f>
        <v/>
      </c>
      <c r="L47" s="24">
        <f>K47-I47</f>
        <v/>
      </c>
      <c r="M47" s="33" t="inlineStr">
        <is>
          <t>Standard</t>
        </is>
      </c>
      <c r="N47" s="32" t="inlineStr">
        <is>
          <t>Synthetic estate</t>
        </is>
      </c>
    </row>
    <row r="48">
      <c r="A48" s="32" t="inlineStr">
        <is>
          <t>Central US</t>
        </is>
      </c>
      <c r="B48" s="32" t="inlineStr">
        <is>
          <t>centralus</t>
        </is>
      </c>
      <c r="C48" s="33" t="inlineStr">
        <is>
          <t>US</t>
        </is>
      </c>
      <c r="D48" s="33" t="inlineStr">
        <is>
          <t>DR</t>
        </is>
      </c>
      <c r="E48" s="32" t="inlineStr">
        <is>
          <t>Standard_E32ads_v6</t>
        </is>
      </c>
      <c r="F48" s="33" t="inlineStr">
        <is>
          <t>Eadsv6</t>
        </is>
      </c>
      <c r="G48" s="34" t="n">
        <v>32</v>
      </c>
      <c r="H48" s="32" t="inlineStr">
        <is>
          <t>crg-dr-cus-reg</t>
        </is>
      </c>
      <c r="I48" s="23" t="n">
        <v>60</v>
      </c>
      <c r="J48" s="23" t="n">
        <v>36</v>
      </c>
      <c r="K48" s="24">
        <f>I48+J48</f>
        <v/>
      </c>
      <c r="L48" s="24">
        <f>K48-I48</f>
        <v/>
      </c>
      <c r="M48" s="33" t="inlineStr">
        <is>
          <t>Standard</t>
        </is>
      </c>
      <c r="N48" s="32" t="inlineStr">
        <is>
          <t>Synthetic estate</t>
        </is>
      </c>
    </row>
    <row r="49">
      <c r="A49" s="32" t="inlineStr">
        <is>
          <t>Central US</t>
        </is>
      </c>
      <c r="B49" s="32" t="inlineStr">
        <is>
          <t>centralus</t>
        </is>
      </c>
      <c r="C49" s="33" t="inlineStr">
        <is>
          <t>US</t>
        </is>
      </c>
      <c r="D49" s="33" t="inlineStr">
        <is>
          <t>DR</t>
        </is>
      </c>
      <c r="E49" s="32" t="inlineStr">
        <is>
          <t>Standard_D8ads_v5</t>
        </is>
      </c>
      <c r="F49" s="33" t="inlineStr">
        <is>
          <t>Dadsv5</t>
        </is>
      </c>
      <c r="G49" s="34" t="n">
        <v>8</v>
      </c>
      <c r="H49" s="32" t="inlineStr">
        <is>
          <t>crg-dr-cus-reg</t>
        </is>
      </c>
      <c r="I49" s="23" t="n">
        <v>15</v>
      </c>
      <c r="J49" s="23" t="n">
        <v>9</v>
      </c>
      <c r="K49" s="24">
        <f>I49+J49</f>
        <v/>
      </c>
      <c r="L49" s="24">
        <f>K49-I49</f>
        <v/>
      </c>
      <c r="M49" s="33" t="inlineStr">
        <is>
          <t>Standard</t>
        </is>
      </c>
      <c r="N49" s="32" t="inlineStr">
        <is>
          <t>Synthetic estate</t>
        </is>
      </c>
    </row>
    <row r="50">
      <c r="A50" s="32" t="inlineStr">
        <is>
          <t>Central US</t>
        </is>
      </c>
      <c r="B50" s="32" t="inlineStr">
        <is>
          <t>centralus</t>
        </is>
      </c>
      <c r="C50" s="33" t="inlineStr">
        <is>
          <t>US</t>
        </is>
      </c>
      <c r="D50" s="33" t="inlineStr">
        <is>
          <t>DR</t>
        </is>
      </c>
      <c r="E50" s="32" t="inlineStr">
        <is>
          <t>Standard_D16ads_v5</t>
        </is>
      </c>
      <c r="F50" s="33" t="inlineStr">
        <is>
          <t>Dadsv5</t>
        </is>
      </c>
      <c r="G50" s="34" t="n">
        <v>16</v>
      </c>
      <c r="H50" s="32" t="inlineStr">
        <is>
          <t>crg-dr-cus-reg</t>
        </is>
      </c>
      <c r="I50" s="23" t="n">
        <v>30</v>
      </c>
      <c r="J50" s="23" t="n">
        <v>18</v>
      </c>
      <c r="K50" s="24">
        <f>I50+J50</f>
        <v/>
      </c>
      <c r="L50" s="24">
        <f>K50-I50</f>
        <v/>
      </c>
      <c r="M50" s="33" t="inlineStr">
        <is>
          <t>Standard</t>
        </is>
      </c>
      <c r="N50" s="32" t="inlineStr">
        <is>
          <t>Synthetic estate</t>
        </is>
      </c>
    </row>
    <row r="51">
      <c r="A51" s="32" t="inlineStr">
        <is>
          <t>Central US</t>
        </is>
      </c>
      <c r="B51" s="32" t="inlineStr">
        <is>
          <t>centralus</t>
        </is>
      </c>
      <c r="C51" s="33" t="inlineStr">
        <is>
          <t>US</t>
        </is>
      </c>
      <c r="D51" s="33" t="inlineStr">
        <is>
          <t>DR</t>
        </is>
      </c>
      <c r="E51" s="32" t="inlineStr">
        <is>
          <t>Standard_D8as_v5</t>
        </is>
      </c>
      <c r="F51" s="33" t="inlineStr">
        <is>
          <t>Dasv5</t>
        </is>
      </c>
      <c r="G51" s="34" t="n">
        <v>8</v>
      </c>
      <c r="H51" s="32" t="inlineStr">
        <is>
          <t>crg-dr-cus-reg</t>
        </is>
      </c>
      <c r="I51" s="23" t="n">
        <v>15</v>
      </c>
      <c r="J51" s="23" t="n">
        <v>9</v>
      </c>
      <c r="K51" s="24">
        <f>I51+J51</f>
        <v/>
      </c>
      <c r="L51" s="24">
        <f>K51-I51</f>
        <v/>
      </c>
      <c r="M51" s="33" t="inlineStr">
        <is>
          <t>Standard</t>
        </is>
      </c>
      <c r="N51" s="32" t="inlineStr">
        <is>
          <t>Synthetic estate</t>
        </is>
      </c>
    </row>
    <row r="52">
      <c r="A52" s="32" t="inlineStr">
        <is>
          <t>Central US</t>
        </is>
      </c>
      <c r="B52" s="32" t="inlineStr">
        <is>
          <t>centralus</t>
        </is>
      </c>
      <c r="C52" s="33" t="inlineStr">
        <is>
          <t>US</t>
        </is>
      </c>
      <c r="D52" s="33" t="inlineStr">
        <is>
          <t>DR</t>
        </is>
      </c>
      <c r="E52" s="32" t="inlineStr">
        <is>
          <t>Standard_D16as_v5</t>
        </is>
      </c>
      <c r="F52" s="33" t="inlineStr">
        <is>
          <t>Dasv5</t>
        </is>
      </c>
      <c r="G52" s="34" t="n">
        <v>16</v>
      </c>
      <c r="H52" s="32" t="inlineStr">
        <is>
          <t>crg-dr-cus-reg</t>
        </is>
      </c>
      <c r="I52" s="23" t="n">
        <v>30</v>
      </c>
      <c r="J52" s="23" t="n">
        <v>18</v>
      </c>
      <c r="K52" s="24">
        <f>I52+J52</f>
        <v/>
      </c>
      <c r="L52" s="24">
        <f>K52-I52</f>
        <v/>
      </c>
      <c r="M52" s="33" t="inlineStr">
        <is>
          <t>Standard</t>
        </is>
      </c>
      <c r="N52" s="32" t="inlineStr">
        <is>
          <t>Synthetic estate</t>
        </is>
      </c>
    </row>
    <row r="53">
      <c r="A53" s="32" t="inlineStr">
        <is>
          <t>Canada Central</t>
        </is>
      </c>
      <c r="B53" s="32" t="inlineStr">
        <is>
          <t>canadacentral</t>
        </is>
      </c>
      <c r="C53" s="33" t="inlineStr">
        <is>
          <t>US</t>
        </is>
      </c>
      <c r="D53" s="33" t="inlineStr">
        <is>
          <t>Prod</t>
        </is>
      </c>
      <c r="E53" s="32" t="inlineStr">
        <is>
          <t>Standard_E32ads_v5</t>
        </is>
      </c>
      <c r="F53" s="33" t="inlineStr">
        <is>
          <t>Eadsv5</t>
        </is>
      </c>
      <c r="G53" s="34" t="n">
        <v>32</v>
      </c>
      <c r="H53" s="32" t="inlineStr">
        <is>
          <t>crg-pr-cac-reg</t>
        </is>
      </c>
      <c r="I53" s="23" t="n">
        <v>500</v>
      </c>
      <c r="J53" s="23" t="n">
        <v>64</v>
      </c>
      <c r="K53" s="24">
        <f>I53+J53</f>
        <v/>
      </c>
      <c r="L53" s="24">
        <f>K53-I53</f>
        <v/>
      </c>
      <c r="M53" s="33" t="inlineStr">
        <is>
          <t>Standard</t>
        </is>
      </c>
      <c r="N53" s="32" t="inlineStr">
        <is>
          <t>Synthetic — region is in the catalogue but not in the local usage extracts</t>
        </is>
      </c>
    </row>
    <row r="54">
      <c r="A54" s="32" t="inlineStr">
        <is>
          <t>Canada Central</t>
        </is>
      </c>
      <c r="B54" s="32" t="inlineStr">
        <is>
          <t>canadacentral</t>
        </is>
      </c>
      <c r="C54" s="33" t="inlineStr">
        <is>
          <t>US</t>
        </is>
      </c>
      <c r="D54" s="33" t="inlineStr">
        <is>
          <t>Prod</t>
        </is>
      </c>
      <c r="E54" s="32" t="inlineStr">
        <is>
          <t>Standard_E64ads_v5</t>
        </is>
      </c>
      <c r="F54" s="33" t="inlineStr">
        <is>
          <t>Eadsv5</t>
        </is>
      </c>
      <c r="G54" s="34" t="n">
        <v>64</v>
      </c>
      <c r="H54" s="32" t="inlineStr">
        <is>
          <t>crg-pr-cac-reg</t>
        </is>
      </c>
      <c r="I54" s="23" t="n">
        <v>1000</v>
      </c>
      <c r="J54" s="23" t="n">
        <v>128</v>
      </c>
      <c r="K54" s="24">
        <f>I54+J54</f>
        <v/>
      </c>
      <c r="L54" s="24">
        <f>K54-I54</f>
        <v/>
      </c>
      <c r="M54" s="33" t="inlineStr">
        <is>
          <t>Standard</t>
        </is>
      </c>
      <c r="N54" s="32" t="inlineStr">
        <is>
          <t>Synthetic — region is in the catalogue but not in the local usage extracts</t>
        </is>
      </c>
    </row>
    <row r="55">
      <c r="A55" s="32" t="inlineStr">
        <is>
          <t>Canada Central</t>
        </is>
      </c>
      <c r="B55" s="32" t="inlineStr">
        <is>
          <t>canadacentral</t>
        </is>
      </c>
      <c r="C55" s="33" t="inlineStr">
        <is>
          <t>US</t>
        </is>
      </c>
      <c r="D55" s="33" t="inlineStr">
        <is>
          <t>Prod</t>
        </is>
      </c>
      <c r="E55" s="32" t="inlineStr">
        <is>
          <t>Standard_E16ads_v5</t>
        </is>
      </c>
      <c r="F55" s="33" t="inlineStr">
        <is>
          <t>Eadsv5</t>
        </is>
      </c>
      <c r="G55" s="34" t="n">
        <v>16</v>
      </c>
      <c r="H55" s="32" t="inlineStr">
        <is>
          <t>crg-pr-cac-reg</t>
        </is>
      </c>
      <c r="I55" s="23" t="n">
        <v>250</v>
      </c>
      <c r="J55" s="23" t="n">
        <v>32</v>
      </c>
      <c r="K55" s="24">
        <f>I55+J55</f>
        <v/>
      </c>
      <c r="L55" s="24">
        <f>K55-I55</f>
        <v/>
      </c>
      <c r="M55" s="33" t="inlineStr">
        <is>
          <t>Standard</t>
        </is>
      </c>
      <c r="N55" s="32" t="inlineStr">
        <is>
          <t>Synthetic — region is in the catalogue but not in the local usage extracts</t>
        </is>
      </c>
    </row>
    <row r="56">
      <c r="A56" s="32" t="inlineStr">
        <is>
          <t>Canada Central</t>
        </is>
      </c>
      <c r="B56" s="32" t="inlineStr">
        <is>
          <t>canadacentral</t>
        </is>
      </c>
      <c r="C56" s="33" t="inlineStr">
        <is>
          <t>US</t>
        </is>
      </c>
      <c r="D56" s="33" t="inlineStr">
        <is>
          <t>Prod</t>
        </is>
      </c>
      <c r="E56" s="32" t="inlineStr">
        <is>
          <t>Standard_E32ads_v6</t>
        </is>
      </c>
      <c r="F56" s="33" t="inlineStr">
        <is>
          <t>Eadsv6</t>
        </is>
      </c>
      <c r="G56" s="34" t="n">
        <v>32</v>
      </c>
      <c r="H56" s="32" t="inlineStr">
        <is>
          <t>crg-pr-cac-reg</t>
        </is>
      </c>
      <c r="I56" s="23" t="n">
        <v>500</v>
      </c>
      <c r="J56" s="23" t="n">
        <v>64</v>
      </c>
      <c r="K56" s="24">
        <f>I56+J56</f>
        <v/>
      </c>
      <c r="L56" s="24">
        <f>K56-I56</f>
        <v/>
      </c>
      <c r="M56" s="33" t="inlineStr">
        <is>
          <t>Standard</t>
        </is>
      </c>
      <c r="N56" s="32" t="inlineStr">
        <is>
          <t>Synthetic — region is in the catalogue but not in the local usage extracts</t>
        </is>
      </c>
    </row>
    <row r="57">
      <c r="A57" s="32" t="inlineStr">
        <is>
          <t>Canada Central</t>
        </is>
      </c>
      <c r="B57" s="32" t="inlineStr">
        <is>
          <t>canadacentral</t>
        </is>
      </c>
      <c r="C57" s="33" t="inlineStr">
        <is>
          <t>US</t>
        </is>
      </c>
      <c r="D57" s="33" t="inlineStr">
        <is>
          <t>Prod</t>
        </is>
      </c>
      <c r="E57" s="32" t="inlineStr">
        <is>
          <t>Standard_D8ads_v5</t>
        </is>
      </c>
      <c r="F57" s="33" t="inlineStr">
        <is>
          <t>Dadsv5</t>
        </is>
      </c>
      <c r="G57" s="34" t="n">
        <v>8</v>
      </c>
      <c r="H57" s="32" t="inlineStr">
        <is>
          <t>crg-pr-cac-reg</t>
        </is>
      </c>
      <c r="I57" s="23" t="n">
        <v>125</v>
      </c>
      <c r="J57" s="23" t="n">
        <v>16</v>
      </c>
      <c r="K57" s="24">
        <f>I57+J57</f>
        <v/>
      </c>
      <c r="L57" s="24">
        <f>K57-I57</f>
        <v/>
      </c>
      <c r="M57" s="33" t="inlineStr">
        <is>
          <t>Standard</t>
        </is>
      </c>
      <c r="N57" s="32" t="inlineStr">
        <is>
          <t>Synthetic — region is in the catalogue but not in the local usage extracts</t>
        </is>
      </c>
    </row>
    <row r="58">
      <c r="A58" s="32" t="inlineStr">
        <is>
          <t>Canada Central</t>
        </is>
      </c>
      <c r="B58" s="32" t="inlineStr">
        <is>
          <t>canadacentral</t>
        </is>
      </c>
      <c r="C58" s="33" t="inlineStr">
        <is>
          <t>US</t>
        </is>
      </c>
      <c r="D58" s="33" t="inlineStr">
        <is>
          <t>Prod</t>
        </is>
      </c>
      <c r="E58" s="32" t="inlineStr">
        <is>
          <t>Standard_D16ads_v5</t>
        </is>
      </c>
      <c r="F58" s="33" t="inlineStr">
        <is>
          <t>Dadsv5</t>
        </is>
      </c>
      <c r="G58" s="34" t="n">
        <v>16</v>
      </c>
      <c r="H58" s="32" t="inlineStr">
        <is>
          <t>crg-pr-cac-reg</t>
        </is>
      </c>
      <c r="I58" s="23" t="n">
        <v>250</v>
      </c>
      <c r="J58" s="23" t="n">
        <v>32</v>
      </c>
      <c r="K58" s="24">
        <f>I58+J58</f>
        <v/>
      </c>
      <c r="L58" s="24">
        <f>K58-I58</f>
        <v/>
      </c>
      <c r="M58" s="33" t="inlineStr">
        <is>
          <t>Standard</t>
        </is>
      </c>
      <c r="N58" s="32" t="inlineStr">
        <is>
          <t>Synthetic — region is in the catalogue but not in the local usage extracts</t>
        </is>
      </c>
    </row>
    <row r="59">
      <c r="A59" s="32" t="inlineStr">
        <is>
          <t>Canada Central</t>
        </is>
      </c>
      <c r="B59" s="32" t="inlineStr">
        <is>
          <t>canadacentral</t>
        </is>
      </c>
      <c r="C59" s="33" t="inlineStr">
        <is>
          <t>US</t>
        </is>
      </c>
      <c r="D59" s="33" t="inlineStr">
        <is>
          <t>Prod</t>
        </is>
      </c>
      <c r="E59" s="32" t="inlineStr">
        <is>
          <t>Standard_D8as_v5</t>
        </is>
      </c>
      <c r="F59" s="33" t="inlineStr">
        <is>
          <t>Dasv5</t>
        </is>
      </c>
      <c r="G59" s="34" t="n">
        <v>8</v>
      </c>
      <c r="H59" s="32" t="inlineStr">
        <is>
          <t>crg-pr-cac-reg</t>
        </is>
      </c>
      <c r="I59" s="23" t="n">
        <v>125</v>
      </c>
      <c r="J59" s="23" t="n">
        <v>16</v>
      </c>
      <c r="K59" s="24">
        <f>I59+J59</f>
        <v/>
      </c>
      <c r="L59" s="24">
        <f>K59-I59</f>
        <v/>
      </c>
      <c r="M59" s="33" t="inlineStr">
        <is>
          <t>Standard</t>
        </is>
      </c>
      <c r="N59" s="32" t="inlineStr">
        <is>
          <t>Synthetic — region is in the catalogue but not in the local usage extracts</t>
        </is>
      </c>
    </row>
    <row r="60">
      <c r="A60" s="32" t="inlineStr">
        <is>
          <t>Canada Central</t>
        </is>
      </c>
      <c r="B60" s="32" t="inlineStr">
        <is>
          <t>canadacentral</t>
        </is>
      </c>
      <c r="C60" s="33" t="inlineStr">
        <is>
          <t>US</t>
        </is>
      </c>
      <c r="D60" s="33" t="inlineStr">
        <is>
          <t>Prod</t>
        </is>
      </c>
      <c r="E60" s="32" t="inlineStr">
        <is>
          <t>Standard_D16as_v5</t>
        </is>
      </c>
      <c r="F60" s="33" t="inlineStr">
        <is>
          <t>Dasv5</t>
        </is>
      </c>
      <c r="G60" s="34" t="n">
        <v>16</v>
      </c>
      <c r="H60" s="32" t="inlineStr">
        <is>
          <t>crg-pr-cac-reg</t>
        </is>
      </c>
      <c r="I60" s="23" t="n">
        <v>250</v>
      </c>
      <c r="J60" s="23" t="n">
        <v>32</v>
      </c>
      <c r="K60" s="24">
        <f>I60+J60</f>
        <v/>
      </c>
      <c r="L60" s="24">
        <f>K60-I60</f>
        <v/>
      </c>
      <c r="M60" s="33" t="inlineStr">
        <is>
          <t>Standard</t>
        </is>
      </c>
      <c r="N60" s="32" t="inlineStr">
        <is>
          <t>Synthetic — region is in the catalogue but not in the local usage extracts</t>
        </is>
      </c>
    </row>
    <row r="61">
      <c r="A61" s="32" t="inlineStr">
        <is>
          <t>Canada Central</t>
        </is>
      </c>
      <c r="B61" s="32" t="inlineStr">
        <is>
          <t>canadacentral</t>
        </is>
      </c>
      <c r="C61" s="33" t="inlineStr">
        <is>
          <t>US</t>
        </is>
      </c>
      <c r="D61" s="33" t="inlineStr">
        <is>
          <t>NonProd</t>
        </is>
      </c>
      <c r="E61" s="32" t="inlineStr">
        <is>
          <t>Standard_E32ads_v5</t>
        </is>
      </c>
      <c r="F61" s="33" t="inlineStr">
        <is>
          <t>Eadsv5</t>
        </is>
      </c>
      <c r="G61" s="34" t="n">
        <v>32</v>
      </c>
      <c r="H61" s="32" t="inlineStr">
        <is>
          <t>crg-np-cac-reg</t>
        </is>
      </c>
      <c r="I61" s="23" t="n">
        <v>300</v>
      </c>
      <c r="J61" s="23" t="n">
        <v>113</v>
      </c>
      <c r="K61" s="24">
        <f>I61+J61</f>
        <v/>
      </c>
      <c r="L61" s="24">
        <f>K61-I61</f>
        <v/>
      </c>
      <c r="M61" s="33" t="inlineStr">
        <is>
          <t>Standard</t>
        </is>
      </c>
      <c r="N61" s="32" t="inlineStr">
        <is>
          <t>Synthetic — region is in the catalogue but not in the local usage extracts</t>
        </is>
      </c>
    </row>
    <row r="62">
      <c r="A62" s="32" t="inlineStr">
        <is>
          <t>Canada Central</t>
        </is>
      </c>
      <c r="B62" s="32" t="inlineStr">
        <is>
          <t>canadacentral</t>
        </is>
      </c>
      <c r="C62" s="33" t="inlineStr">
        <is>
          <t>US</t>
        </is>
      </c>
      <c r="D62" s="33" t="inlineStr">
        <is>
          <t>NonProd</t>
        </is>
      </c>
      <c r="E62" s="32" t="inlineStr">
        <is>
          <t>Standard_E64ads_v5</t>
        </is>
      </c>
      <c r="F62" s="33" t="inlineStr">
        <is>
          <t>Eadsv5</t>
        </is>
      </c>
      <c r="G62" s="34" t="n">
        <v>64</v>
      </c>
      <c r="H62" s="32" t="inlineStr">
        <is>
          <t>crg-np-cac-reg</t>
        </is>
      </c>
      <c r="I62" s="23" t="n">
        <v>600</v>
      </c>
      <c r="J62" s="23" t="n">
        <v>226</v>
      </c>
      <c r="K62" s="24">
        <f>I62+J62</f>
        <v/>
      </c>
      <c r="L62" s="24">
        <f>K62-I62</f>
        <v/>
      </c>
      <c r="M62" s="33" t="inlineStr">
        <is>
          <t>Standard</t>
        </is>
      </c>
      <c r="N62" s="32" t="inlineStr">
        <is>
          <t>Synthetic — region is in the catalogue but not in the local usage extracts</t>
        </is>
      </c>
    </row>
    <row r="63">
      <c r="A63" s="32" t="inlineStr">
        <is>
          <t>Canada Central</t>
        </is>
      </c>
      <c r="B63" s="32" t="inlineStr">
        <is>
          <t>canadacentral</t>
        </is>
      </c>
      <c r="C63" s="33" t="inlineStr">
        <is>
          <t>US</t>
        </is>
      </c>
      <c r="D63" s="33" t="inlineStr">
        <is>
          <t>NonProd</t>
        </is>
      </c>
      <c r="E63" s="32" t="inlineStr">
        <is>
          <t>Standard_E16ads_v5</t>
        </is>
      </c>
      <c r="F63" s="33" t="inlineStr">
        <is>
          <t>Eadsv5</t>
        </is>
      </c>
      <c r="G63" s="34" t="n">
        <v>16</v>
      </c>
      <c r="H63" s="32" t="inlineStr">
        <is>
          <t>crg-np-cac-reg</t>
        </is>
      </c>
      <c r="I63" s="23" t="n">
        <v>150</v>
      </c>
      <c r="J63" s="23" t="n">
        <v>56</v>
      </c>
      <c r="K63" s="24">
        <f>I63+J63</f>
        <v/>
      </c>
      <c r="L63" s="24">
        <f>K63-I63</f>
        <v/>
      </c>
      <c r="M63" s="33" t="inlineStr">
        <is>
          <t>Standard</t>
        </is>
      </c>
      <c r="N63" s="32" t="inlineStr">
        <is>
          <t>Synthetic — region is in the catalogue but not in the local usage extracts</t>
        </is>
      </c>
    </row>
    <row r="64">
      <c r="A64" s="32" t="inlineStr">
        <is>
          <t>Canada Central</t>
        </is>
      </c>
      <c r="B64" s="32" t="inlineStr">
        <is>
          <t>canadacentral</t>
        </is>
      </c>
      <c r="C64" s="33" t="inlineStr">
        <is>
          <t>US</t>
        </is>
      </c>
      <c r="D64" s="33" t="inlineStr">
        <is>
          <t>NonProd</t>
        </is>
      </c>
      <c r="E64" s="32" t="inlineStr">
        <is>
          <t>Standard_E32ads_v6</t>
        </is>
      </c>
      <c r="F64" s="33" t="inlineStr">
        <is>
          <t>Eadsv6</t>
        </is>
      </c>
      <c r="G64" s="34" t="n">
        <v>32</v>
      </c>
      <c r="H64" s="32" t="inlineStr">
        <is>
          <t>crg-np-cac-reg</t>
        </is>
      </c>
      <c r="I64" s="23" t="n">
        <v>300</v>
      </c>
      <c r="J64" s="23" t="n">
        <v>113</v>
      </c>
      <c r="K64" s="24">
        <f>I64+J64</f>
        <v/>
      </c>
      <c r="L64" s="24">
        <f>K64-I64</f>
        <v/>
      </c>
      <c r="M64" s="33" t="inlineStr">
        <is>
          <t>Standard</t>
        </is>
      </c>
      <c r="N64" s="32" t="inlineStr">
        <is>
          <t>Synthetic — region is in the catalogue but not in the local usage extracts</t>
        </is>
      </c>
    </row>
    <row r="65">
      <c r="A65" s="32" t="inlineStr">
        <is>
          <t>Canada Central</t>
        </is>
      </c>
      <c r="B65" s="32" t="inlineStr">
        <is>
          <t>canadacentral</t>
        </is>
      </c>
      <c r="C65" s="33" t="inlineStr">
        <is>
          <t>US</t>
        </is>
      </c>
      <c r="D65" s="33" t="inlineStr">
        <is>
          <t>NonProd</t>
        </is>
      </c>
      <c r="E65" s="32" t="inlineStr">
        <is>
          <t>Standard_D8ads_v5</t>
        </is>
      </c>
      <c r="F65" s="33" t="inlineStr">
        <is>
          <t>Dadsv5</t>
        </is>
      </c>
      <c r="G65" s="34" t="n">
        <v>8</v>
      </c>
      <c r="H65" s="32" t="inlineStr">
        <is>
          <t>crg-np-cac-reg</t>
        </is>
      </c>
      <c r="I65" s="23" t="n">
        <v>75</v>
      </c>
      <c r="J65" s="23" t="n">
        <v>28</v>
      </c>
      <c r="K65" s="24">
        <f>I65+J65</f>
        <v/>
      </c>
      <c r="L65" s="24">
        <f>K65-I65</f>
        <v/>
      </c>
      <c r="M65" s="33" t="inlineStr">
        <is>
          <t>Standard</t>
        </is>
      </c>
      <c r="N65" s="32" t="inlineStr">
        <is>
          <t>Synthetic — region is in the catalogue but not in the local usage extracts</t>
        </is>
      </c>
    </row>
    <row r="66">
      <c r="A66" s="32" t="inlineStr">
        <is>
          <t>Canada Central</t>
        </is>
      </c>
      <c r="B66" s="32" t="inlineStr">
        <is>
          <t>canadacentral</t>
        </is>
      </c>
      <c r="C66" s="33" t="inlineStr">
        <is>
          <t>US</t>
        </is>
      </c>
      <c r="D66" s="33" t="inlineStr">
        <is>
          <t>NonProd</t>
        </is>
      </c>
      <c r="E66" s="32" t="inlineStr">
        <is>
          <t>Standard_D16ads_v5</t>
        </is>
      </c>
      <c r="F66" s="33" t="inlineStr">
        <is>
          <t>Dadsv5</t>
        </is>
      </c>
      <c r="G66" s="34" t="n">
        <v>16</v>
      </c>
      <c r="H66" s="32" t="inlineStr">
        <is>
          <t>crg-np-cac-reg</t>
        </is>
      </c>
      <c r="I66" s="23" t="n">
        <v>150</v>
      </c>
      <c r="J66" s="23" t="n">
        <v>56</v>
      </c>
      <c r="K66" s="24">
        <f>I66+J66</f>
        <v/>
      </c>
      <c r="L66" s="24">
        <f>K66-I66</f>
        <v/>
      </c>
      <c r="M66" s="33" t="inlineStr">
        <is>
          <t>Standard</t>
        </is>
      </c>
      <c r="N66" s="32" t="inlineStr">
        <is>
          <t>Synthetic — region is in the catalogue but not in the local usage extracts</t>
        </is>
      </c>
    </row>
    <row r="67">
      <c r="A67" s="32" t="inlineStr">
        <is>
          <t>Canada Central</t>
        </is>
      </c>
      <c r="B67" s="32" t="inlineStr">
        <is>
          <t>canadacentral</t>
        </is>
      </c>
      <c r="C67" s="33" t="inlineStr">
        <is>
          <t>US</t>
        </is>
      </c>
      <c r="D67" s="33" t="inlineStr">
        <is>
          <t>NonProd</t>
        </is>
      </c>
      <c r="E67" s="32" t="inlineStr">
        <is>
          <t>Standard_D8as_v5</t>
        </is>
      </c>
      <c r="F67" s="33" t="inlineStr">
        <is>
          <t>Dasv5</t>
        </is>
      </c>
      <c r="G67" s="34" t="n">
        <v>8</v>
      </c>
      <c r="H67" s="32" t="inlineStr">
        <is>
          <t>crg-np-cac-reg</t>
        </is>
      </c>
      <c r="I67" s="23" t="n">
        <v>75</v>
      </c>
      <c r="J67" s="23" t="n">
        <v>28</v>
      </c>
      <c r="K67" s="24">
        <f>I67+J67</f>
        <v/>
      </c>
      <c r="L67" s="24">
        <f>K67-I67</f>
        <v/>
      </c>
      <c r="M67" s="33" t="inlineStr">
        <is>
          <t>Standard</t>
        </is>
      </c>
      <c r="N67" s="32" t="inlineStr">
        <is>
          <t>Synthetic — region is in the catalogue but not in the local usage extracts</t>
        </is>
      </c>
    </row>
    <row r="68">
      <c r="A68" s="32" t="inlineStr">
        <is>
          <t>Canada Central</t>
        </is>
      </c>
      <c r="B68" s="32" t="inlineStr">
        <is>
          <t>canadacentral</t>
        </is>
      </c>
      <c r="C68" s="33" t="inlineStr">
        <is>
          <t>US</t>
        </is>
      </c>
      <c r="D68" s="33" t="inlineStr">
        <is>
          <t>NonProd</t>
        </is>
      </c>
      <c r="E68" s="32" t="inlineStr">
        <is>
          <t>Standard_D16as_v5</t>
        </is>
      </c>
      <c r="F68" s="33" t="inlineStr">
        <is>
          <t>Dasv5</t>
        </is>
      </c>
      <c r="G68" s="34" t="n">
        <v>16</v>
      </c>
      <c r="H68" s="32" t="inlineStr">
        <is>
          <t>crg-np-cac-reg</t>
        </is>
      </c>
      <c r="I68" s="23" t="n">
        <v>150</v>
      </c>
      <c r="J68" s="23" t="n">
        <v>56</v>
      </c>
      <c r="K68" s="24">
        <f>I68+J68</f>
        <v/>
      </c>
      <c r="L68" s="24">
        <f>K68-I68</f>
        <v/>
      </c>
      <c r="M68" s="33" t="inlineStr">
        <is>
          <t>Standard</t>
        </is>
      </c>
      <c r="N68" s="32" t="inlineStr">
        <is>
          <t>Synthetic — region is in the catalogue but not in the local usage extracts</t>
        </is>
      </c>
    </row>
    <row r="69">
      <c r="A69" s="32" t="inlineStr">
        <is>
          <t>Canada Central</t>
        </is>
      </c>
      <c r="B69" s="32" t="inlineStr">
        <is>
          <t>canadacentral</t>
        </is>
      </c>
      <c r="C69" s="33" t="inlineStr">
        <is>
          <t>US</t>
        </is>
      </c>
      <c r="D69" s="33" t="inlineStr">
        <is>
          <t>DR</t>
        </is>
      </c>
      <c r="E69" s="32" t="inlineStr">
        <is>
          <t>Standard_E32ads_v5</t>
        </is>
      </c>
      <c r="F69" s="33" t="inlineStr">
        <is>
          <t>Eadsv5</t>
        </is>
      </c>
      <c r="G69" s="34" t="n">
        <v>32</v>
      </c>
      <c r="H69" s="32" t="inlineStr">
        <is>
          <t>crg-dr-cac-reg</t>
        </is>
      </c>
      <c r="I69" s="23" t="n">
        <v>40</v>
      </c>
      <c r="J69" s="23" t="n">
        <v>48</v>
      </c>
      <c r="K69" s="24">
        <f>I69+J69</f>
        <v/>
      </c>
      <c r="L69" s="24">
        <f>K69-I69</f>
        <v/>
      </c>
      <c r="M69" s="33" t="inlineStr">
        <is>
          <t>Standard</t>
        </is>
      </c>
      <c r="N69" s="32" t="inlineStr">
        <is>
          <t>Synthetic — region is in the catalogue but not in the local usage extracts</t>
        </is>
      </c>
    </row>
    <row r="70">
      <c r="A70" s="32" t="inlineStr">
        <is>
          <t>Canada Central</t>
        </is>
      </c>
      <c r="B70" s="32" t="inlineStr">
        <is>
          <t>canadacentral</t>
        </is>
      </c>
      <c r="C70" s="33" t="inlineStr">
        <is>
          <t>US</t>
        </is>
      </c>
      <c r="D70" s="33" t="inlineStr">
        <is>
          <t>DR</t>
        </is>
      </c>
      <c r="E70" s="32" t="inlineStr">
        <is>
          <t>Standard_E64ads_v5</t>
        </is>
      </c>
      <c r="F70" s="33" t="inlineStr">
        <is>
          <t>Eadsv5</t>
        </is>
      </c>
      <c r="G70" s="34" t="n">
        <v>64</v>
      </c>
      <c r="H70" s="32" t="inlineStr">
        <is>
          <t>crg-dr-cac-reg</t>
        </is>
      </c>
      <c r="I70" s="23" t="n">
        <v>80</v>
      </c>
      <c r="J70" s="23" t="n">
        <v>96</v>
      </c>
      <c r="K70" s="24">
        <f>I70+J70</f>
        <v/>
      </c>
      <c r="L70" s="24">
        <f>K70-I70</f>
        <v/>
      </c>
      <c r="M70" s="33" t="inlineStr">
        <is>
          <t>Standard</t>
        </is>
      </c>
      <c r="N70" s="32" t="inlineStr">
        <is>
          <t>Synthetic — region is in the catalogue but not in the local usage extracts</t>
        </is>
      </c>
    </row>
    <row r="71">
      <c r="A71" s="32" t="inlineStr">
        <is>
          <t>Canada Central</t>
        </is>
      </c>
      <c r="B71" s="32" t="inlineStr">
        <is>
          <t>canadacentral</t>
        </is>
      </c>
      <c r="C71" s="33" t="inlineStr">
        <is>
          <t>US</t>
        </is>
      </c>
      <c r="D71" s="33" t="inlineStr">
        <is>
          <t>DR</t>
        </is>
      </c>
      <c r="E71" s="32" t="inlineStr">
        <is>
          <t>Standard_E16ads_v5</t>
        </is>
      </c>
      <c r="F71" s="33" t="inlineStr">
        <is>
          <t>Eadsv5</t>
        </is>
      </c>
      <c r="G71" s="34" t="n">
        <v>16</v>
      </c>
      <c r="H71" s="32" t="inlineStr">
        <is>
          <t>crg-dr-cac-reg</t>
        </is>
      </c>
      <c r="I71" s="23" t="n">
        <v>20</v>
      </c>
      <c r="J71" s="23" t="n">
        <v>24</v>
      </c>
      <c r="K71" s="24">
        <f>I71+J71</f>
        <v/>
      </c>
      <c r="L71" s="24">
        <f>K71-I71</f>
        <v/>
      </c>
      <c r="M71" s="33" t="inlineStr">
        <is>
          <t>Standard</t>
        </is>
      </c>
      <c r="N71" s="32" t="inlineStr">
        <is>
          <t>Synthetic — region is in the catalogue but not in the local usage extracts</t>
        </is>
      </c>
    </row>
    <row r="72">
      <c r="A72" s="32" t="inlineStr">
        <is>
          <t>Canada Central</t>
        </is>
      </c>
      <c r="B72" s="32" t="inlineStr">
        <is>
          <t>canadacentral</t>
        </is>
      </c>
      <c r="C72" s="33" t="inlineStr">
        <is>
          <t>US</t>
        </is>
      </c>
      <c r="D72" s="33" t="inlineStr">
        <is>
          <t>DR</t>
        </is>
      </c>
      <c r="E72" s="32" t="inlineStr">
        <is>
          <t>Standard_E32ads_v6</t>
        </is>
      </c>
      <c r="F72" s="33" t="inlineStr">
        <is>
          <t>Eadsv6</t>
        </is>
      </c>
      <c r="G72" s="34" t="n">
        <v>32</v>
      </c>
      <c r="H72" s="32" t="inlineStr">
        <is>
          <t>crg-dr-cac-reg</t>
        </is>
      </c>
      <c r="I72" s="23" t="n">
        <v>40</v>
      </c>
      <c r="J72" s="23" t="n">
        <v>48</v>
      </c>
      <c r="K72" s="24">
        <f>I72+J72</f>
        <v/>
      </c>
      <c r="L72" s="24">
        <f>K72-I72</f>
        <v/>
      </c>
      <c r="M72" s="33" t="inlineStr">
        <is>
          <t>Standard</t>
        </is>
      </c>
      <c r="N72" s="32" t="inlineStr">
        <is>
          <t>Synthetic — region is in the catalogue but not in the local usage extracts</t>
        </is>
      </c>
    </row>
    <row r="73">
      <c r="A73" s="32" t="inlineStr">
        <is>
          <t>Canada Central</t>
        </is>
      </c>
      <c r="B73" s="32" t="inlineStr">
        <is>
          <t>canadacentral</t>
        </is>
      </c>
      <c r="C73" s="33" t="inlineStr">
        <is>
          <t>US</t>
        </is>
      </c>
      <c r="D73" s="33" t="inlineStr">
        <is>
          <t>DR</t>
        </is>
      </c>
      <c r="E73" s="32" t="inlineStr">
        <is>
          <t>Standard_D8ads_v5</t>
        </is>
      </c>
      <c r="F73" s="33" t="inlineStr">
        <is>
          <t>Dadsv5</t>
        </is>
      </c>
      <c r="G73" s="34" t="n">
        <v>8</v>
      </c>
      <c r="H73" s="32" t="inlineStr">
        <is>
          <t>crg-dr-cac-reg</t>
        </is>
      </c>
      <c r="I73" s="23" t="n">
        <v>10</v>
      </c>
      <c r="J73" s="23" t="n">
        <v>12</v>
      </c>
      <c r="K73" s="24">
        <f>I73+J73</f>
        <v/>
      </c>
      <c r="L73" s="24">
        <f>K73-I73</f>
        <v/>
      </c>
      <c r="M73" s="33" t="inlineStr">
        <is>
          <t>Standard</t>
        </is>
      </c>
      <c r="N73" s="32" t="inlineStr">
        <is>
          <t>Synthetic — region is in the catalogue but not in the local usage extracts</t>
        </is>
      </c>
    </row>
    <row r="74">
      <c r="A74" s="32" t="inlineStr">
        <is>
          <t>Canada Central</t>
        </is>
      </c>
      <c r="B74" s="32" t="inlineStr">
        <is>
          <t>canadacentral</t>
        </is>
      </c>
      <c r="C74" s="33" t="inlineStr">
        <is>
          <t>US</t>
        </is>
      </c>
      <c r="D74" s="33" t="inlineStr">
        <is>
          <t>DR</t>
        </is>
      </c>
      <c r="E74" s="32" t="inlineStr">
        <is>
          <t>Standard_D16ads_v5</t>
        </is>
      </c>
      <c r="F74" s="33" t="inlineStr">
        <is>
          <t>Dadsv5</t>
        </is>
      </c>
      <c r="G74" s="34" t="n">
        <v>16</v>
      </c>
      <c r="H74" s="32" t="inlineStr">
        <is>
          <t>crg-dr-cac-reg</t>
        </is>
      </c>
      <c r="I74" s="23" t="n">
        <v>20</v>
      </c>
      <c r="J74" s="23" t="n">
        <v>24</v>
      </c>
      <c r="K74" s="24">
        <f>I74+J74</f>
        <v/>
      </c>
      <c r="L74" s="24">
        <f>K74-I74</f>
        <v/>
      </c>
      <c r="M74" s="33" t="inlineStr">
        <is>
          <t>Standard</t>
        </is>
      </c>
      <c r="N74" s="32" t="inlineStr">
        <is>
          <t>Synthetic — region is in the catalogue but not in the local usage extracts</t>
        </is>
      </c>
    </row>
    <row r="75">
      <c r="A75" s="32" t="inlineStr">
        <is>
          <t>Canada Central</t>
        </is>
      </c>
      <c r="B75" s="32" t="inlineStr">
        <is>
          <t>canadacentral</t>
        </is>
      </c>
      <c r="C75" s="33" t="inlineStr">
        <is>
          <t>US</t>
        </is>
      </c>
      <c r="D75" s="33" t="inlineStr">
        <is>
          <t>DR</t>
        </is>
      </c>
      <c r="E75" s="32" t="inlineStr">
        <is>
          <t>Standard_D8as_v5</t>
        </is>
      </c>
      <c r="F75" s="33" t="inlineStr">
        <is>
          <t>Dasv5</t>
        </is>
      </c>
      <c r="G75" s="34" t="n">
        <v>8</v>
      </c>
      <c r="H75" s="32" t="inlineStr">
        <is>
          <t>crg-dr-cac-reg</t>
        </is>
      </c>
      <c r="I75" s="23" t="n">
        <v>10</v>
      </c>
      <c r="J75" s="23" t="n">
        <v>12</v>
      </c>
      <c r="K75" s="24">
        <f>I75+J75</f>
        <v/>
      </c>
      <c r="L75" s="24">
        <f>K75-I75</f>
        <v/>
      </c>
      <c r="M75" s="33" t="inlineStr">
        <is>
          <t>Standard</t>
        </is>
      </c>
      <c r="N75" s="32" t="inlineStr">
        <is>
          <t>Synthetic — region is in the catalogue but not in the local usage extracts</t>
        </is>
      </c>
    </row>
    <row r="76">
      <c r="A76" s="32" t="inlineStr">
        <is>
          <t>Canada Central</t>
        </is>
      </c>
      <c r="B76" s="32" t="inlineStr">
        <is>
          <t>canadacentral</t>
        </is>
      </c>
      <c r="C76" s="33" t="inlineStr">
        <is>
          <t>US</t>
        </is>
      </c>
      <c r="D76" s="33" t="inlineStr">
        <is>
          <t>DR</t>
        </is>
      </c>
      <c r="E76" s="32" t="inlineStr">
        <is>
          <t>Standard_D16as_v5</t>
        </is>
      </c>
      <c r="F76" s="33" t="inlineStr">
        <is>
          <t>Dasv5</t>
        </is>
      </c>
      <c r="G76" s="34" t="n">
        <v>16</v>
      </c>
      <c r="H76" s="32" t="inlineStr">
        <is>
          <t>crg-dr-cac-reg</t>
        </is>
      </c>
      <c r="I76" s="23" t="n">
        <v>20</v>
      </c>
      <c r="J76" s="23" t="n">
        <v>24</v>
      </c>
      <c r="K76" s="24">
        <f>I76+J76</f>
        <v/>
      </c>
      <c r="L76" s="24">
        <f>K76-I76</f>
        <v/>
      </c>
      <c r="M76" s="33" t="inlineStr">
        <is>
          <t>Standard</t>
        </is>
      </c>
      <c r="N76" s="32" t="inlineStr">
        <is>
          <t>Synthetic — region is in the catalogue but not in the local usage extracts</t>
        </is>
      </c>
    </row>
    <row r="77">
      <c r="A77" s="32" t="inlineStr">
        <is>
          <t>East US 2</t>
        </is>
      </c>
      <c r="B77" s="32" t="inlineStr">
        <is>
          <t>eastus2</t>
        </is>
      </c>
      <c r="C77" s="33" t="inlineStr">
        <is>
          <t>US</t>
        </is>
      </c>
      <c r="D77" s="33" t="inlineStr">
        <is>
          <t>Prod</t>
        </is>
      </c>
      <c r="E77" s="32" t="inlineStr">
        <is>
          <t>Standard_E32ads_v5</t>
        </is>
      </c>
      <c r="F77" s="33" t="inlineStr">
        <is>
          <t>Eadsv5</t>
        </is>
      </c>
      <c r="G77" s="34" t="n">
        <v>32</v>
      </c>
      <c r="H77" s="32" t="inlineStr">
        <is>
          <t>crg-pr-eus2-reg</t>
        </is>
      </c>
      <c r="I77" s="23" t="n">
        <v>650</v>
      </c>
      <c r="J77" s="23" t="n">
        <v>220</v>
      </c>
      <c r="K77" s="24">
        <f>I77+J77</f>
        <v/>
      </c>
      <c r="L77" s="24">
        <f>K77-I77</f>
        <v/>
      </c>
      <c r="M77" s="33" t="inlineStr">
        <is>
          <t>Restricted</t>
        </is>
      </c>
      <c r="N77" s="32" t="inlineStr">
        <is>
          <t>Restricted — explicit Prod region only (Section 6)</t>
        </is>
      </c>
    </row>
    <row r="78">
      <c r="A78" s="32" t="inlineStr">
        <is>
          <t>East US 2</t>
        </is>
      </c>
      <c r="B78" s="32" t="inlineStr">
        <is>
          <t>eastus2</t>
        </is>
      </c>
      <c r="C78" s="33" t="inlineStr">
        <is>
          <t>US</t>
        </is>
      </c>
      <c r="D78" s="33" t="inlineStr">
        <is>
          <t>Prod</t>
        </is>
      </c>
      <c r="E78" s="32" t="inlineStr">
        <is>
          <t>Standard_E64ads_v5</t>
        </is>
      </c>
      <c r="F78" s="33" t="inlineStr">
        <is>
          <t>Eadsv5</t>
        </is>
      </c>
      <c r="G78" s="34" t="n">
        <v>64</v>
      </c>
      <c r="H78" s="32" t="inlineStr">
        <is>
          <t>crg-pr-eus2-reg</t>
        </is>
      </c>
      <c r="I78" s="23" t="n">
        <v>1300</v>
      </c>
      <c r="J78" s="23" t="n">
        <v>440</v>
      </c>
      <c r="K78" s="24">
        <f>I78+J78</f>
        <v/>
      </c>
      <c r="L78" s="24">
        <f>K78-I78</f>
        <v/>
      </c>
      <c r="M78" s="33" t="inlineStr">
        <is>
          <t>Restricted</t>
        </is>
      </c>
      <c r="N78" s="32" t="inlineStr">
        <is>
          <t>Restricted — explicit Prod region only (Section 6)</t>
        </is>
      </c>
    </row>
    <row r="79">
      <c r="A79" s="32" t="inlineStr">
        <is>
          <t>East US 2</t>
        </is>
      </c>
      <c r="B79" s="32" t="inlineStr">
        <is>
          <t>eastus2</t>
        </is>
      </c>
      <c r="C79" s="33" t="inlineStr">
        <is>
          <t>US</t>
        </is>
      </c>
      <c r="D79" s="33" t="inlineStr">
        <is>
          <t>Prod</t>
        </is>
      </c>
      <c r="E79" s="32" t="inlineStr">
        <is>
          <t>Standard_E16ads_v5</t>
        </is>
      </c>
      <c r="F79" s="33" t="inlineStr">
        <is>
          <t>Eadsv5</t>
        </is>
      </c>
      <c r="G79" s="34" t="n">
        <v>16</v>
      </c>
      <c r="H79" s="32" t="inlineStr">
        <is>
          <t>crg-pr-eus2-reg</t>
        </is>
      </c>
      <c r="I79" s="23" t="n">
        <v>325</v>
      </c>
      <c r="J79" s="23" t="n">
        <v>110</v>
      </c>
      <c r="K79" s="24">
        <f>I79+J79</f>
        <v/>
      </c>
      <c r="L79" s="24">
        <f>K79-I79</f>
        <v/>
      </c>
      <c r="M79" s="33" t="inlineStr">
        <is>
          <t>Restricted</t>
        </is>
      </c>
      <c r="N79" s="32" t="inlineStr">
        <is>
          <t>Restricted — explicit Prod region only (Section 6)</t>
        </is>
      </c>
    </row>
    <row r="80">
      <c r="A80" s="32" t="inlineStr">
        <is>
          <t>East US 2</t>
        </is>
      </c>
      <c r="B80" s="32" t="inlineStr">
        <is>
          <t>eastus2</t>
        </is>
      </c>
      <c r="C80" s="33" t="inlineStr">
        <is>
          <t>US</t>
        </is>
      </c>
      <c r="D80" s="33" t="inlineStr">
        <is>
          <t>Prod</t>
        </is>
      </c>
      <c r="E80" s="32" t="inlineStr">
        <is>
          <t>Standard_E32ads_v6</t>
        </is>
      </c>
      <c r="F80" s="33" t="inlineStr">
        <is>
          <t>Eadsv6</t>
        </is>
      </c>
      <c r="G80" s="34" t="n">
        <v>32</v>
      </c>
      <c r="H80" s="32" t="inlineStr">
        <is>
          <t>crg-pr-eus2-reg</t>
        </is>
      </c>
      <c r="I80" s="23" t="n">
        <v>650</v>
      </c>
      <c r="J80" s="23" t="n">
        <v>220</v>
      </c>
      <c r="K80" s="24">
        <f>I80+J80</f>
        <v/>
      </c>
      <c r="L80" s="24">
        <f>K80-I80</f>
        <v/>
      </c>
      <c r="M80" s="33" t="inlineStr">
        <is>
          <t>Restricted</t>
        </is>
      </c>
      <c r="N80" s="32" t="inlineStr">
        <is>
          <t>Restricted — explicit Prod region only (Section 6)</t>
        </is>
      </c>
    </row>
    <row r="81">
      <c r="A81" s="32" t="inlineStr">
        <is>
          <t>East US 2</t>
        </is>
      </c>
      <c r="B81" s="32" t="inlineStr">
        <is>
          <t>eastus2</t>
        </is>
      </c>
      <c r="C81" s="33" t="inlineStr">
        <is>
          <t>US</t>
        </is>
      </c>
      <c r="D81" s="33" t="inlineStr">
        <is>
          <t>Prod</t>
        </is>
      </c>
      <c r="E81" s="32" t="inlineStr">
        <is>
          <t>Standard_D8ads_v5</t>
        </is>
      </c>
      <c r="F81" s="33" t="inlineStr">
        <is>
          <t>Dadsv5</t>
        </is>
      </c>
      <c r="G81" s="34" t="n">
        <v>8</v>
      </c>
      <c r="H81" s="32" t="inlineStr">
        <is>
          <t>crg-pr-eus2-reg</t>
        </is>
      </c>
      <c r="I81" s="23" t="n">
        <v>162</v>
      </c>
      <c r="J81" s="23" t="n">
        <v>55</v>
      </c>
      <c r="K81" s="24">
        <f>I81+J81</f>
        <v/>
      </c>
      <c r="L81" s="24">
        <f>K81-I81</f>
        <v/>
      </c>
      <c r="M81" s="33" t="inlineStr">
        <is>
          <t>Restricted</t>
        </is>
      </c>
      <c r="N81" s="32" t="inlineStr">
        <is>
          <t>Restricted — explicit Prod region only (Section 6)</t>
        </is>
      </c>
    </row>
    <row r="82">
      <c r="A82" s="32" t="inlineStr">
        <is>
          <t>East US 2</t>
        </is>
      </c>
      <c r="B82" s="32" t="inlineStr">
        <is>
          <t>eastus2</t>
        </is>
      </c>
      <c r="C82" s="33" t="inlineStr">
        <is>
          <t>US</t>
        </is>
      </c>
      <c r="D82" s="33" t="inlineStr">
        <is>
          <t>Prod</t>
        </is>
      </c>
      <c r="E82" s="32" t="inlineStr">
        <is>
          <t>Standard_D16ads_v5</t>
        </is>
      </c>
      <c r="F82" s="33" t="inlineStr">
        <is>
          <t>Dadsv5</t>
        </is>
      </c>
      <c r="G82" s="34" t="n">
        <v>16</v>
      </c>
      <c r="H82" s="32" t="inlineStr">
        <is>
          <t>crg-pr-eus2-reg</t>
        </is>
      </c>
      <c r="I82" s="23" t="n">
        <v>325</v>
      </c>
      <c r="J82" s="23" t="n">
        <v>110</v>
      </c>
      <c r="K82" s="24">
        <f>I82+J82</f>
        <v/>
      </c>
      <c r="L82" s="24">
        <f>K82-I82</f>
        <v/>
      </c>
      <c r="M82" s="33" t="inlineStr">
        <is>
          <t>Restricted</t>
        </is>
      </c>
      <c r="N82" s="32" t="inlineStr">
        <is>
          <t>Restricted — explicit Prod region only (Section 6)</t>
        </is>
      </c>
    </row>
    <row r="83">
      <c r="A83" s="32" t="inlineStr">
        <is>
          <t>East US 2</t>
        </is>
      </c>
      <c r="B83" s="32" t="inlineStr">
        <is>
          <t>eastus2</t>
        </is>
      </c>
      <c r="C83" s="33" t="inlineStr">
        <is>
          <t>US</t>
        </is>
      </c>
      <c r="D83" s="33" t="inlineStr">
        <is>
          <t>Prod</t>
        </is>
      </c>
      <c r="E83" s="32" t="inlineStr">
        <is>
          <t>Standard_D8as_v5</t>
        </is>
      </c>
      <c r="F83" s="33" t="inlineStr">
        <is>
          <t>Dasv5</t>
        </is>
      </c>
      <c r="G83" s="34" t="n">
        <v>8</v>
      </c>
      <c r="H83" s="32" t="inlineStr">
        <is>
          <t>crg-pr-eus2-reg</t>
        </is>
      </c>
      <c r="I83" s="23" t="n">
        <v>162</v>
      </c>
      <c r="J83" s="23" t="n">
        <v>55</v>
      </c>
      <c r="K83" s="24">
        <f>I83+J83</f>
        <v/>
      </c>
      <c r="L83" s="24">
        <f>K83-I83</f>
        <v/>
      </c>
      <c r="M83" s="33" t="inlineStr">
        <is>
          <t>Restricted</t>
        </is>
      </c>
      <c r="N83" s="32" t="inlineStr">
        <is>
          <t>Restricted — explicit Prod region only (Section 6)</t>
        </is>
      </c>
    </row>
    <row r="84">
      <c r="A84" s="32" t="inlineStr">
        <is>
          <t>East US 2</t>
        </is>
      </c>
      <c r="B84" s="32" t="inlineStr">
        <is>
          <t>eastus2</t>
        </is>
      </c>
      <c r="C84" s="33" t="inlineStr">
        <is>
          <t>US</t>
        </is>
      </c>
      <c r="D84" s="33" t="inlineStr">
        <is>
          <t>Prod</t>
        </is>
      </c>
      <c r="E84" s="32" t="inlineStr">
        <is>
          <t>Standard_D16as_v5</t>
        </is>
      </c>
      <c r="F84" s="33" t="inlineStr">
        <is>
          <t>Dasv5</t>
        </is>
      </c>
      <c r="G84" s="34" t="n">
        <v>16</v>
      </c>
      <c r="H84" s="32" t="inlineStr">
        <is>
          <t>crg-pr-eus2-reg</t>
        </is>
      </c>
      <c r="I84" s="23" t="n">
        <v>325</v>
      </c>
      <c r="J84" s="23" t="n">
        <v>110</v>
      </c>
      <c r="K84" s="24">
        <f>I84+J84</f>
        <v/>
      </c>
      <c r="L84" s="24">
        <f>K84-I84</f>
        <v/>
      </c>
      <c r="M84" s="33" t="inlineStr">
        <is>
          <t>Restricted</t>
        </is>
      </c>
      <c r="N84" s="32" t="inlineStr">
        <is>
          <t>Restricted — explicit Prod region only (Section 6)</t>
        </is>
      </c>
    </row>
    <row r="85">
      <c r="A85" s="32" t="inlineStr">
        <is>
          <t>East US 2</t>
        </is>
      </c>
      <c r="B85" s="32" t="inlineStr">
        <is>
          <t>eastus2</t>
        </is>
      </c>
      <c r="C85" s="33" t="inlineStr">
        <is>
          <t>US</t>
        </is>
      </c>
      <c r="D85" s="33" t="inlineStr">
        <is>
          <t>NonProd</t>
        </is>
      </c>
      <c r="E85" s="32" t="inlineStr">
        <is>
          <t>Standard_E32ads_v5</t>
        </is>
      </c>
      <c r="F85" s="33" t="inlineStr">
        <is>
          <t>Eadsv5</t>
        </is>
      </c>
      <c r="G85" s="34" t="n">
        <v>32</v>
      </c>
      <c r="H85" s="32" t="inlineStr">
        <is>
          <t>crg-np-eus2-reg</t>
        </is>
      </c>
      <c r="I85" s="23" t="n">
        <v>350</v>
      </c>
      <c r="J85" s="23" t="n">
        <v>400</v>
      </c>
      <c r="K85" s="24">
        <f>I85+J85</f>
        <v/>
      </c>
      <c r="L85" s="24">
        <f>K85-I85</f>
        <v/>
      </c>
      <c r="M85" s="33" t="inlineStr">
        <is>
          <t>Restricted</t>
        </is>
      </c>
      <c r="N85" s="32" t="inlineStr">
        <is>
          <t>Restricted — explicit Prod region only (Section 6)</t>
        </is>
      </c>
    </row>
    <row r="86">
      <c r="A86" s="32" t="inlineStr">
        <is>
          <t>East US 2</t>
        </is>
      </c>
      <c r="B86" s="32" t="inlineStr">
        <is>
          <t>eastus2</t>
        </is>
      </c>
      <c r="C86" s="33" t="inlineStr">
        <is>
          <t>US</t>
        </is>
      </c>
      <c r="D86" s="33" t="inlineStr">
        <is>
          <t>NonProd</t>
        </is>
      </c>
      <c r="E86" s="32" t="inlineStr">
        <is>
          <t>Standard_E64ads_v5</t>
        </is>
      </c>
      <c r="F86" s="33" t="inlineStr">
        <is>
          <t>Eadsv5</t>
        </is>
      </c>
      <c r="G86" s="34" t="n">
        <v>64</v>
      </c>
      <c r="H86" s="32" t="inlineStr">
        <is>
          <t>crg-np-eus2-reg</t>
        </is>
      </c>
      <c r="I86" s="23" t="n">
        <v>700</v>
      </c>
      <c r="J86" s="23" t="n">
        <v>800</v>
      </c>
      <c r="K86" s="24">
        <f>I86+J86</f>
        <v/>
      </c>
      <c r="L86" s="24">
        <f>K86-I86</f>
        <v/>
      </c>
      <c r="M86" s="33" t="inlineStr">
        <is>
          <t>Restricted</t>
        </is>
      </c>
      <c r="N86" s="32" t="inlineStr">
        <is>
          <t>Restricted — explicit Prod region only (Section 6)</t>
        </is>
      </c>
    </row>
    <row r="87">
      <c r="A87" s="32" t="inlineStr">
        <is>
          <t>East US 2</t>
        </is>
      </c>
      <c r="B87" s="32" t="inlineStr">
        <is>
          <t>eastus2</t>
        </is>
      </c>
      <c r="C87" s="33" t="inlineStr">
        <is>
          <t>US</t>
        </is>
      </c>
      <c r="D87" s="33" t="inlineStr">
        <is>
          <t>NonProd</t>
        </is>
      </c>
      <c r="E87" s="32" t="inlineStr">
        <is>
          <t>Standard_E16ads_v5</t>
        </is>
      </c>
      <c r="F87" s="33" t="inlineStr">
        <is>
          <t>Eadsv5</t>
        </is>
      </c>
      <c r="G87" s="34" t="n">
        <v>16</v>
      </c>
      <c r="H87" s="32" t="inlineStr">
        <is>
          <t>crg-np-eus2-reg</t>
        </is>
      </c>
      <c r="I87" s="23" t="n">
        <v>175</v>
      </c>
      <c r="J87" s="23" t="n">
        <v>200</v>
      </c>
      <c r="K87" s="24">
        <f>I87+J87</f>
        <v/>
      </c>
      <c r="L87" s="24">
        <f>K87-I87</f>
        <v/>
      </c>
      <c r="M87" s="33" t="inlineStr">
        <is>
          <t>Restricted</t>
        </is>
      </c>
      <c r="N87" s="32" t="inlineStr">
        <is>
          <t>Restricted — explicit Prod region only (Section 6)</t>
        </is>
      </c>
    </row>
    <row r="88">
      <c r="A88" s="32" t="inlineStr">
        <is>
          <t>East US 2</t>
        </is>
      </c>
      <c r="B88" s="32" t="inlineStr">
        <is>
          <t>eastus2</t>
        </is>
      </c>
      <c r="C88" s="33" t="inlineStr">
        <is>
          <t>US</t>
        </is>
      </c>
      <c r="D88" s="33" t="inlineStr">
        <is>
          <t>NonProd</t>
        </is>
      </c>
      <c r="E88" s="32" t="inlineStr">
        <is>
          <t>Standard_E32ads_v6</t>
        </is>
      </c>
      <c r="F88" s="33" t="inlineStr">
        <is>
          <t>Eadsv6</t>
        </is>
      </c>
      <c r="G88" s="34" t="n">
        <v>32</v>
      </c>
      <c r="H88" s="32" t="inlineStr">
        <is>
          <t>crg-np-eus2-reg</t>
        </is>
      </c>
      <c r="I88" s="23" t="n">
        <v>350</v>
      </c>
      <c r="J88" s="23" t="n">
        <v>400</v>
      </c>
      <c r="K88" s="24">
        <f>I88+J88</f>
        <v/>
      </c>
      <c r="L88" s="24">
        <f>K88-I88</f>
        <v/>
      </c>
      <c r="M88" s="33" t="inlineStr">
        <is>
          <t>Restricted</t>
        </is>
      </c>
      <c r="N88" s="32" t="inlineStr">
        <is>
          <t>Restricted — explicit Prod region only (Section 6)</t>
        </is>
      </c>
    </row>
    <row r="89">
      <c r="A89" s="32" t="inlineStr">
        <is>
          <t>East US 2</t>
        </is>
      </c>
      <c r="B89" s="32" t="inlineStr">
        <is>
          <t>eastus2</t>
        </is>
      </c>
      <c r="C89" s="33" t="inlineStr">
        <is>
          <t>US</t>
        </is>
      </c>
      <c r="D89" s="33" t="inlineStr">
        <is>
          <t>NonProd</t>
        </is>
      </c>
      <c r="E89" s="32" t="inlineStr">
        <is>
          <t>Standard_D8ads_v5</t>
        </is>
      </c>
      <c r="F89" s="33" t="inlineStr">
        <is>
          <t>Dadsv5</t>
        </is>
      </c>
      <c r="G89" s="34" t="n">
        <v>8</v>
      </c>
      <c r="H89" s="32" t="inlineStr">
        <is>
          <t>crg-np-eus2-reg</t>
        </is>
      </c>
      <c r="I89" s="23" t="n">
        <v>88</v>
      </c>
      <c r="J89" s="23" t="n">
        <v>100</v>
      </c>
      <c r="K89" s="24">
        <f>I89+J89</f>
        <v/>
      </c>
      <c r="L89" s="24">
        <f>K89-I89</f>
        <v/>
      </c>
      <c r="M89" s="33" t="inlineStr">
        <is>
          <t>Restricted</t>
        </is>
      </c>
      <c r="N89" s="32" t="inlineStr">
        <is>
          <t>Restricted — explicit Prod region only (Section 6)</t>
        </is>
      </c>
    </row>
    <row r="90">
      <c r="A90" s="32" t="inlineStr">
        <is>
          <t>East US 2</t>
        </is>
      </c>
      <c r="B90" s="32" t="inlineStr">
        <is>
          <t>eastus2</t>
        </is>
      </c>
      <c r="C90" s="33" t="inlineStr">
        <is>
          <t>US</t>
        </is>
      </c>
      <c r="D90" s="33" t="inlineStr">
        <is>
          <t>NonProd</t>
        </is>
      </c>
      <c r="E90" s="32" t="inlineStr">
        <is>
          <t>Standard_D16ads_v5</t>
        </is>
      </c>
      <c r="F90" s="33" t="inlineStr">
        <is>
          <t>Dadsv5</t>
        </is>
      </c>
      <c r="G90" s="34" t="n">
        <v>16</v>
      </c>
      <c r="H90" s="32" t="inlineStr">
        <is>
          <t>crg-np-eus2-reg</t>
        </is>
      </c>
      <c r="I90" s="23" t="n">
        <v>175</v>
      </c>
      <c r="J90" s="23" t="n">
        <v>200</v>
      </c>
      <c r="K90" s="24">
        <f>I90+J90</f>
        <v/>
      </c>
      <c r="L90" s="24">
        <f>K90-I90</f>
        <v/>
      </c>
      <c r="M90" s="33" t="inlineStr">
        <is>
          <t>Restricted</t>
        </is>
      </c>
      <c r="N90" s="32" t="inlineStr">
        <is>
          <t>Restricted — explicit Prod region only (Section 6)</t>
        </is>
      </c>
    </row>
    <row r="91">
      <c r="A91" s="32" t="inlineStr">
        <is>
          <t>East US 2</t>
        </is>
      </c>
      <c r="B91" s="32" t="inlineStr">
        <is>
          <t>eastus2</t>
        </is>
      </c>
      <c r="C91" s="33" t="inlineStr">
        <is>
          <t>US</t>
        </is>
      </c>
      <c r="D91" s="33" t="inlineStr">
        <is>
          <t>NonProd</t>
        </is>
      </c>
      <c r="E91" s="32" t="inlineStr">
        <is>
          <t>Standard_D8as_v5</t>
        </is>
      </c>
      <c r="F91" s="33" t="inlineStr">
        <is>
          <t>Dasv5</t>
        </is>
      </c>
      <c r="G91" s="34" t="n">
        <v>8</v>
      </c>
      <c r="H91" s="32" t="inlineStr">
        <is>
          <t>crg-np-eus2-reg</t>
        </is>
      </c>
      <c r="I91" s="23" t="n">
        <v>88</v>
      </c>
      <c r="J91" s="23" t="n">
        <v>100</v>
      </c>
      <c r="K91" s="24">
        <f>I91+J91</f>
        <v/>
      </c>
      <c r="L91" s="24">
        <f>K91-I91</f>
        <v/>
      </c>
      <c r="M91" s="33" t="inlineStr">
        <is>
          <t>Restricted</t>
        </is>
      </c>
      <c r="N91" s="32" t="inlineStr">
        <is>
          <t>Restricted — explicit Prod region only (Section 6)</t>
        </is>
      </c>
    </row>
    <row r="92">
      <c r="A92" s="32" t="inlineStr">
        <is>
          <t>East US 2</t>
        </is>
      </c>
      <c r="B92" s="32" t="inlineStr">
        <is>
          <t>eastus2</t>
        </is>
      </c>
      <c r="C92" s="33" t="inlineStr">
        <is>
          <t>US</t>
        </is>
      </c>
      <c r="D92" s="33" t="inlineStr">
        <is>
          <t>NonProd</t>
        </is>
      </c>
      <c r="E92" s="32" t="inlineStr">
        <is>
          <t>Standard_D16as_v5</t>
        </is>
      </c>
      <c r="F92" s="33" t="inlineStr">
        <is>
          <t>Dasv5</t>
        </is>
      </c>
      <c r="G92" s="34" t="n">
        <v>16</v>
      </c>
      <c r="H92" s="32" t="inlineStr">
        <is>
          <t>crg-np-eus2-reg</t>
        </is>
      </c>
      <c r="I92" s="23" t="n">
        <v>175</v>
      </c>
      <c r="J92" s="23" t="n">
        <v>200</v>
      </c>
      <c r="K92" s="24">
        <f>I92+J92</f>
        <v/>
      </c>
      <c r="L92" s="24">
        <f>K92-I92</f>
        <v/>
      </c>
      <c r="M92" s="33" t="inlineStr">
        <is>
          <t>Restricted</t>
        </is>
      </c>
      <c r="N92" s="32" t="inlineStr">
        <is>
          <t>Restricted — explicit Prod region only (Section 6)</t>
        </is>
      </c>
    </row>
    <row r="93">
      <c r="A93" s="32" t="inlineStr">
        <is>
          <t>East US 2</t>
        </is>
      </c>
      <c r="B93" s="32" t="inlineStr">
        <is>
          <t>eastus2</t>
        </is>
      </c>
      <c r="C93" s="33" t="inlineStr">
        <is>
          <t>US</t>
        </is>
      </c>
      <c r="D93" s="33" t="inlineStr">
        <is>
          <t>DR</t>
        </is>
      </c>
      <c r="E93" s="32" t="inlineStr">
        <is>
          <t>Standard_E32ads_v5</t>
        </is>
      </c>
      <c r="F93" s="33" t="inlineStr">
        <is>
          <t>Eadsv5</t>
        </is>
      </c>
      <c r="G93" s="34" t="n">
        <v>32</v>
      </c>
      <c r="H93" s="32" t="inlineStr">
        <is>
          <t>crg-dr-eus2-reg</t>
        </is>
      </c>
      <c r="I93" s="23" t="n">
        <v>70</v>
      </c>
      <c r="J93" s="23" t="n">
        <v>40</v>
      </c>
      <c r="K93" s="24">
        <f>I93+J93</f>
        <v/>
      </c>
      <c r="L93" s="24">
        <f>K93-I93</f>
        <v/>
      </c>
      <c r="M93" s="33" t="inlineStr">
        <is>
          <t>Restricted</t>
        </is>
      </c>
      <c r="N93" s="32" t="inlineStr">
        <is>
          <t>Restricted — explicit Prod region only (Section 6)</t>
        </is>
      </c>
    </row>
    <row r="94">
      <c r="A94" s="32" t="inlineStr">
        <is>
          <t>East US 2</t>
        </is>
      </c>
      <c r="B94" s="32" t="inlineStr">
        <is>
          <t>eastus2</t>
        </is>
      </c>
      <c r="C94" s="33" t="inlineStr">
        <is>
          <t>US</t>
        </is>
      </c>
      <c r="D94" s="33" t="inlineStr">
        <is>
          <t>DR</t>
        </is>
      </c>
      <c r="E94" s="32" t="inlineStr">
        <is>
          <t>Standard_E64ads_v5</t>
        </is>
      </c>
      <c r="F94" s="33" t="inlineStr">
        <is>
          <t>Eadsv5</t>
        </is>
      </c>
      <c r="G94" s="34" t="n">
        <v>64</v>
      </c>
      <c r="H94" s="32" t="inlineStr">
        <is>
          <t>crg-dr-eus2-reg</t>
        </is>
      </c>
      <c r="I94" s="23" t="n">
        <v>140</v>
      </c>
      <c r="J94" s="23" t="n">
        <v>80</v>
      </c>
      <c r="K94" s="24">
        <f>I94+J94</f>
        <v/>
      </c>
      <c r="L94" s="24">
        <f>K94-I94</f>
        <v/>
      </c>
      <c r="M94" s="33" t="inlineStr">
        <is>
          <t>Restricted</t>
        </is>
      </c>
      <c r="N94" s="32" t="inlineStr">
        <is>
          <t>Restricted — explicit Prod region only (Section 6)</t>
        </is>
      </c>
    </row>
    <row r="95">
      <c r="A95" s="32" t="inlineStr">
        <is>
          <t>East US 2</t>
        </is>
      </c>
      <c r="B95" s="32" t="inlineStr">
        <is>
          <t>eastus2</t>
        </is>
      </c>
      <c r="C95" s="33" t="inlineStr">
        <is>
          <t>US</t>
        </is>
      </c>
      <c r="D95" s="33" t="inlineStr">
        <is>
          <t>DR</t>
        </is>
      </c>
      <c r="E95" s="32" t="inlineStr">
        <is>
          <t>Standard_E16ads_v5</t>
        </is>
      </c>
      <c r="F95" s="33" t="inlineStr">
        <is>
          <t>Eadsv5</t>
        </is>
      </c>
      <c r="G95" s="34" t="n">
        <v>16</v>
      </c>
      <c r="H95" s="32" t="inlineStr">
        <is>
          <t>crg-dr-eus2-reg</t>
        </is>
      </c>
      <c r="I95" s="23" t="n">
        <v>35</v>
      </c>
      <c r="J95" s="23" t="n">
        <v>20</v>
      </c>
      <c r="K95" s="24">
        <f>I95+J95</f>
        <v/>
      </c>
      <c r="L95" s="24">
        <f>K95-I95</f>
        <v/>
      </c>
      <c r="M95" s="33" t="inlineStr">
        <is>
          <t>Restricted</t>
        </is>
      </c>
      <c r="N95" s="32" t="inlineStr">
        <is>
          <t>Restricted — explicit Prod region only (Section 6)</t>
        </is>
      </c>
    </row>
    <row r="96">
      <c r="A96" s="32" t="inlineStr">
        <is>
          <t>East US 2</t>
        </is>
      </c>
      <c r="B96" s="32" t="inlineStr">
        <is>
          <t>eastus2</t>
        </is>
      </c>
      <c r="C96" s="33" t="inlineStr">
        <is>
          <t>US</t>
        </is>
      </c>
      <c r="D96" s="33" t="inlineStr">
        <is>
          <t>DR</t>
        </is>
      </c>
      <c r="E96" s="32" t="inlineStr">
        <is>
          <t>Standard_E32ads_v6</t>
        </is>
      </c>
      <c r="F96" s="33" t="inlineStr">
        <is>
          <t>Eadsv6</t>
        </is>
      </c>
      <c r="G96" s="34" t="n">
        <v>32</v>
      </c>
      <c r="H96" s="32" t="inlineStr">
        <is>
          <t>crg-dr-eus2-reg</t>
        </is>
      </c>
      <c r="I96" s="23" t="n">
        <v>70</v>
      </c>
      <c r="J96" s="23" t="n">
        <v>40</v>
      </c>
      <c r="K96" s="24">
        <f>I96+J96</f>
        <v/>
      </c>
      <c r="L96" s="24">
        <f>K96-I96</f>
        <v/>
      </c>
      <c r="M96" s="33" t="inlineStr">
        <is>
          <t>Restricted</t>
        </is>
      </c>
      <c r="N96" s="32" t="inlineStr">
        <is>
          <t>Restricted — explicit Prod region only (Section 6)</t>
        </is>
      </c>
    </row>
    <row r="97">
      <c r="A97" s="32" t="inlineStr">
        <is>
          <t>East US 2</t>
        </is>
      </c>
      <c r="B97" s="32" t="inlineStr">
        <is>
          <t>eastus2</t>
        </is>
      </c>
      <c r="C97" s="33" t="inlineStr">
        <is>
          <t>US</t>
        </is>
      </c>
      <c r="D97" s="33" t="inlineStr">
        <is>
          <t>DR</t>
        </is>
      </c>
      <c r="E97" s="32" t="inlineStr">
        <is>
          <t>Standard_D8ads_v5</t>
        </is>
      </c>
      <c r="F97" s="33" t="inlineStr">
        <is>
          <t>Dadsv5</t>
        </is>
      </c>
      <c r="G97" s="34" t="n">
        <v>8</v>
      </c>
      <c r="H97" s="32" t="inlineStr">
        <is>
          <t>crg-dr-eus2-reg</t>
        </is>
      </c>
      <c r="I97" s="23" t="n">
        <v>18</v>
      </c>
      <c r="J97" s="23" t="n">
        <v>10</v>
      </c>
      <c r="K97" s="24">
        <f>I97+J97</f>
        <v/>
      </c>
      <c r="L97" s="24">
        <f>K97-I97</f>
        <v/>
      </c>
      <c r="M97" s="33" t="inlineStr">
        <is>
          <t>Restricted</t>
        </is>
      </c>
      <c r="N97" s="32" t="inlineStr">
        <is>
          <t>Restricted — explicit Prod region only (Section 6)</t>
        </is>
      </c>
    </row>
    <row r="98">
      <c r="A98" s="32" t="inlineStr">
        <is>
          <t>East US 2</t>
        </is>
      </c>
      <c r="B98" s="32" t="inlineStr">
        <is>
          <t>eastus2</t>
        </is>
      </c>
      <c r="C98" s="33" t="inlineStr">
        <is>
          <t>US</t>
        </is>
      </c>
      <c r="D98" s="33" t="inlineStr">
        <is>
          <t>DR</t>
        </is>
      </c>
      <c r="E98" s="32" t="inlineStr">
        <is>
          <t>Standard_D16ads_v5</t>
        </is>
      </c>
      <c r="F98" s="33" t="inlineStr">
        <is>
          <t>Dadsv5</t>
        </is>
      </c>
      <c r="G98" s="34" t="n">
        <v>16</v>
      </c>
      <c r="H98" s="32" t="inlineStr">
        <is>
          <t>crg-dr-eus2-reg</t>
        </is>
      </c>
      <c r="I98" s="23" t="n">
        <v>35</v>
      </c>
      <c r="J98" s="23" t="n">
        <v>20</v>
      </c>
      <c r="K98" s="24">
        <f>I98+J98</f>
        <v/>
      </c>
      <c r="L98" s="24">
        <f>K98-I98</f>
        <v/>
      </c>
      <c r="M98" s="33" t="inlineStr">
        <is>
          <t>Restricted</t>
        </is>
      </c>
      <c r="N98" s="32" t="inlineStr">
        <is>
          <t>Restricted — explicit Prod region only (Section 6)</t>
        </is>
      </c>
    </row>
    <row r="99">
      <c r="A99" s="32" t="inlineStr">
        <is>
          <t>East US 2</t>
        </is>
      </c>
      <c r="B99" s="32" t="inlineStr">
        <is>
          <t>eastus2</t>
        </is>
      </c>
      <c r="C99" s="33" t="inlineStr">
        <is>
          <t>US</t>
        </is>
      </c>
      <c r="D99" s="33" t="inlineStr">
        <is>
          <t>DR</t>
        </is>
      </c>
      <c r="E99" s="32" t="inlineStr">
        <is>
          <t>Standard_D8as_v5</t>
        </is>
      </c>
      <c r="F99" s="33" t="inlineStr">
        <is>
          <t>Dasv5</t>
        </is>
      </c>
      <c r="G99" s="34" t="n">
        <v>8</v>
      </c>
      <c r="H99" s="32" t="inlineStr">
        <is>
          <t>crg-dr-eus2-reg</t>
        </is>
      </c>
      <c r="I99" s="23" t="n">
        <v>18</v>
      </c>
      <c r="J99" s="23" t="n">
        <v>10</v>
      </c>
      <c r="K99" s="24">
        <f>I99+J99</f>
        <v/>
      </c>
      <c r="L99" s="24">
        <f>K99-I99</f>
        <v/>
      </c>
      <c r="M99" s="33" t="inlineStr">
        <is>
          <t>Restricted</t>
        </is>
      </c>
      <c r="N99" s="32" t="inlineStr">
        <is>
          <t>Restricted — explicit Prod region only (Section 6)</t>
        </is>
      </c>
    </row>
    <row r="100">
      <c r="A100" s="32" t="inlineStr">
        <is>
          <t>East US 2</t>
        </is>
      </c>
      <c r="B100" s="32" t="inlineStr">
        <is>
          <t>eastus2</t>
        </is>
      </c>
      <c r="C100" s="33" t="inlineStr">
        <is>
          <t>US</t>
        </is>
      </c>
      <c r="D100" s="33" t="inlineStr">
        <is>
          <t>DR</t>
        </is>
      </c>
      <c r="E100" s="32" t="inlineStr">
        <is>
          <t>Standard_D16as_v5</t>
        </is>
      </c>
      <c r="F100" s="33" t="inlineStr">
        <is>
          <t>Dasv5</t>
        </is>
      </c>
      <c r="G100" s="34" t="n">
        <v>16</v>
      </c>
      <c r="H100" s="32" t="inlineStr">
        <is>
          <t>crg-dr-eus2-reg</t>
        </is>
      </c>
      <c r="I100" s="23" t="n">
        <v>35</v>
      </c>
      <c r="J100" s="23" t="n">
        <v>20</v>
      </c>
      <c r="K100" s="24">
        <f>I100+J100</f>
        <v/>
      </c>
      <c r="L100" s="24">
        <f>K100-I100</f>
        <v/>
      </c>
      <c r="M100" s="33" t="inlineStr">
        <is>
          <t>Restricted</t>
        </is>
      </c>
      <c r="N100" s="32" t="inlineStr">
        <is>
          <t>Restricted — explicit Prod region only (Section 6)</t>
        </is>
      </c>
    </row>
    <row r="101">
      <c r="A101" s="32" t="inlineStr">
        <is>
          <t>Switzerland North</t>
        </is>
      </c>
      <c r="B101" s="32" t="inlineStr">
        <is>
          <t>switzerlandnorth</t>
        </is>
      </c>
      <c r="C101" s="33" t="inlineStr">
        <is>
          <t>EU</t>
        </is>
      </c>
      <c r="D101" s="33" t="inlineStr">
        <is>
          <t>Prod</t>
        </is>
      </c>
      <c r="E101" s="32" t="inlineStr">
        <is>
          <t>Standard_E32ads_v5</t>
        </is>
      </c>
      <c r="F101" s="33" t="inlineStr">
        <is>
          <t>Eadsv5</t>
        </is>
      </c>
      <c r="G101" s="34" t="n">
        <v>32</v>
      </c>
      <c r="H101" s="32" t="inlineStr">
        <is>
          <t>crg-pr-chn-reg</t>
        </is>
      </c>
      <c r="I101" s="23" t="n">
        <v>500</v>
      </c>
      <c r="J101" s="23" t="n">
        <v>190</v>
      </c>
      <c r="K101" s="24">
        <f>I101+J101</f>
        <v/>
      </c>
      <c r="L101" s="24">
        <f>K101-I101</f>
        <v/>
      </c>
      <c r="M101" s="33" t="inlineStr">
        <is>
          <t>Standard</t>
        </is>
      </c>
      <c r="N101" s="32" t="inlineStr">
        <is>
          <t>Synthetic estate</t>
        </is>
      </c>
    </row>
    <row r="102">
      <c r="A102" s="32" t="inlineStr">
        <is>
          <t>Switzerland North</t>
        </is>
      </c>
      <c r="B102" s="32" t="inlineStr">
        <is>
          <t>switzerlandnorth</t>
        </is>
      </c>
      <c r="C102" s="33" t="inlineStr">
        <is>
          <t>EU</t>
        </is>
      </c>
      <c r="D102" s="33" t="inlineStr">
        <is>
          <t>Prod</t>
        </is>
      </c>
      <c r="E102" s="32" t="inlineStr">
        <is>
          <t>Standard_E64ads_v5</t>
        </is>
      </c>
      <c r="F102" s="33" t="inlineStr">
        <is>
          <t>Eadsv5</t>
        </is>
      </c>
      <c r="G102" s="34" t="n">
        <v>64</v>
      </c>
      <c r="H102" s="32" t="inlineStr">
        <is>
          <t>crg-pr-chn-reg</t>
        </is>
      </c>
      <c r="I102" s="23" t="n">
        <v>1000</v>
      </c>
      <c r="J102" s="23" t="n">
        <v>380</v>
      </c>
      <c r="K102" s="24">
        <f>I102+J102</f>
        <v/>
      </c>
      <c r="L102" s="24">
        <f>K102-I102</f>
        <v/>
      </c>
      <c r="M102" s="33" t="inlineStr">
        <is>
          <t>Standard</t>
        </is>
      </c>
      <c r="N102" s="32" t="inlineStr">
        <is>
          <t>Synthetic estate</t>
        </is>
      </c>
    </row>
    <row r="103">
      <c r="A103" s="32" t="inlineStr">
        <is>
          <t>Switzerland North</t>
        </is>
      </c>
      <c r="B103" s="32" t="inlineStr">
        <is>
          <t>switzerlandnorth</t>
        </is>
      </c>
      <c r="C103" s="33" t="inlineStr">
        <is>
          <t>EU</t>
        </is>
      </c>
      <c r="D103" s="33" t="inlineStr">
        <is>
          <t>Prod</t>
        </is>
      </c>
      <c r="E103" s="32" t="inlineStr">
        <is>
          <t>Standard_E16ads_v5</t>
        </is>
      </c>
      <c r="F103" s="33" t="inlineStr">
        <is>
          <t>Eadsv5</t>
        </is>
      </c>
      <c r="G103" s="34" t="n">
        <v>16</v>
      </c>
      <c r="H103" s="32" t="inlineStr">
        <is>
          <t>crg-pr-chn-reg</t>
        </is>
      </c>
      <c r="I103" s="23" t="n">
        <v>250</v>
      </c>
      <c r="J103" s="23" t="n">
        <v>95</v>
      </c>
      <c r="K103" s="24">
        <f>I103+J103</f>
        <v/>
      </c>
      <c r="L103" s="24">
        <f>K103-I103</f>
        <v/>
      </c>
      <c r="M103" s="33" t="inlineStr">
        <is>
          <t>Standard</t>
        </is>
      </c>
      <c r="N103" s="32" t="inlineStr">
        <is>
          <t>Synthetic estate</t>
        </is>
      </c>
    </row>
    <row r="104">
      <c r="A104" s="32" t="inlineStr">
        <is>
          <t>Switzerland North</t>
        </is>
      </c>
      <c r="B104" s="32" t="inlineStr">
        <is>
          <t>switzerlandnorth</t>
        </is>
      </c>
      <c r="C104" s="33" t="inlineStr">
        <is>
          <t>EU</t>
        </is>
      </c>
      <c r="D104" s="33" t="inlineStr">
        <is>
          <t>Prod</t>
        </is>
      </c>
      <c r="E104" s="32" t="inlineStr">
        <is>
          <t>Standard_E32ads_v6</t>
        </is>
      </c>
      <c r="F104" s="33" t="inlineStr">
        <is>
          <t>Eadsv6</t>
        </is>
      </c>
      <c r="G104" s="34" t="n">
        <v>32</v>
      </c>
      <c r="H104" s="32" t="inlineStr">
        <is>
          <t>crg-pr-chn-reg</t>
        </is>
      </c>
      <c r="I104" s="23" t="n">
        <v>500</v>
      </c>
      <c r="J104" s="23" t="n">
        <v>190</v>
      </c>
      <c r="K104" s="24">
        <f>I104+J104</f>
        <v/>
      </c>
      <c r="L104" s="24">
        <f>K104-I104</f>
        <v/>
      </c>
      <c r="M104" s="33" t="inlineStr">
        <is>
          <t>Standard</t>
        </is>
      </c>
      <c r="N104" s="32" t="inlineStr">
        <is>
          <t>Synthetic estate</t>
        </is>
      </c>
    </row>
    <row r="105">
      <c r="A105" s="32" t="inlineStr">
        <is>
          <t>Switzerland North</t>
        </is>
      </c>
      <c r="B105" s="32" t="inlineStr">
        <is>
          <t>switzerlandnorth</t>
        </is>
      </c>
      <c r="C105" s="33" t="inlineStr">
        <is>
          <t>EU</t>
        </is>
      </c>
      <c r="D105" s="33" t="inlineStr">
        <is>
          <t>Prod</t>
        </is>
      </c>
      <c r="E105" s="32" t="inlineStr">
        <is>
          <t>Standard_D8ads_v5</t>
        </is>
      </c>
      <c r="F105" s="33" t="inlineStr">
        <is>
          <t>Dadsv5</t>
        </is>
      </c>
      <c r="G105" s="34" t="n">
        <v>8</v>
      </c>
      <c r="H105" s="32" t="inlineStr">
        <is>
          <t>crg-pr-chn-reg</t>
        </is>
      </c>
      <c r="I105" s="23" t="n">
        <v>125</v>
      </c>
      <c r="J105" s="23" t="n">
        <v>48</v>
      </c>
      <c r="K105" s="24">
        <f>I105+J105</f>
        <v/>
      </c>
      <c r="L105" s="24">
        <f>K105-I105</f>
        <v/>
      </c>
      <c r="M105" s="33" t="inlineStr">
        <is>
          <t>Standard</t>
        </is>
      </c>
      <c r="N105" s="32" t="inlineStr">
        <is>
          <t>Synthetic estate</t>
        </is>
      </c>
    </row>
    <row r="106">
      <c r="A106" s="32" t="inlineStr">
        <is>
          <t>Switzerland North</t>
        </is>
      </c>
      <c r="B106" s="32" t="inlineStr">
        <is>
          <t>switzerlandnorth</t>
        </is>
      </c>
      <c r="C106" s="33" t="inlineStr">
        <is>
          <t>EU</t>
        </is>
      </c>
      <c r="D106" s="33" t="inlineStr">
        <is>
          <t>Prod</t>
        </is>
      </c>
      <c r="E106" s="32" t="inlineStr">
        <is>
          <t>Standard_D16ads_v5</t>
        </is>
      </c>
      <c r="F106" s="33" t="inlineStr">
        <is>
          <t>Dadsv5</t>
        </is>
      </c>
      <c r="G106" s="34" t="n">
        <v>16</v>
      </c>
      <c r="H106" s="32" t="inlineStr">
        <is>
          <t>crg-pr-chn-reg</t>
        </is>
      </c>
      <c r="I106" s="23" t="n">
        <v>250</v>
      </c>
      <c r="J106" s="23" t="n">
        <v>95</v>
      </c>
      <c r="K106" s="24">
        <f>I106+J106</f>
        <v/>
      </c>
      <c r="L106" s="24">
        <f>K106-I106</f>
        <v/>
      </c>
      <c r="M106" s="33" t="inlineStr">
        <is>
          <t>Standard</t>
        </is>
      </c>
      <c r="N106" s="32" t="inlineStr">
        <is>
          <t>Synthetic estate</t>
        </is>
      </c>
    </row>
    <row r="107">
      <c r="A107" s="32" t="inlineStr">
        <is>
          <t>Switzerland North</t>
        </is>
      </c>
      <c r="B107" s="32" t="inlineStr">
        <is>
          <t>switzerlandnorth</t>
        </is>
      </c>
      <c r="C107" s="33" t="inlineStr">
        <is>
          <t>EU</t>
        </is>
      </c>
      <c r="D107" s="33" t="inlineStr">
        <is>
          <t>Prod</t>
        </is>
      </c>
      <c r="E107" s="32" t="inlineStr">
        <is>
          <t>Standard_D8as_v5</t>
        </is>
      </c>
      <c r="F107" s="33" t="inlineStr">
        <is>
          <t>Dasv5</t>
        </is>
      </c>
      <c r="G107" s="34" t="n">
        <v>8</v>
      </c>
      <c r="H107" s="32" t="inlineStr">
        <is>
          <t>crg-pr-chn-reg</t>
        </is>
      </c>
      <c r="I107" s="23" t="n">
        <v>125</v>
      </c>
      <c r="J107" s="23" t="n">
        <v>48</v>
      </c>
      <c r="K107" s="24">
        <f>I107+J107</f>
        <v/>
      </c>
      <c r="L107" s="24">
        <f>K107-I107</f>
        <v/>
      </c>
      <c r="M107" s="33" t="inlineStr">
        <is>
          <t>Standard</t>
        </is>
      </c>
      <c r="N107" s="32" t="inlineStr">
        <is>
          <t>Synthetic estate</t>
        </is>
      </c>
    </row>
    <row r="108">
      <c r="A108" s="32" t="inlineStr">
        <is>
          <t>Switzerland North</t>
        </is>
      </c>
      <c r="B108" s="32" t="inlineStr">
        <is>
          <t>switzerlandnorth</t>
        </is>
      </c>
      <c r="C108" s="33" t="inlineStr">
        <is>
          <t>EU</t>
        </is>
      </c>
      <c r="D108" s="33" t="inlineStr">
        <is>
          <t>Prod</t>
        </is>
      </c>
      <c r="E108" s="32" t="inlineStr">
        <is>
          <t>Standard_D16as_v5</t>
        </is>
      </c>
      <c r="F108" s="33" t="inlineStr">
        <is>
          <t>Dasv5</t>
        </is>
      </c>
      <c r="G108" s="34" t="n">
        <v>16</v>
      </c>
      <c r="H108" s="32" t="inlineStr">
        <is>
          <t>crg-pr-chn-reg</t>
        </is>
      </c>
      <c r="I108" s="23" t="n">
        <v>250</v>
      </c>
      <c r="J108" s="23" t="n">
        <v>95</v>
      </c>
      <c r="K108" s="24">
        <f>I108+J108</f>
        <v/>
      </c>
      <c r="L108" s="24">
        <f>K108-I108</f>
        <v/>
      </c>
      <c r="M108" s="33" t="inlineStr">
        <is>
          <t>Standard</t>
        </is>
      </c>
      <c r="N108" s="32" t="inlineStr">
        <is>
          <t>Synthetic estate</t>
        </is>
      </c>
    </row>
    <row r="109">
      <c r="A109" s="32" t="inlineStr">
        <is>
          <t>Switzerland North</t>
        </is>
      </c>
      <c r="B109" s="32" t="inlineStr">
        <is>
          <t>switzerlandnorth</t>
        </is>
      </c>
      <c r="C109" s="33" t="inlineStr">
        <is>
          <t>EU</t>
        </is>
      </c>
      <c r="D109" s="33" t="inlineStr">
        <is>
          <t>NonProd</t>
        </is>
      </c>
      <c r="E109" s="32" t="inlineStr">
        <is>
          <t>Standard_E32ads_v5</t>
        </is>
      </c>
      <c r="F109" s="33" t="inlineStr">
        <is>
          <t>Eadsv5</t>
        </is>
      </c>
      <c r="G109" s="34" t="n">
        <v>32</v>
      </c>
      <c r="H109" s="32" t="inlineStr">
        <is>
          <t>crg-np-chn-reg</t>
        </is>
      </c>
      <c r="I109" s="23" t="n">
        <v>280</v>
      </c>
      <c r="J109" s="23" t="n">
        <v>240</v>
      </c>
      <c r="K109" s="24">
        <f>I109+J109</f>
        <v/>
      </c>
      <c r="L109" s="24">
        <f>K109-I109</f>
        <v/>
      </c>
      <c r="M109" s="33" t="inlineStr">
        <is>
          <t>Standard</t>
        </is>
      </c>
      <c r="N109" s="32" t="inlineStr">
        <is>
          <t>Synthetic estate</t>
        </is>
      </c>
    </row>
    <row r="110">
      <c r="A110" s="32" t="inlineStr">
        <is>
          <t>Switzerland North</t>
        </is>
      </c>
      <c r="B110" s="32" t="inlineStr">
        <is>
          <t>switzerlandnorth</t>
        </is>
      </c>
      <c r="C110" s="33" t="inlineStr">
        <is>
          <t>EU</t>
        </is>
      </c>
      <c r="D110" s="33" t="inlineStr">
        <is>
          <t>NonProd</t>
        </is>
      </c>
      <c r="E110" s="32" t="inlineStr">
        <is>
          <t>Standard_E64ads_v5</t>
        </is>
      </c>
      <c r="F110" s="33" t="inlineStr">
        <is>
          <t>Eadsv5</t>
        </is>
      </c>
      <c r="G110" s="34" t="n">
        <v>64</v>
      </c>
      <c r="H110" s="32" t="inlineStr">
        <is>
          <t>crg-np-chn-reg</t>
        </is>
      </c>
      <c r="I110" s="23" t="n">
        <v>560</v>
      </c>
      <c r="J110" s="23" t="n">
        <v>480</v>
      </c>
      <c r="K110" s="24">
        <f>I110+J110</f>
        <v/>
      </c>
      <c r="L110" s="24">
        <f>K110-I110</f>
        <v/>
      </c>
      <c r="M110" s="33" t="inlineStr">
        <is>
          <t>Standard</t>
        </is>
      </c>
      <c r="N110" s="32" t="inlineStr">
        <is>
          <t>Synthetic estate</t>
        </is>
      </c>
    </row>
    <row r="111">
      <c r="A111" s="32" t="inlineStr">
        <is>
          <t>Switzerland North</t>
        </is>
      </c>
      <c r="B111" s="32" t="inlineStr">
        <is>
          <t>switzerlandnorth</t>
        </is>
      </c>
      <c r="C111" s="33" t="inlineStr">
        <is>
          <t>EU</t>
        </is>
      </c>
      <c r="D111" s="33" t="inlineStr">
        <is>
          <t>NonProd</t>
        </is>
      </c>
      <c r="E111" s="32" t="inlineStr">
        <is>
          <t>Standard_E16ads_v5</t>
        </is>
      </c>
      <c r="F111" s="33" t="inlineStr">
        <is>
          <t>Eadsv5</t>
        </is>
      </c>
      <c r="G111" s="34" t="n">
        <v>16</v>
      </c>
      <c r="H111" s="32" t="inlineStr">
        <is>
          <t>crg-np-chn-reg</t>
        </is>
      </c>
      <c r="I111" s="23" t="n">
        <v>140</v>
      </c>
      <c r="J111" s="23" t="n">
        <v>120</v>
      </c>
      <c r="K111" s="24">
        <f>I111+J111</f>
        <v/>
      </c>
      <c r="L111" s="24">
        <f>K111-I111</f>
        <v/>
      </c>
      <c r="M111" s="33" t="inlineStr">
        <is>
          <t>Standard</t>
        </is>
      </c>
      <c r="N111" s="32" t="inlineStr">
        <is>
          <t>Synthetic estate</t>
        </is>
      </c>
    </row>
    <row r="112">
      <c r="A112" s="32" t="inlineStr">
        <is>
          <t>Switzerland North</t>
        </is>
      </c>
      <c r="B112" s="32" t="inlineStr">
        <is>
          <t>switzerlandnorth</t>
        </is>
      </c>
      <c r="C112" s="33" t="inlineStr">
        <is>
          <t>EU</t>
        </is>
      </c>
      <c r="D112" s="33" t="inlineStr">
        <is>
          <t>NonProd</t>
        </is>
      </c>
      <c r="E112" s="32" t="inlineStr">
        <is>
          <t>Standard_E32ads_v6</t>
        </is>
      </c>
      <c r="F112" s="33" t="inlineStr">
        <is>
          <t>Eadsv6</t>
        </is>
      </c>
      <c r="G112" s="34" t="n">
        <v>32</v>
      </c>
      <c r="H112" s="32" t="inlineStr">
        <is>
          <t>crg-np-chn-reg</t>
        </is>
      </c>
      <c r="I112" s="23" t="n">
        <v>280</v>
      </c>
      <c r="J112" s="23" t="n">
        <v>240</v>
      </c>
      <c r="K112" s="24">
        <f>I112+J112</f>
        <v/>
      </c>
      <c r="L112" s="24">
        <f>K112-I112</f>
        <v/>
      </c>
      <c r="M112" s="33" t="inlineStr">
        <is>
          <t>Standard</t>
        </is>
      </c>
      <c r="N112" s="32" t="inlineStr">
        <is>
          <t>Synthetic estate</t>
        </is>
      </c>
    </row>
    <row r="113">
      <c r="A113" s="32" t="inlineStr">
        <is>
          <t>Switzerland North</t>
        </is>
      </c>
      <c r="B113" s="32" t="inlineStr">
        <is>
          <t>switzerlandnorth</t>
        </is>
      </c>
      <c r="C113" s="33" t="inlineStr">
        <is>
          <t>EU</t>
        </is>
      </c>
      <c r="D113" s="33" t="inlineStr">
        <is>
          <t>NonProd</t>
        </is>
      </c>
      <c r="E113" s="32" t="inlineStr">
        <is>
          <t>Standard_D8ads_v5</t>
        </is>
      </c>
      <c r="F113" s="33" t="inlineStr">
        <is>
          <t>Dadsv5</t>
        </is>
      </c>
      <c r="G113" s="34" t="n">
        <v>8</v>
      </c>
      <c r="H113" s="32" t="inlineStr">
        <is>
          <t>crg-np-chn-reg</t>
        </is>
      </c>
      <c r="I113" s="23" t="n">
        <v>70</v>
      </c>
      <c r="J113" s="23" t="n">
        <v>60</v>
      </c>
      <c r="K113" s="24">
        <f>I113+J113</f>
        <v/>
      </c>
      <c r="L113" s="24">
        <f>K113-I113</f>
        <v/>
      </c>
      <c r="M113" s="33" t="inlineStr">
        <is>
          <t>Standard</t>
        </is>
      </c>
      <c r="N113" s="32" t="inlineStr">
        <is>
          <t>Synthetic estate</t>
        </is>
      </c>
    </row>
    <row r="114">
      <c r="A114" s="32" t="inlineStr">
        <is>
          <t>Switzerland North</t>
        </is>
      </c>
      <c r="B114" s="32" t="inlineStr">
        <is>
          <t>switzerlandnorth</t>
        </is>
      </c>
      <c r="C114" s="33" t="inlineStr">
        <is>
          <t>EU</t>
        </is>
      </c>
      <c r="D114" s="33" t="inlineStr">
        <is>
          <t>NonProd</t>
        </is>
      </c>
      <c r="E114" s="32" t="inlineStr">
        <is>
          <t>Standard_D16ads_v5</t>
        </is>
      </c>
      <c r="F114" s="33" t="inlineStr">
        <is>
          <t>Dadsv5</t>
        </is>
      </c>
      <c r="G114" s="34" t="n">
        <v>16</v>
      </c>
      <c r="H114" s="32" t="inlineStr">
        <is>
          <t>crg-np-chn-reg</t>
        </is>
      </c>
      <c r="I114" s="23" t="n">
        <v>140</v>
      </c>
      <c r="J114" s="23" t="n">
        <v>120</v>
      </c>
      <c r="K114" s="24">
        <f>I114+J114</f>
        <v/>
      </c>
      <c r="L114" s="24">
        <f>K114-I114</f>
        <v/>
      </c>
      <c r="M114" s="33" t="inlineStr">
        <is>
          <t>Standard</t>
        </is>
      </c>
      <c r="N114" s="32" t="inlineStr">
        <is>
          <t>Synthetic estate</t>
        </is>
      </c>
    </row>
    <row r="115">
      <c r="A115" s="32" t="inlineStr">
        <is>
          <t>Switzerland North</t>
        </is>
      </c>
      <c r="B115" s="32" t="inlineStr">
        <is>
          <t>switzerlandnorth</t>
        </is>
      </c>
      <c r="C115" s="33" t="inlineStr">
        <is>
          <t>EU</t>
        </is>
      </c>
      <c r="D115" s="33" t="inlineStr">
        <is>
          <t>NonProd</t>
        </is>
      </c>
      <c r="E115" s="32" t="inlineStr">
        <is>
          <t>Standard_D8as_v5</t>
        </is>
      </c>
      <c r="F115" s="33" t="inlineStr">
        <is>
          <t>Dasv5</t>
        </is>
      </c>
      <c r="G115" s="34" t="n">
        <v>8</v>
      </c>
      <c r="H115" s="32" t="inlineStr">
        <is>
          <t>crg-np-chn-reg</t>
        </is>
      </c>
      <c r="I115" s="23" t="n">
        <v>70</v>
      </c>
      <c r="J115" s="23" t="n">
        <v>60</v>
      </c>
      <c r="K115" s="24">
        <f>I115+J115</f>
        <v/>
      </c>
      <c r="L115" s="24">
        <f>K115-I115</f>
        <v/>
      </c>
      <c r="M115" s="33" t="inlineStr">
        <is>
          <t>Standard</t>
        </is>
      </c>
      <c r="N115" s="32" t="inlineStr">
        <is>
          <t>Synthetic estate</t>
        </is>
      </c>
    </row>
    <row r="116">
      <c r="A116" s="32" t="inlineStr">
        <is>
          <t>Switzerland North</t>
        </is>
      </c>
      <c r="B116" s="32" t="inlineStr">
        <is>
          <t>switzerlandnorth</t>
        </is>
      </c>
      <c r="C116" s="33" t="inlineStr">
        <is>
          <t>EU</t>
        </is>
      </c>
      <c r="D116" s="33" t="inlineStr">
        <is>
          <t>NonProd</t>
        </is>
      </c>
      <c r="E116" s="32" t="inlineStr">
        <is>
          <t>Standard_D16as_v5</t>
        </is>
      </c>
      <c r="F116" s="33" t="inlineStr">
        <is>
          <t>Dasv5</t>
        </is>
      </c>
      <c r="G116" s="34" t="n">
        <v>16</v>
      </c>
      <c r="H116" s="32" t="inlineStr">
        <is>
          <t>crg-np-chn-reg</t>
        </is>
      </c>
      <c r="I116" s="23" t="n">
        <v>140</v>
      </c>
      <c r="J116" s="23" t="n">
        <v>120</v>
      </c>
      <c r="K116" s="24">
        <f>I116+J116</f>
        <v/>
      </c>
      <c r="L116" s="24">
        <f>K116-I116</f>
        <v/>
      </c>
      <c r="M116" s="33" t="inlineStr">
        <is>
          <t>Standard</t>
        </is>
      </c>
      <c r="N116" s="32" t="inlineStr">
        <is>
          <t>Synthetic estate</t>
        </is>
      </c>
    </row>
    <row r="117">
      <c r="A117" s="32" t="inlineStr">
        <is>
          <t>Switzerland North</t>
        </is>
      </c>
      <c r="B117" s="32" t="inlineStr">
        <is>
          <t>switzerlandnorth</t>
        </is>
      </c>
      <c r="C117" s="33" t="inlineStr">
        <is>
          <t>EU</t>
        </is>
      </c>
      <c r="D117" s="33" t="inlineStr">
        <is>
          <t>DR</t>
        </is>
      </c>
      <c r="E117" s="32" t="inlineStr">
        <is>
          <t>Standard_E32ads_v5</t>
        </is>
      </c>
      <c r="F117" s="33" t="inlineStr">
        <is>
          <t>Eadsv5</t>
        </is>
      </c>
      <c r="G117" s="34" t="n">
        <v>32</v>
      </c>
      <c r="H117" s="32" t="inlineStr">
        <is>
          <t>crg-dr-chn-reg</t>
        </is>
      </c>
      <c r="I117" s="23" t="n">
        <v>50</v>
      </c>
      <c r="J117" s="23" t="n">
        <v>80</v>
      </c>
      <c r="K117" s="24">
        <f>I117+J117</f>
        <v/>
      </c>
      <c r="L117" s="24">
        <f>K117-I117</f>
        <v/>
      </c>
      <c r="M117" s="33" t="inlineStr">
        <is>
          <t>Standard</t>
        </is>
      </c>
      <c r="N117" s="32" t="inlineStr">
        <is>
          <t>Synthetic estate</t>
        </is>
      </c>
    </row>
    <row r="118">
      <c r="A118" s="32" t="inlineStr">
        <is>
          <t>Switzerland North</t>
        </is>
      </c>
      <c r="B118" s="32" t="inlineStr">
        <is>
          <t>switzerlandnorth</t>
        </is>
      </c>
      <c r="C118" s="33" t="inlineStr">
        <is>
          <t>EU</t>
        </is>
      </c>
      <c r="D118" s="33" t="inlineStr">
        <is>
          <t>DR</t>
        </is>
      </c>
      <c r="E118" s="32" t="inlineStr">
        <is>
          <t>Standard_E64ads_v5</t>
        </is>
      </c>
      <c r="F118" s="33" t="inlineStr">
        <is>
          <t>Eadsv5</t>
        </is>
      </c>
      <c r="G118" s="34" t="n">
        <v>64</v>
      </c>
      <c r="H118" s="32" t="inlineStr">
        <is>
          <t>crg-dr-chn-reg</t>
        </is>
      </c>
      <c r="I118" s="23" t="n">
        <v>100</v>
      </c>
      <c r="J118" s="23" t="n">
        <v>160</v>
      </c>
      <c r="K118" s="24">
        <f>I118+J118</f>
        <v/>
      </c>
      <c r="L118" s="24">
        <f>K118-I118</f>
        <v/>
      </c>
      <c r="M118" s="33" t="inlineStr">
        <is>
          <t>Standard</t>
        </is>
      </c>
      <c r="N118" s="32" t="inlineStr">
        <is>
          <t>Synthetic estate</t>
        </is>
      </c>
    </row>
    <row r="119">
      <c r="A119" s="32" t="inlineStr">
        <is>
          <t>Switzerland North</t>
        </is>
      </c>
      <c r="B119" s="32" t="inlineStr">
        <is>
          <t>switzerlandnorth</t>
        </is>
      </c>
      <c r="C119" s="33" t="inlineStr">
        <is>
          <t>EU</t>
        </is>
      </c>
      <c r="D119" s="33" t="inlineStr">
        <is>
          <t>DR</t>
        </is>
      </c>
      <c r="E119" s="32" t="inlineStr">
        <is>
          <t>Standard_E16ads_v5</t>
        </is>
      </c>
      <c r="F119" s="33" t="inlineStr">
        <is>
          <t>Eadsv5</t>
        </is>
      </c>
      <c r="G119" s="34" t="n">
        <v>16</v>
      </c>
      <c r="H119" s="32" t="inlineStr">
        <is>
          <t>crg-dr-chn-reg</t>
        </is>
      </c>
      <c r="I119" s="23" t="n">
        <v>25</v>
      </c>
      <c r="J119" s="23" t="n">
        <v>40</v>
      </c>
      <c r="K119" s="24">
        <f>I119+J119</f>
        <v/>
      </c>
      <c r="L119" s="24">
        <f>K119-I119</f>
        <v/>
      </c>
      <c r="M119" s="33" t="inlineStr">
        <is>
          <t>Standard</t>
        </is>
      </c>
      <c r="N119" s="32" t="inlineStr">
        <is>
          <t>Synthetic estate</t>
        </is>
      </c>
    </row>
    <row r="120">
      <c r="A120" s="32" t="inlineStr">
        <is>
          <t>Switzerland North</t>
        </is>
      </c>
      <c r="B120" s="32" t="inlineStr">
        <is>
          <t>switzerlandnorth</t>
        </is>
      </c>
      <c r="C120" s="33" t="inlineStr">
        <is>
          <t>EU</t>
        </is>
      </c>
      <c r="D120" s="33" t="inlineStr">
        <is>
          <t>DR</t>
        </is>
      </c>
      <c r="E120" s="32" t="inlineStr">
        <is>
          <t>Standard_E32ads_v6</t>
        </is>
      </c>
      <c r="F120" s="33" t="inlineStr">
        <is>
          <t>Eadsv6</t>
        </is>
      </c>
      <c r="G120" s="34" t="n">
        <v>32</v>
      </c>
      <c r="H120" s="32" t="inlineStr">
        <is>
          <t>crg-dr-chn-reg</t>
        </is>
      </c>
      <c r="I120" s="23" t="n">
        <v>50</v>
      </c>
      <c r="J120" s="23" t="n">
        <v>80</v>
      </c>
      <c r="K120" s="24">
        <f>I120+J120</f>
        <v/>
      </c>
      <c r="L120" s="24">
        <f>K120-I120</f>
        <v/>
      </c>
      <c r="M120" s="33" t="inlineStr">
        <is>
          <t>Standard</t>
        </is>
      </c>
      <c r="N120" s="32" t="inlineStr">
        <is>
          <t>Synthetic estate</t>
        </is>
      </c>
    </row>
    <row r="121">
      <c r="A121" s="32" t="inlineStr">
        <is>
          <t>Switzerland North</t>
        </is>
      </c>
      <c r="B121" s="32" t="inlineStr">
        <is>
          <t>switzerlandnorth</t>
        </is>
      </c>
      <c r="C121" s="33" t="inlineStr">
        <is>
          <t>EU</t>
        </is>
      </c>
      <c r="D121" s="33" t="inlineStr">
        <is>
          <t>DR</t>
        </is>
      </c>
      <c r="E121" s="32" t="inlineStr">
        <is>
          <t>Standard_D8ads_v5</t>
        </is>
      </c>
      <c r="F121" s="33" t="inlineStr">
        <is>
          <t>Dadsv5</t>
        </is>
      </c>
      <c r="G121" s="34" t="n">
        <v>8</v>
      </c>
      <c r="H121" s="32" t="inlineStr">
        <is>
          <t>crg-dr-chn-reg</t>
        </is>
      </c>
      <c r="I121" s="23" t="n">
        <v>12</v>
      </c>
      <c r="J121" s="23" t="n">
        <v>20</v>
      </c>
      <c r="K121" s="24">
        <f>I121+J121</f>
        <v/>
      </c>
      <c r="L121" s="24">
        <f>K121-I121</f>
        <v/>
      </c>
      <c r="M121" s="33" t="inlineStr">
        <is>
          <t>Standard</t>
        </is>
      </c>
      <c r="N121" s="32" t="inlineStr">
        <is>
          <t>Synthetic estate</t>
        </is>
      </c>
    </row>
    <row r="122">
      <c r="A122" s="32" t="inlineStr">
        <is>
          <t>Switzerland North</t>
        </is>
      </c>
      <c r="B122" s="32" t="inlineStr">
        <is>
          <t>switzerlandnorth</t>
        </is>
      </c>
      <c r="C122" s="33" t="inlineStr">
        <is>
          <t>EU</t>
        </is>
      </c>
      <c r="D122" s="33" t="inlineStr">
        <is>
          <t>DR</t>
        </is>
      </c>
      <c r="E122" s="32" t="inlineStr">
        <is>
          <t>Standard_D16ads_v5</t>
        </is>
      </c>
      <c r="F122" s="33" t="inlineStr">
        <is>
          <t>Dadsv5</t>
        </is>
      </c>
      <c r="G122" s="34" t="n">
        <v>16</v>
      </c>
      <c r="H122" s="32" t="inlineStr">
        <is>
          <t>crg-dr-chn-reg</t>
        </is>
      </c>
      <c r="I122" s="23" t="n">
        <v>25</v>
      </c>
      <c r="J122" s="23" t="n">
        <v>40</v>
      </c>
      <c r="K122" s="24">
        <f>I122+J122</f>
        <v/>
      </c>
      <c r="L122" s="24">
        <f>K122-I122</f>
        <v/>
      </c>
      <c r="M122" s="33" t="inlineStr">
        <is>
          <t>Standard</t>
        </is>
      </c>
      <c r="N122" s="32" t="inlineStr">
        <is>
          <t>Synthetic estate</t>
        </is>
      </c>
    </row>
    <row r="123">
      <c r="A123" s="32" t="inlineStr">
        <is>
          <t>Switzerland North</t>
        </is>
      </c>
      <c r="B123" s="32" t="inlineStr">
        <is>
          <t>switzerlandnorth</t>
        </is>
      </c>
      <c r="C123" s="33" t="inlineStr">
        <is>
          <t>EU</t>
        </is>
      </c>
      <c r="D123" s="33" t="inlineStr">
        <is>
          <t>DR</t>
        </is>
      </c>
      <c r="E123" s="32" t="inlineStr">
        <is>
          <t>Standard_D8as_v5</t>
        </is>
      </c>
      <c r="F123" s="33" t="inlineStr">
        <is>
          <t>Dasv5</t>
        </is>
      </c>
      <c r="G123" s="34" t="n">
        <v>8</v>
      </c>
      <c r="H123" s="32" t="inlineStr">
        <is>
          <t>crg-dr-chn-reg</t>
        </is>
      </c>
      <c r="I123" s="23" t="n">
        <v>12</v>
      </c>
      <c r="J123" s="23" t="n">
        <v>20</v>
      </c>
      <c r="K123" s="24">
        <f>I123+J123</f>
        <v/>
      </c>
      <c r="L123" s="24">
        <f>K123-I123</f>
        <v/>
      </c>
      <c r="M123" s="33" t="inlineStr">
        <is>
          <t>Standard</t>
        </is>
      </c>
      <c r="N123" s="32" t="inlineStr">
        <is>
          <t>Synthetic estate</t>
        </is>
      </c>
    </row>
    <row r="124">
      <c r="A124" s="32" t="inlineStr">
        <is>
          <t>Switzerland North</t>
        </is>
      </c>
      <c r="B124" s="32" t="inlineStr">
        <is>
          <t>switzerlandnorth</t>
        </is>
      </c>
      <c r="C124" s="33" t="inlineStr">
        <is>
          <t>EU</t>
        </is>
      </c>
      <c r="D124" s="33" t="inlineStr">
        <is>
          <t>DR</t>
        </is>
      </c>
      <c r="E124" s="32" t="inlineStr">
        <is>
          <t>Standard_D16as_v5</t>
        </is>
      </c>
      <c r="F124" s="33" t="inlineStr">
        <is>
          <t>Dasv5</t>
        </is>
      </c>
      <c r="G124" s="34" t="n">
        <v>16</v>
      </c>
      <c r="H124" s="32" t="inlineStr">
        <is>
          <t>crg-dr-chn-reg</t>
        </is>
      </c>
      <c r="I124" s="23" t="n">
        <v>25</v>
      </c>
      <c r="J124" s="23" t="n">
        <v>40</v>
      </c>
      <c r="K124" s="24">
        <f>I124+J124</f>
        <v/>
      </c>
      <c r="L124" s="24">
        <f>K124-I124</f>
        <v/>
      </c>
      <c r="M124" s="33" t="inlineStr">
        <is>
          <t>Standard</t>
        </is>
      </c>
      <c r="N124" s="32" t="inlineStr">
        <is>
          <t>Synthetic estate</t>
        </is>
      </c>
    </row>
    <row r="125">
      <c r="A125" s="32" t="inlineStr">
        <is>
          <t>Sweden Central</t>
        </is>
      </c>
      <c r="B125" s="32" t="inlineStr">
        <is>
          <t>swedencentral</t>
        </is>
      </c>
      <c r="C125" s="33" t="inlineStr">
        <is>
          <t>EU</t>
        </is>
      </c>
      <c r="D125" s="33" t="inlineStr">
        <is>
          <t>Prod</t>
        </is>
      </c>
      <c r="E125" s="32" t="inlineStr">
        <is>
          <t>Standard_E32ads_v5</t>
        </is>
      </c>
      <c r="F125" s="33" t="inlineStr">
        <is>
          <t>Eadsv5</t>
        </is>
      </c>
      <c r="G125" s="34" t="n">
        <v>32</v>
      </c>
      <c r="H125" s="32" t="inlineStr">
        <is>
          <t>crg-pr-sec-reg</t>
        </is>
      </c>
      <c r="I125" s="23" t="n">
        <v>420</v>
      </c>
      <c r="J125" s="23" t="n">
        <v>160</v>
      </c>
      <c r="K125" s="24">
        <f>I125+J125</f>
        <v/>
      </c>
      <c r="L125" s="24">
        <f>K125-I125</f>
        <v/>
      </c>
      <c r="M125" s="33" t="inlineStr">
        <is>
          <t>Standard</t>
        </is>
      </c>
      <c r="N125" s="32" t="inlineStr">
        <is>
          <t>Synthetic estate</t>
        </is>
      </c>
    </row>
    <row r="126">
      <c r="A126" s="32" t="inlineStr">
        <is>
          <t>Sweden Central</t>
        </is>
      </c>
      <c r="B126" s="32" t="inlineStr">
        <is>
          <t>swedencentral</t>
        </is>
      </c>
      <c r="C126" s="33" t="inlineStr">
        <is>
          <t>EU</t>
        </is>
      </c>
      <c r="D126" s="33" t="inlineStr">
        <is>
          <t>Prod</t>
        </is>
      </c>
      <c r="E126" s="32" t="inlineStr">
        <is>
          <t>Standard_E64ads_v5</t>
        </is>
      </c>
      <c r="F126" s="33" t="inlineStr">
        <is>
          <t>Eadsv5</t>
        </is>
      </c>
      <c r="G126" s="34" t="n">
        <v>64</v>
      </c>
      <c r="H126" s="32" t="inlineStr">
        <is>
          <t>crg-pr-sec-reg</t>
        </is>
      </c>
      <c r="I126" s="23" t="n">
        <v>840</v>
      </c>
      <c r="J126" s="23" t="n">
        <v>320</v>
      </c>
      <c r="K126" s="24">
        <f>I126+J126</f>
        <v/>
      </c>
      <c r="L126" s="24">
        <f>K126-I126</f>
        <v/>
      </c>
      <c r="M126" s="33" t="inlineStr">
        <is>
          <t>Standard</t>
        </is>
      </c>
      <c r="N126" s="32" t="inlineStr">
        <is>
          <t>Synthetic estate</t>
        </is>
      </c>
    </row>
    <row r="127">
      <c r="A127" s="32" t="inlineStr">
        <is>
          <t>Sweden Central</t>
        </is>
      </c>
      <c r="B127" s="32" t="inlineStr">
        <is>
          <t>swedencentral</t>
        </is>
      </c>
      <c r="C127" s="33" t="inlineStr">
        <is>
          <t>EU</t>
        </is>
      </c>
      <c r="D127" s="33" t="inlineStr">
        <is>
          <t>Prod</t>
        </is>
      </c>
      <c r="E127" s="32" t="inlineStr">
        <is>
          <t>Standard_E16ads_v5</t>
        </is>
      </c>
      <c r="F127" s="33" t="inlineStr">
        <is>
          <t>Eadsv5</t>
        </is>
      </c>
      <c r="G127" s="34" t="n">
        <v>16</v>
      </c>
      <c r="H127" s="32" t="inlineStr">
        <is>
          <t>crg-pr-sec-reg</t>
        </is>
      </c>
      <c r="I127" s="23" t="n">
        <v>210</v>
      </c>
      <c r="J127" s="23" t="n">
        <v>80</v>
      </c>
      <c r="K127" s="24">
        <f>I127+J127</f>
        <v/>
      </c>
      <c r="L127" s="24">
        <f>K127-I127</f>
        <v/>
      </c>
      <c r="M127" s="33" t="inlineStr">
        <is>
          <t>Standard</t>
        </is>
      </c>
      <c r="N127" s="32" t="inlineStr">
        <is>
          <t>Synthetic estate</t>
        </is>
      </c>
    </row>
    <row r="128">
      <c r="A128" s="32" t="inlineStr">
        <is>
          <t>Sweden Central</t>
        </is>
      </c>
      <c r="B128" s="32" t="inlineStr">
        <is>
          <t>swedencentral</t>
        </is>
      </c>
      <c r="C128" s="33" t="inlineStr">
        <is>
          <t>EU</t>
        </is>
      </c>
      <c r="D128" s="33" t="inlineStr">
        <is>
          <t>Prod</t>
        </is>
      </c>
      <c r="E128" s="32" t="inlineStr">
        <is>
          <t>Standard_E32ads_v6</t>
        </is>
      </c>
      <c r="F128" s="33" t="inlineStr">
        <is>
          <t>Eadsv6</t>
        </is>
      </c>
      <c r="G128" s="34" t="n">
        <v>32</v>
      </c>
      <c r="H128" s="32" t="inlineStr">
        <is>
          <t>crg-pr-sec-reg</t>
        </is>
      </c>
      <c r="I128" s="23" t="n">
        <v>420</v>
      </c>
      <c r="J128" s="23" t="n">
        <v>160</v>
      </c>
      <c r="K128" s="24">
        <f>I128+J128</f>
        <v/>
      </c>
      <c r="L128" s="24">
        <f>K128-I128</f>
        <v/>
      </c>
      <c r="M128" s="33" t="inlineStr">
        <is>
          <t>Standard</t>
        </is>
      </c>
      <c r="N128" s="32" t="inlineStr">
        <is>
          <t>Synthetic estate</t>
        </is>
      </c>
    </row>
    <row r="129">
      <c r="A129" s="32" t="inlineStr">
        <is>
          <t>Sweden Central</t>
        </is>
      </c>
      <c r="B129" s="32" t="inlineStr">
        <is>
          <t>swedencentral</t>
        </is>
      </c>
      <c r="C129" s="33" t="inlineStr">
        <is>
          <t>EU</t>
        </is>
      </c>
      <c r="D129" s="33" t="inlineStr">
        <is>
          <t>Prod</t>
        </is>
      </c>
      <c r="E129" s="32" t="inlineStr">
        <is>
          <t>Standard_D8ads_v5</t>
        </is>
      </c>
      <c r="F129" s="33" t="inlineStr">
        <is>
          <t>Dadsv5</t>
        </is>
      </c>
      <c r="G129" s="34" t="n">
        <v>8</v>
      </c>
      <c r="H129" s="32" t="inlineStr">
        <is>
          <t>crg-pr-sec-reg</t>
        </is>
      </c>
      <c r="I129" s="23" t="n">
        <v>105</v>
      </c>
      <c r="J129" s="23" t="n">
        <v>40</v>
      </c>
      <c r="K129" s="24">
        <f>I129+J129</f>
        <v/>
      </c>
      <c r="L129" s="24">
        <f>K129-I129</f>
        <v/>
      </c>
      <c r="M129" s="33" t="inlineStr">
        <is>
          <t>Standard</t>
        </is>
      </c>
      <c r="N129" s="32" t="inlineStr">
        <is>
          <t>Synthetic estate</t>
        </is>
      </c>
    </row>
    <row r="130">
      <c r="A130" s="32" t="inlineStr">
        <is>
          <t>Sweden Central</t>
        </is>
      </c>
      <c r="B130" s="32" t="inlineStr">
        <is>
          <t>swedencentral</t>
        </is>
      </c>
      <c r="C130" s="33" t="inlineStr">
        <is>
          <t>EU</t>
        </is>
      </c>
      <c r="D130" s="33" t="inlineStr">
        <is>
          <t>Prod</t>
        </is>
      </c>
      <c r="E130" s="32" t="inlineStr">
        <is>
          <t>Standard_D16ads_v5</t>
        </is>
      </c>
      <c r="F130" s="33" t="inlineStr">
        <is>
          <t>Dadsv5</t>
        </is>
      </c>
      <c r="G130" s="34" t="n">
        <v>16</v>
      </c>
      <c r="H130" s="32" t="inlineStr">
        <is>
          <t>crg-pr-sec-reg</t>
        </is>
      </c>
      <c r="I130" s="23" t="n">
        <v>210</v>
      </c>
      <c r="J130" s="23" t="n">
        <v>80</v>
      </c>
      <c r="K130" s="24">
        <f>I130+J130</f>
        <v/>
      </c>
      <c r="L130" s="24">
        <f>K130-I130</f>
        <v/>
      </c>
      <c r="M130" s="33" t="inlineStr">
        <is>
          <t>Standard</t>
        </is>
      </c>
      <c r="N130" s="32" t="inlineStr">
        <is>
          <t>Synthetic estate</t>
        </is>
      </c>
    </row>
    <row r="131">
      <c r="A131" s="32" t="inlineStr">
        <is>
          <t>Sweden Central</t>
        </is>
      </c>
      <c r="B131" s="32" t="inlineStr">
        <is>
          <t>swedencentral</t>
        </is>
      </c>
      <c r="C131" s="33" t="inlineStr">
        <is>
          <t>EU</t>
        </is>
      </c>
      <c r="D131" s="33" t="inlineStr">
        <is>
          <t>Prod</t>
        </is>
      </c>
      <c r="E131" s="32" t="inlineStr">
        <is>
          <t>Standard_D8as_v5</t>
        </is>
      </c>
      <c r="F131" s="33" t="inlineStr">
        <is>
          <t>Dasv5</t>
        </is>
      </c>
      <c r="G131" s="34" t="n">
        <v>8</v>
      </c>
      <c r="H131" s="32" t="inlineStr">
        <is>
          <t>crg-pr-sec-reg</t>
        </is>
      </c>
      <c r="I131" s="23" t="n">
        <v>105</v>
      </c>
      <c r="J131" s="23" t="n">
        <v>40</v>
      </c>
      <c r="K131" s="24">
        <f>I131+J131</f>
        <v/>
      </c>
      <c r="L131" s="24">
        <f>K131-I131</f>
        <v/>
      </c>
      <c r="M131" s="33" t="inlineStr">
        <is>
          <t>Standard</t>
        </is>
      </c>
      <c r="N131" s="32" t="inlineStr">
        <is>
          <t>Synthetic estate</t>
        </is>
      </c>
    </row>
    <row r="132">
      <c r="A132" s="32" t="inlineStr">
        <is>
          <t>Sweden Central</t>
        </is>
      </c>
      <c r="B132" s="32" t="inlineStr">
        <is>
          <t>swedencentral</t>
        </is>
      </c>
      <c r="C132" s="33" t="inlineStr">
        <is>
          <t>EU</t>
        </is>
      </c>
      <c r="D132" s="33" t="inlineStr">
        <is>
          <t>Prod</t>
        </is>
      </c>
      <c r="E132" s="32" t="inlineStr">
        <is>
          <t>Standard_D16as_v5</t>
        </is>
      </c>
      <c r="F132" s="33" t="inlineStr">
        <is>
          <t>Dasv5</t>
        </is>
      </c>
      <c r="G132" s="34" t="n">
        <v>16</v>
      </c>
      <c r="H132" s="32" t="inlineStr">
        <is>
          <t>crg-pr-sec-reg</t>
        </is>
      </c>
      <c r="I132" s="23" t="n">
        <v>210</v>
      </c>
      <c r="J132" s="23" t="n">
        <v>80</v>
      </c>
      <c r="K132" s="24">
        <f>I132+J132</f>
        <v/>
      </c>
      <c r="L132" s="24">
        <f>K132-I132</f>
        <v/>
      </c>
      <c r="M132" s="33" t="inlineStr">
        <is>
          <t>Standard</t>
        </is>
      </c>
      <c r="N132" s="32" t="inlineStr">
        <is>
          <t>Synthetic estate</t>
        </is>
      </c>
    </row>
    <row r="133">
      <c r="A133" s="32" t="inlineStr">
        <is>
          <t>Sweden Central</t>
        </is>
      </c>
      <c r="B133" s="32" t="inlineStr">
        <is>
          <t>swedencentral</t>
        </is>
      </c>
      <c r="C133" s="33" t="inlineStr">
        <is>
          <t>EU</t>
        </is>
      </c>
      <c r="D133" s="33" t="inlineStr">
        <is>
          <t>NonProd</t>
        </is>
      </c>
      <c r="E133" s="32" t="inlineStr">
        <is>
          <t>Standard_E32ads_v5</t>
        </is>
      </c>
      <c r="F133" s="33" t="inlineStr">
        <is>
          <t>Eadsv5</t>
        </is>
      </c>
      <c r="G133" s="34" t="n">
        <v>32</v>
      </c>
      <c r="H133" s="32" t="inlineStr">
        <is>
          <t>crg-np-sec-reg</t>
        </is>
      </c>
      <c r="I133" s="23" t="n">
        <v>240</v>
      </c>
      <c r="J133" s="23" t="n">
        <v>200</v>
      </c>
      <c r="K133" s="24">
        <f>I133+J133</f>
        <v/>
      </c>
      <c r="L133" s="24">
        <f>K133-I133</f>
        <v/>
      </c>
      <c r="M133" s="33" t="inlineStr">
        <is>
          <t>Standard</t>
        </is>
      </c>
      <c r="N133" s="32" t="inlineStr">
        <is>
          <t>Synthetic estate</t>
        </is>
      </c>
    </row>
    <row r="134">
      <c r="A134" s="32" t="inlineStr">
        <is>
          <t>Sweden Central</t>
        </is>
      </c>
      <c r="B134" s="32" t="inlineStr">
        <is>
          <t>swedencentral</t>
        </is>
      </c>
      <c r="C134" s="33" t="inlineStr">
        <is>
          <t>EU</t>
        </is>
      </c>
      <c r="D134" s="33" t="inlineStr">
        <is>
          <t>NonProd</t>
        </is>
      </c>
      <c r="E134" s="32" t="inlineStr">
        <is>
          <t>Standard_E64ads_v5</t>
        </is>
      </c>
      <c r="F134" s="33" t="inlineStr">
        <is>
          <t>Eadsv5</t>
        </is>
      </c>
      <c r="G134" s="34" t="n">
        <v>64</v>
      </c>
      <c r="H134" s="32" t="inlineStr">
        <is>
          <t>crg-np-sec-reg</t>
        </is>
      </c>
      <c r="I134" s="23" t="n">
        <v>480</v>
      </c>
      <c r="J134" s="23" t="n">
        <v>400</v>
      </c>
      <c r="K134" s="24">
        <f>I134+J134</f>
        <v/>
      </c>
      <c r="L134" s="24">
        <f>K134-I134</f>
        <v/>
      </c>
      <c r="M134" s="33" t="inlineStr">
        <is>
          <t>Standard</t>
        </is>
      </c>
      <c r="N134" s="32" t="inlineStr">
        <is>
          <t>Synthetic estate</t>
        </is>
      </c>
    </row>
    <row r="135">
      <c r="A135" s="32" t="inlineStr">
        <is>
          <t>Sweden Central</t>
        </is>
      </c>
      <c r="B135" s="32" t="inlineStr">
        <is>
          <t>swedencentral</t>
        </is>
      </c>
      <c r="C135" s="33" t="inlineStr">
        <is>
          <t>EU</t>
        </is>
      </c>
      <c r="D135" s="33" t="inlineStr">
        <is>
          <t>NonProd</t>
        </is>
      </c>
      <c r="E135" s="32" t="inlineStr">
        <is>
          <t>Standard_E16ads_v5</t>
        </is>
      </c>
      <c r="F135" s="33" t="inlineStr">
        <is>
          <t>Eadsv5</t>
        </is>
      </c>
      <c r="G135" s="34" t="n">
        <v>16</v>
      </c>
      <c r="H135" s="32" t="inlineStr">
        <is>
          <t>crg-np-sec-reg</t>
        </is>
      </c>
      <c r="I135" s="23" t="n">
        <v>120</v>
      </c>
      <c r="J135" s="23" t="n">
        <v>100</v>
      </c>
      <c r="K135" s="24">
        <f>I135+J135</f>
        <v/>
      </c>
      <c r="L135" s="24">
        <f>K135-I135</f>
        <v/>
      </c>
      <c r="M135" s="33" t="inlineStr">
        <is>
          <t>Standard</t>
        </is>
      </c>
      <c r="N135" s="32" t="inlineStr">
        <is>
          <t>Synthetic estate</t>
        </is>
      </c>
    </row>
    <row r="136">
      <c r="A136" s="32" t="inlineStr">
        <is>
          <t>Sweden Central</t>
        </is>
      </c>
      <c r="B136" s="32" t="inlineStr">
        <is>
          <t>swedencentral</t>
        </is>
      </c>
      <c r="C136" s="33" t="inlineStr">
        <is>
          <t>EU</t>
        </is>
      </c>
      <c r="D136" s="33" t="inlineStr">
        <is>
          <t>NonProd</t>
        </is>
      </c>
      <c r="E136" s="32" t="inlineStr">
        <is>
          <t>Standard_E32ads_v6</t>
        </is>
      </c>
      <c r="F136" s="33" t="inlineStr">
        <is>
          <t>Eadsv6</t>
        </is>
      </c>
      <c r="G136" s="34" t="n">
        <v>32</v>
      </c>
      <c r="H136" s="32" t="inlineStr">
        <is>
          <t>crg-np-sec-reg</t>
        </is>
      </c>
      <c r="I136" s="23" t="n">
        <v>240</v>
      </c>
      <c r="J136" s="23" t="n">
        <v>200</v>
      </c>
      <c r="K136" s="24">
        <f>I136+J136</f>
        <v/>
      </c>
      <c r="L136" s="24">
        <f>K136-I136</f>
        <v/>
      </c>
      <c r="M136" s="33" t="inlineStr">
        <is>
          <t>Standard</t>
        </is>
      </c>
      <c r="N136" s="32" t="inlineStr">
        <is>
          <t>Synthetic estate</t>
        </is>
      </c>
    </row>
    <row r="137">
      <c r="A137" s="32" t="inlineStr">
        <is>
          <t>Sweden Central</t>
        </is>
      </c>
      <c r="B137" s="32" t="inlineStr">
        <is>
          <t>swedencentral</t>
        </is>
      </c>
      <c r="C137" s="33" t="inlineStr">
        <is>
          <t>EU</t>
        </is>
      </c>
      <c r="D137" s="33" t="inlineStr">
        <is>
          <t>NonProd</t>
        </is>
      </c>
      <c r="E137" s="32" t="inlineStr">
        <is>
          <t>Standard_D8ads_v5</t>
        </is>
      </c>
      <c r="F137" s="33" t="inlineStr">
        <is>
          <t>Dadsv5</t>
        </is>
      </c>
      <c r="G137" s="34" t="n">
        <v>8</v>
      </c>
      <c r="H137" s="32" t="inlineStr">
        <is>
          <t>crg-np-sec-reg</t>
        </is>
      </c>
      <c r="I137" s="23" t="n">
        <v>60</v>
      </c>
      <c r="J137" s="23" t="n">
        <v>50</v>
      </c>
      <c r="K137" s="24">
        <f>I137+J137</f>
        <v/>
      </c>
      <c r="L137" s="24">
        <f>K137-I137</f>
        <v/>
      </c>
      <c r="M137" s="33" t="inlineStr">
        <is>
          <t>Standard</t>
        </is>
      </c>
      <c r="N137" s="32" t="inlineStr">
        <is>
          <t>Synthetic estate</t>
        </is>
      </c>
    </row>
    <row r="138">
      <c r="A138" s="32" t="inlineStr">
        <is>
          <t>Sweden Central</t>
        </is>
      </c>
      <c r="B138" s="32" t="inlineStr">
        <is>
          <t>swedencentral</t>
        </is>
      </c>
      <c r="C138" s="33" t="inlineStr">
        <is>
          <t>EU</t>
        </is>
      </c>
      <c r="D138" s="33" t="inlineStr">
        <is>
          <t>NonProd</t>
        </is>
      </c>
      <c r="E138" s="32" t="inlineStr">
        <is>
          <t>Standard_D16ads_v5</t>
        </is>
      </c>
      <c r="F138" s="33" t="inlineStr">
        <is>
          <t>Dadsv5</t>
        </is>
      </c>
      <c r="G138" s="34" t="n">
        <v>16</v>
      </c>
      <c r="H138" s="32" t="inlineStr">
        <is>
          <t>crg-np-sec-reg</t>
        </is>
      </c>
      <c r="I138" s="23" t="n">
        <v>120</v>
      </c>
      <c r="J138" s="23" t="n">
        <v>100</v>
      </c>
      <c r="K138" s="24">
        <f>I138+J138</f>
        <v/>
      </c>
      <c r="L138" s="24">
        <f>K138-I138</f>
        <v/>
      </c>
      <c r="M138" s="33" t="inlineStr">
        <is>
          <t>Standard</t>
        </is>
      </c>
      <c r="N138" s="32" t="inlineStr">
        <is>
          <t>Synthetic estate</t>
        </is>
      </c>
    </row>
    <row r="139">
      <c r="A139" s="32" t="inlineStr">
        <is>
          <t>Sweden Central</t>
        </is>
      </c>
      <c r="B139" s="32" t="inlineStr">
        <is>
          <t>swedencentral</t>
        </is>
      </c>
      <c r="C139" s="33" t="inlineStr">
        <is>
          <t>EU</t>
        </is>
      </c>
      <c r="D139" s="33" t="inlineStr">
        <is>
          <t>NonProd</t>
        </is>
      </c>
      <c r="E139" s="32" t="inlineStr">
        <is>
          <t>Standard_D8as_v5</t>
        </is>
      </c>
      <c r="F139" s="33" t="inlineStr">
        <is>
          <t>Dasv5</t>
        </is>
      </c>
      <c r="G139" s="34" t="n">
        <v>8</v>
      </c>
      <c r="H139" s="32" t="inlineStr">
        <is>
          <t>crg-np-sec-reg</t>
        </is>
      </c>
      <c r="I139" s="23" t="n">
        <v>60</v>
      </c>
      <c r="J139" s="23" t="n">
        <v>50</v>
      </c>
      <c r="K139" s="24">
        <f>I139+J139</f>
        <v/>
      </c>
      <c r="L139" s="24">
        <f>K139-I139</f>
        <v/>
      </c>
      <c r="M139" s="33" t="inlineStr">
        <is>
          <t>Standard</t>
        </is>
      </c>
      <c r="N139" s="32" t="inlineStr">
        <is>
          <t>Synthetic estate</t>
        </is>
      </c>
    </row>
    <row r="140">
      <c r="A140" s="32" t="inlineStr">
        <is>
          <t>Sweden Central</t>
        </is>
      </c>
      <c r="B140" s="32" t="inlineStr">
        <is>
          <t>swedencentral</t>
        </is>
      </c>
      <c r="C140" s="33" t="inlineStr">
        <is>
          <t>EU</t>
        </is>
      </c>
      <c r="D140" s="33" t="inlineStr">
        <is>
          <t>NonProd</t>
        </is>
      </c>
      <c r="E140" s="32" t="inlineStr">
        <is>
          <t>Standard_D16as_v5</t>
        </is>
      </c>
      <c r="F140" s="33" t="inlineStr">
        <is>
          <t>Dasv5</t>
        </is>
      </c>
      <c r="G140" s="34" t="n">
        <v>16</v>
      </c>
      <c r="H140" s="32" t="inlineStr">
        <is>
          <t>crg-np-sec-reg</t>
        </is>
      </c>
      <c r="I140" s="23" t="n">
        <v>120</v>
      </c>
      <c r="J140" s="23" t="n">
        <v>100</v>
      </c>
      <c r="K140" s="24">
        <f>I140+J140</f>
        <v/>
      </c>
      <c r="L140" s="24">
        <f>K140-I140</f>
        <v/>
      </c>
      <c r="M140" s="33" t="inlineStr">
        <is>
          <t>Standard</t>
        </is>
      </c>
      <c r="N140" s="32" t="inlineStr">
        <is>
          <t>Synthetic estate</t>
        </is>
      </c>
    </row>
    <row r="141">
      <c r="A141" s="32" t="inlineStr">
        <is>
          <t>Sweden Central</t>
        </is>
      </c>
      <c r="B141" s="32" t="inlineStr">
        <is>
          <t>swedencentral</t>
        </is>
      </c>
      <c r="C141" s="33" t="inlineStr">
        <is>
          <t>EU</t>
        </is>
      </c>
      <c r="D141" s="33" t="inlineStr">
        <is>
          <t>DR</t>
        </is>
      </c>
      <c r="E141" s="32" t="inlineStr">
        <is>
          <t>Standard_E32ads_v5</t>
        </is>
      </c>
      <c r="F141" s="33" t="inlineStr">
        <is>
          <t>Eadsv5</t>
        </is>
      </c>
      <c r="G141" s="34" t="n">
        <v>32</v>
      </c>
      <c r="H141" s="32" t="inlineStr">
        <is>
          <t>crg-dr-sec-reg</t>
        </is>
      </c>
      <c r="I141" s="23" t="n">
        <v>40</v>
      </c>
      <c r="J141" s="23" t="n">
        <v>70</v>
      </c>
      <c r="K141" s="24">
        <f>I141+J141</f>
        <v/>
      </c>
      <c r="L141" s="24">
        <f>K141-I141</f>
        <v/>
      </c>
      <c r="M141" s="33" t="inlineStr">
        <is>
          <t>Standard</t>
        </is>
      </c>
      <c r="N141" s="32" t="inlineStr">
        <is>
          <t>Synthetic estate</t>
        </is>
      </c>
    </row>
    <row r="142">
      <c r="A142" s="32" t="inlineStr">
        <is>
          <t>Sweden Central</t>
        </is>
      </c>
      <c r="B142" s="32" t="inlineStr">
        <is>
          <t>swedencentral</t>
        </is>
      </c>
      <c r="C142" s="33" t="inlineStr">
        <is>
          <t>EU</t>
        </is>
      </c>
      <c r="D142" s="33" t="inlineStr">
        <is>
          <t>DR</t>
        </is>
      </c>
      <c r="E142" s="32" t="inlineStr">
        <is>
          <t>Standard_E64ads_v5</t>
        </is>
      </c>
      <c r="F142" s="33" t="inlineStr">
        <is>
          <t>Eadsv5</t>
        </is>
      </c>
      <c r="G142" s="34" t="n">
        <v>64</v>
      </c>
      <c r="H142" s="32" t="inlineStr">
        <is>
          <t>crg-dr-sec-reg</t>
        </is>
      </c>
      <c r="I142" s="23" t="n">
        <v>80</v>
      </c>
      <c r="J142" s="23" t="n">
        <v>140</v>
      </c>
      <c r="K142" s="24">
        <f>I142+J142</f>
        <v/>
      </c>
      <c r="L142" s="24">
        <f>K142-I142</f>
        <v/>
      </c>
      <c r="M142" s="33" t="inlineStr">
        <is>
          <t>Standard</t>
        </is>
      </c>
      <c r="N142" s="32" t="inlineStr">
        <is>
          <t>Synthetic estate</t>
        </is>
      </c>
    </row>
    <row r="143">
      <c r="A143" s="32" t="inlineStr">
        <is>
          <t>Sweden Central</t>
        </is>
      </c>
      <c r="B143" s="32" t="inlineStr">
        <is>
          <t>swedencentral</t>
        </is>
      </c>
      <c r="C143" s="33" t="inlineStr">
        <is>
          <t>EU</t>
        </is>
      </c>
      <c r="D143" s="33" t="inlineStr">
        <is>
          <t>DR</t>
        </is>
      </c>
      <c r="E143" s="32" t="inlineStr">
        <is>
          <t>Standard_E16ads_v5</t>
        </is>
      </c>
      <c r="F143" s="33" t="inlineStr">
        <is>
          <t>Eadsv5</t>
        </is>
      </c>
      <c r="G143" s="34" t="n">
        <v>16</v>
      </c>
      <c r="H143" s="32" t="inlineStr">
        <is>
          <t>crg-dr-sec-reg</t>
        </is>
      </c>
      <c r="I143" s="23" t="n">
        <v>20</v>
      </c>
      <c r="J143" s="23" t="n">
        <v>35</v>
      </c>
      <c r="K143" s="24">
        <f>I143+J143</f>
        <v/>
      </c>
      <c r="L143" s="24">
        <f>K143-I143</f>
        <v/>
      </c>
      <c r="M143" s="33" t="inlineStr">
        <is>
          <t>Standard</t>
        </is>
      </c>
      <c r="N143" s="32" t="inlineStr">
        <is>
          <t>Synthetic estate</t>
        </is>
      </c>
    </row>
    <row r="144">
      <c r="A144" s="32" t="inlineStr">
        <is>
          <t>Sweden Central</t>
        </is>
      </c>
      <c r="B144" s="32" t="inlineStr">
        <is>
          <t>swedencentral</t>
        </is>
      </c>
      <c r="C144" s="33" t="inlineStr">
        <is>
          <t>EU</t>
        </is>
      </c>
      <c r="D144" s="33" t="inlineStr">
        <is>
          <t>DR</t>
        </is>
      </c>
      <c r="E144" s="32" t="inlineStr">
        <is>
          <t>Standard_E32ads_v6</t>
        </is>
      </c>
      <c r="F144" s="33" t="inlineStr">
        <is>
          <t>Eadsv6</t>
        </is>
      </c>
      <c r="G144" s="34" t="n">
        <v>32</v>
      </c>
      <c r="H144" s="32" t="inlineStr">
        <is>
          <t>crg-dr-sec-reg</t>
        </is>
      </c>
      <c r="I144" s="23" t="n">
        <v>40</v>
      </c>
      <c r="J144" s="23" t="n">
        <v>70</v>
      </c>
      <c r="K144" s="24">
        <f>I144+J144</f>
        <v/>
      </c>
      <c r="L144" s="24">
        <f>K144-I144</f>
        <v/>
      </c>
      <c r="M144" s="33" t="inlineStr">
        <is>
          <t>Standard</t>
        </is>
      </c>
      <c r="N144" s="32" t="inlineStr">
        <is>
          <t>Synthetic estate</t>
        </is>
      </c>
    </row>
    <row r="145">
      <c r="A145" s="32" t="inlineStr">
        <is>
          <t>Sweden Central</t>
        </is>
      </c>
      <c r="B145" s="32" t="inlineStr">
        <is>
          <t>swedencentral</t>
        </is>
      </c>
      <c r="C145" s="33" t="inlineStr">
        <is>
          <t>EU</t>
        </is>
      </c>
      <c r="D145" s="33" t="inlineStr">
        <is>
          <t>DR</t>
        </is>
      </c>
      <c r="E145" s="32" t="inlineStr">
        <is>
          <t>Standard_D8ads_v5</t>
        </is>
      </c>
      <c r="F145" s="33" t="inlineStr">
        <is>
          <t>Dadsv5</t>
        </is>
      </c>
      <c r="G145" s="34" t="n">
        <v>8</v>
      </c>
      <c r="H145" s="32" t="inlineStr">
        <is>
          <t>crg-dr-sec-reg</t>
        </is>
      </c>
      <c r="I145" s="23" t="n">
        <v>10</v>
      </c>
      <c r="J145" s="23" t="n">
        <v>18</v>
      </c>
      <c r="K145" s="24">
        <f>I145+J145</f>
        <v/>
      </c>
      <c r="L145" s="24">
        <f>K145-I145</f>
        <v/>
      </c>
      <c r="M145" s="33" t="inlineStr">
        <is>
          <t>Standard</t>
        </is>
      </c>
      <c r="N145" s="32" t="inlineStr">
        <is>
          <t>Synthetic estate</t>
        </is>
      </c>
    </row>
    <row r="146">
      <c r="A146" s="32" t="inlineStr">
        <is>
          <t>Sweden Central</t>
        </is>
      </c>
      <c r="B146" s="32" t="inlineStr">
        <is>
          <t>swedencentral</t>
        </is>
      </c>
      <c r="C146" s="33" t="inlineStr">
        <is>
          <t>EU</t>
        </is>
      </c>
      <c r="D146" s="33" t="inlineStr">
        <is>
          <t>DR</t>
        </is>
      </c>
      <c r="E146" s="32" t="inlineStr">
        <is>
          <t>Standard_D16ads_v5</t>
        </is>
      </c>
      <c r="F146" s="33" t="inlineStr">
        <is>
          <t>Dadsv5</t>
        </is>
      </c>
      <c r="G146" s="34" t="n">
        <v>16</v>
      </c>
      <c r="H146" s="32" t="inlineStr">
        <is>
          <t>crg-dr-sec-reg</t>
        </is>
      </c>
      <c r="I146" s="23" t="n">
        <v>20</v>
      </c>
      <c r="J146" s="23" t="n">
        <v>35</v>
      </c>
      <c r="K146" s="24">
        <f>I146+J146</f>
        <v/>
      </c>
      <c r="L146" s="24">
        <f>K146-I146</f>
        <v/>
      </c>
      <c r="M146" s="33" t="inlineStr">
        <is>
          <t>Standard</t>
        </is>
      </c>
      <c r="N146" s="32" t="inlineStr">
        <is>
          <t>Synthetic estate</t>
        </is>
      </c>
    </row>
    <row r="147">
      <c r="A147" s="32" t="inlineStr">
        <is>
          <t>Sweden Central</t>
        </is>
      </c>
      <c r="B147" s="32" t="inlineStr">
        <is>
          <t>swedencentral</t>
        </is>
      </c>
      <c r="C147" s="33" t="inlineStr">
        <is>
          <t>EU</t>
        </is>
      </c>
      <c r="D147" s="33" t="inlineStr">
        <is>
          <t>DR</t>
        </is>
      </c>
      <c r="E147" s="32" t="inlineStr">
        <is>
          <t>Standard_D8as_v5</t>
        </is>
      </c>
      <c r="F147" s="33" t="inlineStr">
        <is>
          <t>Dasv5</t>
        </is>
      </c>
      <c r="G147" s="34" t="n">
        <v>8</v>
      </c>
      <c r="H147" s="32" t="inlineStr">
        <is>
          <t>crg-dr-sec-reg</t>
        </is>
      </c>
      <c r="I147" s="23" t="n">
        <v>10</v>
      </c>
      <c r="J147" s="23" t="n">
        <v>18</v>
      </c>
      <c r="K147" s="24">
        <f>I147+J147</f>
        <v/>
      </c>
      <c r="L147" s="24">
        <f>K147-I147</f>
        <v/>
      </c>
      <c r="M147" s="33" t="inlineStr">
        <is>
          <t>Standard</t>
        </is>
      </c>
      <c r="N147" s="32" t="inlineStr">
        <is>
          <t>Synthetic estate</t>
        </is>
      </c>
    </row>
    <row r="148">
      <c r="A148" s="32" t="inlineStr">
        <is>
          <t>Sweden Central</t>
        </is>
      </c>
      <c r="B148" s="32" t="inlineStr">
        <is>
          <t>swedencentral</t>
        </is>
      </c>
      <c r="C148" s="33" t="inlineStr">
        <is>
          <t>EU</t>
        </is>
      </c>
      <c r="D148" s="33" t="inlineStr">
        <is>
          <t>DR</t>
        </is>
      </c>
      <c r="E148" s="32" t="inlineStr">
        <is>
          <t>Standard_D16as_v5</t>
        </is>
      </c>
      <c r="F148" s="33" t="inlineStr">
        <is>
          <t>Dasv5</t>
        </is>
      </c>
      <c r="G148" s="34" t="n">
        <v>16</v>
      </c>
      <c r="H148" s="32" t="inlineStr">
        <is>
          <t>crg-dr-sec-reg</t>
        </is>
      </c>
      <c r="I148" s="23" t="n">
        <v>20</v>
      </c>
      <c r="J148" s="23" t="n">
        <v>35</v>
      </c>
      <c r="K148" s="24">
        <f>I148+J148</f>
        <v/>
      </c>
      <c r="L148" s="24">
        <f>K148-I148</f>
        <v/>
      </c>
      <c r="M148" s="33" t="inlineStr">
        <is>
          <t>Standard</t>
        </is>
      </c>
      <c r="N148" s="32" t="inlineStr">
        <is>
          <t>Synthetic estate</t>
        </is>
      </c>
    </row>
    <row r="149">
      <c r="A149" s="32" t="inlineStr">
        <is>
          <t>North Europe</t>
        </is>
      </c>
      <c r="B149" s="32" t="inlineStr">
        <is>
          <t>northeurope</t>
        </is>
      </c>
      <c r="C149" s="33" t="inlineStr">
        <is>
          <t>EU</t>
        </is>
      </c>
      <c r="D149" s="33" t="inlineStr">
        <is>
          <t>Prod</t>
        </is>
      </c>
      <c r="E149" s="32" t="inlineStr">
        <is>
          <t>Standard_E32ads_v5</t>
        </is>
      </c>
      <c r="F149" s="33" t="inlineStr">
        <is>
          <t>Eadsv5</t>
        </is>
      </c>
      <c r="G149" s="34" t="n">
        <v>32</v>
      </c>
      <c r="H149" s="32" t="inlineStr">
        <is>
          <t>crg-pr-neu-reg</t>
        </is>
      </c>
      <c r="I149" s="23" t="n">
        <v>380</v>
      </c>
      <c r="J149" s="23" t="n">
        <v>140</v>
      </c>
      <c r="K149" s="24">
        <f>I149+J149</f>
        <v/>
      </c>
      <c r="L149" s="24">
        <f>K149-I149</f>
        <v/>
      </c>
      <c r="M149" s="33" t="inlineStr">
        <is>
          <t>Restricted</t>
        </is>
      </c>
      <c r="N149" s="32" t="inlineStr">
        <is>
          <t>Restricted — explicit Prod region only</t>
        </is>
      </c>
    </row>
    <row r="150">
      <c r="A150" s="32" t="inlineStr">
        <is>
          <t>North Europe</t>
        </is>
      </c>
      <c r="B150" s="32" t="inlineStr">
        <is>
          <t>northeurope</t>
        </is>
      </c>
      <c r="C150" s="33" t="inlineStr">
        <is>
          <t>EU</t>
        </is>
      </c>
      <c r="D150" s="33" t="inlineStr">
        <is>
          <t>Prod</t>
        </is>
      </c>
      <c r="E150" s="32" t="inlineStr">
        <is>
          <t>Standard_E64ads_v5</t>
        </is>
      </c>
      <c r="F150" s="33" t="inlineStr">
        <is>
          <t>Eadsv5</t>
        </is>
      </c>
      <c r="G150" s="34" t="n">
        <v>64</v>
      </c>
      <c r="H150" s="32" t="inlineStr">
        <is>
          <t>crg-pr-neu-reg</t>
        </is>
      </c>
      <c r="I150" s="23" t="n">
        <v>760</v>
      </c>
      <c r="J150" s="23" t="n">
        <v>280</v>
      </c>
      <c r="K150" s="24">
        <f>I150+J150</f>
        <v/>
      </c>
      <c r="L150" s="24">
        <f>K150-I150</f>
        <v/>
      </c>
      <c r="M150" s="33" t="inlineStr">
        <is>
          <t>Restricted</t>
        </is>
      </c>
      <c r="N150" s="32" t="inlineStr">
        <is>
          <t>Restricted — explicit Prod region only</t>
        </is>
      </c>
    </row>
    <row r="151">
      <c r="A151" s="32" t="inlineStr">
        <is>
          <t>North Europe</t>
        </is>
      </c>
      <c r="B151" s="32" t="inlineStr">
        <is>
          <t>northeurope</t>
        </is>
      </c>
      <c r="C151" s="33" t="inlineStr">
        <is>
          <t>EU</t>
        </is>
      </c>
      <c r="D151" s="33" t="inlineStr">
        <is>
          <t>Prod</t>
        </is>
      </c>
      <c r="E151" s="32" t="inlineStr">
        <is>
          <t>Standard_E16ads_v5</t>
        </is>
      </c>
      <c r="F151" s="33" t="inlineStr">
        <is>
          <t>Eadsv5</t>
        </is>
      </c>
      <c r="G151" s="34" t="n">
        <v>16</v>
      </c>
      <c r="H151" s="32" t="inlineStr">
        <is>
          <t>crg-pr-neu-reg</t>
        </is>
      </c>
      <c r="I151" s="23" t="n">
        <v>190</v>
      </c>
      <c r="J151" s="23" t="n">
        <v>70</v>
      </c>
      <c r="K151" s="24">
        <f>I151+J151</f>
        <v/>
      </c>
      <c r="L151" s="24">
        <f>K151-I151</f>
        <v/>
      </c>
      <c r="M151" s="33" t="inlineStr">
        <is>
          <t>Restricted</t>
        </is>
      </c>
      <c r="N151" s="32" t="inlineStr">
        <is>
          <t>Restricted — explicit Prod region only</t>
        </is>
      </c>
    </row>
    <row r="152">
      <c r="A152" s="32" t="inlineStr">
        <is>
          <t>North Europe</t>
        </is>
      </c>
      <c r="B152" s="32" t="inlineStr">
        <is>
          <t>northeurope</t>
        </is>
      </c>
      <c r="C152" s="33" t="inlineStr">
        <is>
          <t>EU</t>
        </is>
      </c>
      <c r="D152" s="33" t="inlineStr">
        <is>
          <t>Prod</t>
        </is>
      </c>
      <c r="E152" s="32" t="inlineStr">
        <is>
          <t>Standard_E32ads_v6</t>
        </is>
      </c>
      <c r="F152" s="33" t="inlineStr">
        <is>
          <t>Eadsv6</t>
        </is>
      </c>
      <c r="G152" s="34" t="n">
        <v>32</v>
      </c>
      <c r="H152" s="32" t="inlineStr">
        <is>
          <t>crg-pr-neu-reg</t>
        </is>
      </c>
      <c r="I152" s="23" t="n">
        <v>380</v>
      </c>
      <c r="J152" s="23" t="n">
        <v>140</v>
      </c>
      <c r="K152" s="24">
        <f>I152+J152</f>
        <v/>
      </c>
      <c r="L152" s="24">
        <f>K152-I152</f>
        <v/>
      </c>
      <c r="M152" s="33" t="inlineStr">
        <is>
          <t>Restricted</t>
        </is>
      </c>
      <c r="N152" s="32" t="inlineStr">
        <is>
          <t>Restricted — explicit Prod region only</t>
        </is>
      </c>
    </row>
    <row r="153">
      <c r="A153" s="32" t="inlineStr">
        <is>
          <t>North Europe</t>
        </is>
      </c>
      <c r="B153" s="32" t="inlineStr">
        <is>
          <t>northeurope</t>
        </is>
      </c>
      <c r="C153" s="33" t="inlineStr">
        <is>
          <t>EU</t>
        </is>
      </c>
      <c r="D153" s="33" t="inlineStr">
        <is>
          <t>Prod</t>
        </is>
      </c>
      <c r="E153" s="32" t="inlineStr">
        <is>
          <t>Standard_D8ads_v5</t>
        </is>
      </c>
      <c r="F153" s="33" t="inlineStr">
        <is>
          <t>Dadsv5</t>
        </is>
      </c>
      <c r="G153" s="34" t="n">
        <v>8</v>
      </c>
      <c r="H153" s="32" t="inlineStr">
        <is>
          <t>crg-pr-neu-reg</t>
        </is>
      </c>
      <c r="I153" s="23" t="n">
        <v>95</v>
      </c>
      <c r="J153" s="23" t="n">
        <v>35</v>
      </c>
      <c r="K153" s="24">
        <f>I153+J153</f>
        <v/>
      </c>
      <c r="L153" s="24">
        <f>K153-I153</f>
        <v/>
      </c>
      <c r="M153" s="33" t="inlineStr">
        <is>
          <t>Restricted</t>
        </is>
      </c>
      <c r="N153" s="32" t="inlineStr">
        <is>
          <t>Restricted — explicit Prod region only</t>
        </is>
      </c>
    </row>
    <row r="154">
      <c r="A154" s="32" t="inlineStr">
        <is>
          <t>North Europe</t>
        </is>
      </c>
      <c r="B154" s="32" t="inlineStr">
        <is>
          <t>northeurope</t>
        </is>
      </c>
      <c r="C154" s="33" t="inlineStr">
        <is>
          <t>EU</t>
        </is>
      </c>
      <c r="D154" s="33" t="inlineStr">
        <is>
          <t>Prod</t>
        </is>
      </c>
      <c r="E154" s="32" t="inlineStr">
        <is>
          <t>Standard_D16ads_v5</t>
        </is>
      </c>
      <c r="F154" s="33" t="inlineStr">
        <is>
          <t>Dadsv5</t>
        </is>
      </c>
      <c r="G154" s="34" t="n">
        <v>16</v>
      </c>
      <c r="H154" s="32" t="inlineStr">
        <is>
          <t>crg-pr-neu-reg</t>
        </is>
      </c>
      <c r="I154" s="23" t="n">
        <v>190</v>
      </c>
      <c r="J154" s="23" t="n">
        <v>70</v>
      </c>
      <c r="K154" s="24">
        <f>I154+J154</f>
        <v/>
      </c>
      <c r="L154" s="24">
        <f>K154-I154</f>
        <v/>
      </c>
      <c r="M154" s="33" t="inlineStr">
        <is>
          <t>Restricted</t>
        </is>
      </c>
      <c r="N154" s="32" t="inlineStr">
        <is>
          <t>Restricted — explicit Prod region only</t>
        </is>
      </c>
    </row>
    <row r="155">
      <c r="A155" s="32" t="inlineStr">
        <is>
          <t>North Europe</t>
        </is>
      </c>
      <c r="B155" s="32" t="inlineStr">
        <is>
          <t>northeurope</t>
        </is>
      </c>
      <c r="C155" s="33" t="inlineStr">
        <is>
          <t>EU</t>
        </is>
      </c>
      <c r="D155" s="33" t="inlineStr">
        <is>
          <t>Prod</t>
        </is>
      </c>
      <c r="E155" s="32" t="inlineStr">
        <is>
          <t>Standard_D8as_v5</t>
        </is>
      </c>
      <c r="F155" s="33" t="inlineStr">
        <is>
          <t>Dasv5</t>
        </is>
      </c>
      <c r="G155" s="34" t="n">
        <v>8</v>
      </c>
      <c r="H155" s="32" t="inlineStr">
        <is>
          <t>crg-pr-neu-reg</t>
        </is>
      </c>
      <c r="I155" s="23" t="n">
        <v>95</v>
      </c>
      <c r="J155" s="23" t="n">
        <v>35</v>
      </c>
      <c r="K155" s="24">
        <f>I155+J155</f>
        <v/>
      </c>
      <c r="L155" s="24">
        <f>K155-I155</f>
        <v/>
      </c>
      <c r="M155" s="33" t="inlineStr">
        <is>
          <t>Restricted</t>
        </is>
      </c>
      <c r="N155" s="32" t="inlineStr">
        <is>
          <t>Restricted — explicit Prod region only</t>
        </is>
      </c>
    </row>
    <row r="156">
      <c r="A156" s="32" t="inlineStr">
        <is>
          <t>North Europe</t>
        </is>
      </c>
      <c r="B156" s="32" t="inlineStr">
        <is>
          <t>northeurope</t>
        </is>
      </c>
      <c r="C156" s="33" t="inlineStr">
        <is>
          <t>EU</t>
        </is>
      </c>
      <c r="D156" s="33" t="inlineStr">
        <is>
          <t>Prod</t>
        </is>
      </c>
      <c r="E156" s="32" t="inlineStr">
        <is>
          <t>Standard_D16as_v5</t>
        </is>
      </c>
      <c r="F156" s="33" t="inlineStr">
        <is>
          <t>Dasv5</t>
        </is>
      </c>
      <c r="G156" s="34" t="n">
        <v>16</v>
      </c>
      <c r="H156" s="32" t="inlineStr">
        <is>
          <t>crg-pr-neu-reg</t>
        </is>
      </c>
      <c r="I156" s="23" t="n">
        <v>190</v>
      </c>
      <c r="J156" s="23" t="n">
        <v>70</v>
      </c>
      <c r="K156" s="24">
        <f>I156+J156</f>
        <v/>
      </c>
      <c r="L156" s="24">
        <f>K156-I156</f>
        <v/>
      </c>
      <c r="M156" s="33" t="inlineStr">
        <is>
          <t>Restricted</t>
        </is>
      </c>
      <c r="N156" s="32" t="inlineStr">
        <is>
          <t>Restricted — explicit Prod region only</t>
        </is>
      </c>
    </row>
    <row r="157">
      <c r="A157" s="32" t="inlineStr">
        <is>
          <t>North Europe</t>
        </is>
      </c>
      <c r="B157" s="32" t="inlineStr">
        <is>
          <t>northeurope</t>
        </is>
      </c>
      <c r="C157" s="33" t="inlineStr">
        <is>
          <t>EU</t>
        </is>
      </c>
      <c r="D157" s="33" t="inlineStr">
        <is>
          <t>NonProd</t>
        </is>
      </c>
      <c r="E157" s="32" t="inlineStr">
        <is>
          <t>Standard_E32ads_v5</t>
        </is>
      </c>
      <c r="F157" s="33" t="inlineStr">
        <is>
          <t>Eadsv5</t>
        </is>
      </c>
      <c r="G157" s="34" t="n">
        <v>32</v>
      </c>
      <c r="H157" s="32" t="inlineStr">
        <is>
          <t>crg-np-neu-reg</t>
        </is>
      </c>
      <c r="I157" s="23" t="n">
        <v>200</v>
      </c>
      <c r="J157" s="23" t="n">
        <v>160</v>
      </c>
      <c r="K157" s="24">
        <f>I157+J157</f>
        <v/>
      </c>
      <c r="L157" s="24">
        <f>K157-I157</f>
        <v/>
      </c>
      <c r="M157" s="33" t="inlineStr">
        <is>
          <t>Restricted</t>
        </is>
      </c>
      <c r="N157" s="32" t="inlineStr">
        <is>
          <t>Restricted — explicit Prod region only</t>
        </is>
      </c>
    </row>
    <row r="158">
      <c r="A158" s="32" t="inlineStr">
        <is>
          <t>North Europe</t>
        </is>
      </c>
      <c r="B158" s="32" t="inlineStr">
        <is>
          <t>northeurope</t>
        </is>
      </c>
      <c r="C158" s="33" t="inlineStr">
        <is>
          <t>EU</t>
        </is>
      </c>
      <c r="D158" s="33" t="inlineStr">
        <is>
          <t>NonProd</t>
        </is>
      </c>
      <c r="E158" s="32" t="inlineStr">
        <is>
          <t>Standard_E64ads_v5</t>
        </is>
      </c>
      <c r="F158" s="33" t="inlineStr">
        <is>
          <t>Eadsv5</t>
        </is>
      </c>
      <c r="G158" s="34" t="n">
        <v>64</v>
      </c>
      <c r="H158" s="32" t="inlineStr">
        <is>
          <t>crg-np-neu-reg</t>
        </is>
      </c>
      <c r="I158" s="23" t="n">
        <v>400</v>
      </c>
      <c r="J158" s="23" t="n">
        <v>320</v>
      </c>
      <c r="K158" s="24">
        <f>I158+J158</f>
        <v/>
      </c>
      <c r="L158" s="24">
        <f>K158-I158</f>
        <v/>
      </c>
      <c r="M158" s="33" t="inlineStr">
        <is>
          <t>Restricted</t>
        </is>
      </c>
      <c r="N158" s="32" t="inlineStr">
        <is>
          <t>Restricted — explicit Prod region only</t>
        </is>
      </c>
    </row>
    <row r="159">
      <c r="A159" s="32" t="inlineStr">
        <is>
          <t>North Europe</t>
        </is>
      </c>
      <c r="B159" s="32" t="inlineStr">
        <is>
          <t>northeurope</t>
        </is>
      </c>
      <c r="C159" s="33" t="inlineStr">
        <is>
          <t>EU</t>
        </is>
      </c>
      <c r="D159" s="33" t="inlineStr">
        <is>
          <t>NonProd</t>
        </is>
      </c>
      <c r="E159" s="32" t="inlineStr">
        <is>
          <t>Standard_E16ads_v5</t>
        </is>
      </c>
      <c r="F159" s="33" t="inlineStr">
        <is>
          <t>Eadsv5</t>
        </is>
      </c>
      <c r="G159" s="34" t="n">
        <v>16</v>
      </c>
      <c r="H159" s="32" t="inlineStr">
        <is>
          <t>crg-np-neu-reg</t>
        </is>
      </c>
      <c r="I159" s="23" t="n">
        <v>100</v>
      </c>
      <c r="J159" s="23" t="n">
        <v>80</v>
      </c>
      <c r="K159" s="24">
        <f>I159+J159</f>
        <v/>
      </c>
      <c r="L159" s="24">
        <f>K159-I159</f>
        <v/>
      </c>
      <c r="M159" s="33" t="inlineStr">
        <is>
          <t>Restricted</t>
        </is>
      </c>
      <c r="N159" s="32" t="inlineStr">
        <is>
          <t>Restricted — explicit Prod region only</t>
        </is>
      </c>
    </row>
    <row r="160">
      <c r="A160" s="32" t="inlineStr">
        <is>
          <t>North Europe</t>
        </is>
      </c>
      <c r="B160" s="32" t="inlineStr">
        <is>
          <t>northeurope</t>
        </is>
      </c>
      <c r="C160" s="33" t="inlineStr">
        <is>
          <t>EU</t>
        </is>
      </c>
      <c r="D160" s="33" t="inlineStr">
        <is>
          <t>NonProd</t>
        </is>
      </c>
      <c r="E160" s="32" t="inlineStr">
        <is>
          <t>Standard_E32ads_v6</t>
        </is>
      </c>
      <c r="F160" s="33" t="inlineStr">
        <is>
          <t>Eadsv6</t>
        </is>
      </c>
      <c r="G160" s="34" t="n">
        <v>32</v>
      </c>
      <c r="H160" s="32" t="inlineStr">
        <is>
          <t>crg-np-neu-reg</t>
        </is>
      </c>
      <c r="I160" s="23" t="n">
        <v>200</v>
      </c>
      <c r="J160" s="23" t="n">
        <v>160</v>
      </c>
      <c r="K160" s="24">
        <f>I160+J160</f>
        <v/>
      </c>
      <c r="L160" s="24">
        <f>K160-I160</f>
        <v/>
      </c>
      <c r="M160" s="33" t="inlineStr">
        <is>
          <t>Restricted</t>
        </is>
      </c>
      <c r="N160" s="32" t="inlineStr">
        <is>
          <t>Restricted — explicit Prod region only</t>
        </is>
      </c>
    </row>
    <row r="161">
      <c r="A161" s="32" t="inlineStr">
        <is>
          <t>North Europe</t>
        </is>
      </c>
      <c r="B161" s="32" t="inlineStr">
        <is>
          <t>northeurope</t>
        </is>
      </c>
      <c r="C161" s="33" t="inlineStr">
        <is>
          <t>EU</t>
        </is>
      </c>
      <c r="D161" s="33" t="inlineStr">
        <is>
          <t>NonProd</t>
        </is>
      </c>
      <c r="E161" s="32" t="inlineStr">
        <is>
          <t>Standard_D8ads_v5</t>
        </is>
      </c>
      <c r="F161" s="33" t="inlineStr">
        <is>
          <t>Dadsv5</t>
        </is>
      </c>
      <c r="G161" s="34" t="n">
        <v>8</v>
      </c>
      <c r="H161" s="32" t="inlineStr">
        <is>
          <t>crg-np-neu-reg</t>
        </is>
      </c>
      <c r="I161" s="23" t="n">
        <v>50</v>
      </c>
      <c r="J161" s="23" t="n">
        <v>40</v>
      </c>
      <c r="K161" s="24">
        <f>I161+J161</f>
        <v/>
      </c>
      <c r="L161" s="24">
        <f>K161-I161</f>
        <v/>
      </c>
      <c r="M161" s="33" t="inlineStr">
        <is>
          <t>Restricted</t>
        </is>
      </c>
      <c r="N161" s="32" t="inlineStr">
        <is>
          <t>Restricted — explicit Prod region only</t>
        </is>
      </c>
    </row>
    <row r="162">
      <c r="A162" s="32" t="inlineStr">
        <is>
          <t>North Europe</t>
        </is>
      </c>
      <c r="B162" s="32" t="inlineStr">
        <is>
          <t>northeurope</t>
        </is>
      </c>
      <c r="C162" s="33" t="inlineStr">
        <is>
          <t>EU</t>
        </is>
      </c>
      <c r="D162" s="33" t="inlineStr">
        <is>
          <t>NonProd</t>
        </is>
      </c>
      <c r="E162" s="32" t="inlineStr">
        <is>
          <t>Standard_D16ads_v5</t>
        </is>
      </c>
      <c r="F162" s="33" t="inlineStr">
        <is>
          <t>Dadsv5</t>
        </is>
      </c>
      <c r="G162" s="34" t="n">
        <v>16</v>
      </c>
      <c r="H162" s="32" t="inlineStr">
        <is>
          <t>crg-np-neu-reg</t>
        </is>
      </c>
      <c r="I162" s="23" t="n">
        <v>100</v>
      </c>
      <c r="J162" s="23" t="n">
        <v>80</v>
      </c>
      <c r="K162" s="24">
        <f>I162+J162</f>
        <v/>
      </c>
      <c r="L162" s="24">
        <f>K162-I162</f>
        <v/>
      </c>
      <c r="M162" s="33" t="inlineStr">
        <is>
          <t>Restricted</t>
        </is>
      </c>
      <c r="N162" s="32" t="inlineStr">
        <is>
          <t>Restricted — explicit Prod region only</t>
        </is>
      </c>
    </row>
    <row r="163">
      <c r="A163" s="32" t="inlineStr">
        <is>
          <t>North Europe</t>
        </is>
      </c>
      <c r="B163" s="32" t="inlineStr">
        <is>
          <t>northeurope</t>
        </is>
      </c>
      <c r="C163" s="33" t="inlineStr">
        <is>
          <t>EU</t>
        </is>
      </c>
      <c r="D163" s="33" t="inlineStr">
        <is>
          <t>NonProd</t>
        </is>
      </c>
      <c r="E163" s="32" t="inlineStr">
        <is>
          <t>Standard_D8as_v5</t>
        </is>
      </c>
      <c r="F163" s="33" t="inlineStr">
        <is>
          <t>Dasv5</t>
        </is>
      </c>
      <c r="G163" s="34" t="n">
        <v>8</v>
      </c>
      <c r="H163" s="32" t="inlineStr">
        <is>
          <t>crg-np-neu-reg</t>
        </is>
      </c>
      <c r="I163" s="23" t="n">
        <v>50</v>
      </c>
      <c r="J163" s="23" t="n">
        <v>40</v>
      </c>
      <c r="K163" s="24">
        <f>I163+J163</f>
        <v/>
      </c>
      <c r="L163" s="24">
        <f>K163-I163</f>
        <v/>
      </c>
      <c r="M163" s="33" t="inlineStr">
        <is>
          <t>Restricted</t>
        </is>
      </c>
      <c r="N163" s="32" t="inlineStr">
        <is>
          <t>Restricted — explicit Prod region only</t>
        </is>
      </c>
    </row>
    <row r="164">
      <c r="A164" s="32" t="inlineStr">
        <is>
          <t>North Europe</t>
        </is>
      </c>
      <c r="B164" s="32" t="inlineStr">
        <is>
          <t>northeurope</t>
        </is>
      </c>
      <c r="C164" s="33" t="inlineStr">
        <is>
          <t>EU</t>
        </is>
      </c>
      <c r="D164" s="33" t="inlineStr">
        <is>
          <t>NonProd</t>
        </is>
      </c>
      <c r="E164" s="32" t="inlineStr">
        <is>
          <t>Standard_D16as_v5</t>
        </is>
      </c>
      <c r="F164" s="33" t="inlineStr">
        <is>
          <t>Dasv5</t>
        </is>
      </c>
      <c r="G164" s="34" t="n">
        <v>16</v>
      </c>
      <c r="H164" s="32" t="inlineStr">
        <is>
          <t>crg-np-neu-reg</t>
        </is>
      </c>
      <c r="I164" s="23" t="n">
        <v>100</v>
      </c>
      <c r="J164" s="23" t="n">
        <v>80</v>
      </c>
      <c r="K164" s="24">
        <f>I164+J164</f>
        <v/>
      </c>
      <c r="L164" s="24">
        <f>K164-I164</f>
        <v/>
      </c>
      <c r="M164" s="33" t="inlineStr">
        <is>
          <t>Restricted</t>
        </is>
      </c>
      <c r="N164" s="32" t="inlineStr">
        <is>
          <t>Restricted — explicit Prod region only</t>
        </is>
      </c>
    </row>
    <row r="165">
      <c r="A165" s="32" t="inlineStr">
        <is>
          <t>North Europe</t>
        </is>
      </c>
      <c r="B165" s="32" t="inlineStr">
        <is>
          <t>northeurope</t>
        </is>
      </c>
      <c r="C165" s="33" t="inlineStr">
        <is>
          <t>EU</t>
        </is>
      </c>
      <c r="D165" s="33" t="inlineStr">
        <is>
          <t>DR</t>
        </is>
      </c>
      <c r="E165" s="32" t="inlineStr">
        <is>
          <t>Standard_E32ads_v5</t>
        </is>
      </c>
      <c r="F165" s="33" t="inlineStr">
        <is>
          <t>Eadsv5</t>
        </is>
      </c>
      <c r="G165" s="34" t="n">
        <v>32</v>
      </c>
      <c r="H165" s="32" t="inlineStr">
        <is>
          <t>crg-dr-neu-reg</t>
        </is>
      </c>
      <c r="I165" s="23" t="n">
        <v>30</v>
      </c>
      <c r="J165" s="23" t="n">
        <v>40</v>
      </c>
      <c r="K165" s="24">
        <f>I165+J165</f>
        <v/>
      </c>
      <c r="L165" s="24">
        <f>K165-I165</f>
        <v/>
      </c>
      <c r="M165" s="33" t="inlineStr">
        <is>
          <t>Restricted</t>
        </is>
      </c>
      <c r="N165" s="32" t="inlineStr">
        <is>
          <t>Restricted — explicit Prod region only</t>
        </is>
      </c>
    </row>
    <row r="166">
      <c r="A166" s="32" t="inlineStr">
        <is>
          <t>North Europe</t>
        </is>
      </c>
      <c r="B166" s="32" t="inlineStr">
        <is>
          <t>northeurope</t>
        </is>
      </c>
      <c r="C166" s="33" t="inlineStr">
        <is>
          <t>EU</t>
        </is>
      </c>
      <c r="D166" s="33" t="inlineStr">
        <is>
          <t>DR</t>
        </is>
      </c>
      <c r="E166" s="32" t="inlineStr">
        <is>
          <t>Standard_E64ads_v5</t>
        </is>
      </c>
      <c r="F166" s="33" t="inlineStr">
        <is>
          <t>Eadsv5</t>
        </is>
      </c>
      <c r="G166" s="34" t="n">
        <v>64</v>
      </c>
      <c r="H166" s="32" t="inlineStr">
        <is>
          <t>crg-dr-neu-reg</t>
        </is>
      </c>
      <c r="I166" s="23" t="n">
        <v>60</v>
      </c>
      <c r="J166" s="23" t="n">
        <v>80</v>
      </c>
      <c r="K166" s="24">
        <f>I166+J166</f>
        <v/>
      </c>
      <c r="L166" s="24">
        <f>K166-I166</f>
        <v/>
      </c>
      <c r="M166" s="33" t="inlineStr">
        <is>
          <t>Restricted</t>
        </is>
      </c>
      <c r="N166" s="32" t="inlineStr">
        <is>
          <t>Restricted — explicit Prod region only</t>
        </is>
      </c>
    </row>
    <row r="167">
      <c r="A167" s="32" t="inlineStr">
        <is>
          <t>North Europe</t>
        </is>
      </c>
      <c r="B167" s="32" t="inlineStr">
        <is>
          <t>northeurope</t>
        </is>
      </c>
      <c r="C167" s="33" t="inlineStr">
        <is>
          <t>EU</t>
        </is>
      </c>
      <c r="D167" s="33" t="inlineStr">
        <is>
          <t>DR</t>
        </is>
      </c>
      <c r="E167" s="32" t="inlineStr">
        <is>
          <t>Standard_E16ads_v5</t>
        </is>
      </c>
      <c r="F167" s="33" t="inlineStr">
        <is>
          <t>Eadsv5</t>
        </is>
      </c>
      <c r="G167" s="34" t="n">
        <v>16</v>
      </c>
      <c r="H167" s="32" t="inlineStr">
        <is>
          <t>crg-dr-neu-reg</t>
        </is>
      </c>
      <c r="I167" s="23" t="n">
        <v>15</v>
      </c>
      <c r="J167" s="23" t="n">
        <v>20</v>
      </c>
      <c r="K167" s="24">
        <f>I167+J167</f>
        <v/>
      </c>
      <c r="L167" s="24">
        <f>K167-I167</f>
        <v/>
      </c>
      <c r="M167" s="33" t="inlineStr">
        <is>
          <t>Restricted</t>
        </is>
      </c>
      <c r="N167" s="32" t="inlineStr">
        <is>
          <t>Restricted — explicit Prod region only</t>
        </is>
      </c>
    </row>
    <row r="168">
      <c r="A168" s="32" t="inlineStr">
        <is>
          <t>North Europe</t>
        </is>
      </c>
      <c r="B168" s="32" t="inlineStr">
        <is>
          <t>northeurope</t>
        </is>
      </c>
      <c r="C168" s="33" t="inlineStr">
        <is>
          <t>EU</t>
        </is>
      </c>
      <c r="D168" s="33" t="inlineStr">
        <is>
          <t>DR</t>
        </is>
      </c>
      <c r="E168" s="32" t="inlineStr">
        <is>
          <t>Standard_E32ads_v6</t>
        </is>
      </c>
      <c r="F168" s="33" t="inlineStr">
        <is>
          <t>Eadsv6</t>
        </is>
      </c>
      <c r="G168" s="34" t="n">
        <v>32</v>
      </c>
      <c r="H168" s="32" t="inlineStr">
        <is>
          <t>crg-dr-neu-reg</t>
        </is>
      </c>
      <c r="I168" s="23" t="n">
        <v>30</v>
      </c>
      <c r="J168" s="23" t="n">
        <v>40</v>
      </c>
      <c r="K168" s="24">
        <f>I168+J168</f>
        <v/>
      </c>
      <c r="L168" s="24">
        <f>K168-I168</f>
        <v/>
      </c>
      <c r="M168" s="33" t="inlineStr">
        <is>
          <t>Restricted</t>
        </is>
      </c>
      <c r="N168" s="32" t="inlineStr">
        <is>
          <t>Restricted — explicit Prod region only</t>
        </is>
      </c>
    </row>
    <row r="169">
      <c r="A169" s="32" t="inlineStr">
        <is>
          <t>North Europe</t>
        </is>
      </c>
      <c r="B169" s="32" t="inlineStr">
        <is>
          <t>northeurope</t>
        </is>
      </c>
      <c r="C169" s="33" t="inlineStr">
        <is>
          <t>EU</t>
        </is>
      </c>
      <c r="D169" s="33" t="inlineStr">
        <is>
          <t>DR</t>
        </is>
      </c>
      <c r="E169" s="32" t="inlineStr">
        <is>
          <t>Standard_D8ads_v5</t>
        </is>
      </c>
      <c r="F169" s="33" t="inlineStr">
        <is>
          <t>Dadsv5</t>
        </is>
      </c>
      <c r="G169" s="34" t="n">
        <v>8</v>
      </c>
      <c r="H169" s="32" t="inlineStr">
        <is>
          <t>crg-dr-neu-reg</t>
        </is>
      </c>
      <c r="I169" s="23" t="n">
        <v>8</v>
      </c>
      <c r="J169" s="23" t="n">
        <v>10</v>
      </c>
      <c r="K169" s="24">
        <f>I169+J169</f>
        <v/>
      </c>
      <c r="L169" s="24">
        <f>K169-I169</f>
        <v/>
      </c>
      <c r="M169" s="33" t="inlineStr">
        <is>
          <t>Restricted</t>
        </is>
      </c>
      <c r="N169" s="32" t="inlineStr">
        <is>
          <t>Restricted — explicit Prod region only</t>
        </is>
      </c>
    </row>
    <row r="170">
      <c r="A170" s="32" t="inlineStr">
        <is>
          <t>North Europe</t>
        </is>
      </c>
      <c r="B170" s="32" t="inlineStr">
        <is>
          <t>northeurope</t>
        </is>
      </c>
      <c r="C170" s="33" t="inlineStr">
        <is>
          <t>EU</t>
        </is>
      </c>
      <c r="D170" s="33" t="inlineStr">
        <is>
          <t>DR</t>
        </is>
      </c>
      <c r="E170" s="32" t="inlineStr">
        <is>
          <t>Standard_D16ads_v5</t>
        </is>
      </c>
      <c r="F170" s="33" t="inlineStr">
        <is>
          <t>Dadsv5</t>
        </is>
      </c>
      <c r="G170" s="34" t="n">
        <v>16</v>
      </c>
      <c r="H170" s="32" t="inlineStr">
        <is>
          <t>crg-dr-neu-reg</t>
        </is>
      </c>
      <c r="I170" s="23" t="n">
        <v>15</v>
      </c>
      <c r="J170" s="23" t="n">
        <v>20</v>
      </c>
      <c r="K170" s="24">
        <f>I170+J170</f>
        <v/>
      </c>
      <c r="L170" s="24">
        <f>K170-I170</f>
        <v/>
      </c>
      <c r="M170" s="33" t="inlineStr">
        <is>
          <t>Restricted</t>
        </is>
      </c>
      <c r="N170" s="32" t="inlineStr">
        <is>
          <t>Restricted — explicit Prod region only</t>
        </is>
      </c>
    </row>
    <row r="171">
      <c r="A171" s="32" t="inlineStr">
        <is>
          <t>North Europe</t>
        </is>
      </c>
      <c r="B171" s="32" t="inlineStr">
        <is>
          <t>northeurope</t>
        </is>
      </c>
      <c r="C171" s="33" t="inlineStr">
        <is>
          <t>EU</t>
        </is>
      </c>
      <c r="D171" s="33" t="inlineStr">
        <is>
          <t>DR</t>
        </is>
      </c>
      <c r="E171" s="32" t="inlineStr">
        <is>
          <t>Standard_D8as_v5</t>
        </is>
      </c>
      <c r="F171" s="33" t="inlineStr">
        <is>
          <t>Dasv5</t>
        </is>
      </c>
      <c r="G171" s="34" t="n">
        <v>8</v>
      </c>
      <c r="H171" s="32" t="inlineStr">
        <is>
          <t>crg-dr-neu-reg</t>
        </is>
      </c>
      <c r="I171" s="23" t="n">
        <v>8</v>
      </c>
      <c r="J171" s="23" t="n">
        <v>10</v>
      </c>
      <c r="K171" s="24">
        <f>I171+J171</f>
        <v/>
      </c>
      <c r="L171" s="24">
        <f>K171-I171</f>
        <v/>
      </c>
      <c r="M171" s="33" t="inlineStr">
        <is>
          <t>Restricted</t>
        </is>
      </c>
      <c r="N171" s="32" t="inlineStr">
        <is>
          <t>Restricted — explicit Prod region only</t>
        </is>
      </c>
    </row>
    <row r="172">
      <c r="A172" s="32" t="inlineStr">
        <is>
          <t>North Europe</t>
        </is>
      </c>
      <c r="B172" s="32" t="inlineStr">
        <is>
          <t>northeurope</t>
        </is>
      </c>
      <c r="C172" s="33" t="inlineStr">
        <is>
          <t>EU</t>
        </is>
      </c>
      <c r="D172" s="33" t="inlineStr">
        <is>
          <t>DR</t>
        </is>
      </c>
      <c r="E172" s="32" t="inlineStr">
        <is>
          <t>Standard_D16as_v5</t>
        </is>
      </c>
      <c r="F172" s="33" t="inlineStr">
        <is>
          <t>Dasv5</t>
        </is>
      </c>
      <c r="G172" s="34" t="n">
        <v>16</v>
      </c>
      <c r="H172" s="32" t="inlineStr">
        <is>
          <t>crg-dr-neu-reg</t>
        </is>
      </c>
      <c r="I172" s="23" t="n">
        <v>15</v>
      </c>
      <c r="J172" s="23" t="n">
        <v>20</v>
      </c>
      <c r="K172" s="24">
        <f>I172+J172</f>
        <v/>
      </c>
      <c r="L172" s="24">
        <f>K172-I172</f>
        <v/>
      </c>
      <c r="M172" s="33" t="inlineStr">
        <is>
          <t>Restricted</t>
        </is>
      </c>
      <c r="N172" s="32" t="inlineStr">
        <is>
          <t>Restricted — explicit Prod region only</t>
        </is>
      </c>
    </row>
    <row r="173">
      <c r="A173" s="32" t="inlineStr">
        <is>
          <t>West Europe</t>
        </is>
      </c>
      <c r="B173" s="32" t="inlineStr">
        <is>
          <t>westeurope</t>
        </is>
      </c>
      <c r="C173" s="33" t="inlineStr">
        <is>
          <t>EU</t>
        </is>
      </c>
      <c r="D173" s="33" t="inlineStr">
        <is>
          <t>Prod</t>
        </is>
      </c>
      <c r="E173" s="32" t="inlineStr">
        <is>
          <t>Standard_E32ads_v5</t>
        </is>
      </c>
      <c r="F173" s="33" t="inlineStr">
        <is>
          <t>Eadsv5</t>
        </is>
      </c>
      <c r="G173" s="34" t="n">
        <v>32</v>
      </c>
      <c r="H173" s="32" t="inlineStr">
        <is>
          <t>crg-pr-weu-reg</t>
        </is>
      </c>
      <c r="I173" s="23" t="n">
        <v>460</v>
      </c>
      <c r="J173" s="23" t="n">
        <v>150</v>
      </c>
      <c r="K173" s="24">
        <f>I173+J173</f>
        <v/>
      </c>
      <c r="L173" s="24">
        <f>K173-I173</f>
        <v/>
      </c>
      <c r="M173" s="33" t="inlineStr">
        <is>
          <t>Restricted</t>
        </is>
      </c>
      <c r="N173" s="32" t="inlineStr">
        <is>
          <t>Restricted — explicit Prod region only</t>
        </is>
      </c>
    </row>
    <row r="174">
      <c r="A174" s="32" t="inlineStr">
        <is>
          <t>West Europe</t>
        </is>
      </c>
      <c r="B174" s="32" t="inlineStr">
        <is>
          <t>westeurope</t>
        </is>
      </c>
      <c r="C174" s="33" t="inlineStr">
        <is>
          <t>EU</t>
        </is>
      </c>
      <c r="D174" s="33" t="inlineStr">
        <is>
          <t>Prod</t>
        </is>
      </c>
      <c r="E174" s="32" t="inlineStr">
        <is>
          <t>Standard_E64ads_v5</t>
        </is>
      </c>
      <c r="F174" s="33" t="inlineStr">
        <is>
          <t>Eadsv5</t>
        </is>
      </c>
      <c r="G174" s="34" t="n">
        <v>64</v>
      </c>
      <c r="H174" s="32" t="inlineStr">
        <is>
          <t>crg-pr-weu-reg</t>
        </is>
      </c>
      <c r="I174" s="23" t="n">
        <v>920</v>
      </c>
      <c r="J174" s="23" t="n">
        <v>300</v>
      </c>
      <c r="K174" s="24">
        <f>I174+J174</f>
        <v/>
      </c>
      <c r="L174" s="24">
        <f>K174-I174</f>
        <v/>
      </c>
      <c r="M174" s="33" t="inlineStr">
        <is>
          <t>Restricted</t>
        </is>
      </c>
      <c r="N174" s="32" t="inlineStr">
        <is>
          <t>Restricted — explicit Prod region only</t>
        </is>
      </c>
    </row>
    <row r="175">
      <c r="A175" s="32" t="inlineStr">
        <is>
          <t>West Europe</t>
        </is>
      </c>
      <c r="B175" s="32" t="inlineStr">
        <is>
          <t>westeurope</t>
        </is>
      </c>
      <c r="C175" s="33" t="inlineStr">
        <is>
          <t>EU</t>
        </is>
      </c>
      <c r="D175" s="33" t="inlineStr">
        <is>
          <t>Prod</t>
        </is>
      </c>
      <c r="E175" s="32" t="inlineStr">
        <is>
          <t>Standard_E16ads_v5</t>
        </is>
      </c>
      <c r="F175" s="33" t="inlineStr">
        <is>
          <t>Eadsv5</t>
        </is>
      </c>
      <c r="G175" s="34" t="n">
        <v>16</v>
      </c>
      <c r="H175" s="32" t="inlineStr">
        <is>
          <t>crg-pr-weu-reg</t>
        </is>
      </c>
      <c r="I175" s="23" t="n">
        <v>230</v>
      </c>
      <c r="J175" s="23" t="n">
        <v>75</v>
      </c>
      <c r="K175" s="24">
        <f>I175+J175</f>
        <v/>
      </c>
      <c r="L175" s="24">
        <f>K175-I175</f>
        <v/>
      </c>
      <c r="M175" s="33" t="inlineStr">
        <is>
          <t>Restricted</t>
        </is>
      </c>
      <c r="N175" s="32" t="inlineStr">
        <is>
          <t>Restricted — explicit Prod region only</t>
        </is>
      </c>
    </row>
    <row r="176">
      <c r="A176" s="32" t="inlineStr">
        <is>
          <t>West Europe</t>
        </is>
      </c>
      <c r="B176" s="32" t="inlineStr">
        <is>
          <t>westeurope</t>
        </is>
      </c>
      <c r="C176" s="33" t="inlineStr">
        <is>
          <t>EU</t>
        </is>
      </c>
      <c r="D176" s="33" t="inlineStr">
        <is>
          <t>Prod</t>
        </is>
      </c>
      <c r="E176" s="32" t="inlineStr">
        <is>
          <t>Standard_E32ads_v6</t>
        </is>
      </c>
      <c r="F176" s="33" t="inlineStr">
        <is>
          <t>Eadsv6</t>
        </is>
      </c>
      <c r="G176" s="34" t="n">
        <v>32</v>
      </c>
      <c r="H176" s="32" t="inlineStr">
        <is>
          <t>crg-pr-weu-reg</t>
        </is>
      </c>
      <c r="I176" s="23" t="n">
        <v>460</v>
      </c>
      <c r="J176" s="23" t="n">
        <v>150</v>
      </c>
      <c r="K176" s="24">
        <f>I176+J176</f>
        <v/>
      </c>
      <c r="L176" s="24">
        <f>K176-I176</f>
        <v/>
      </c>
      <c r="M176" s="33" t="inlineStr">
        <is>
          <t>Restricted</t>
        </is>
      </c>
      <c r="N176" s="32" t="inlineStr">
        <is>
          <t>Restricted — explicit Prod region only</t>
        </is>
      </c>
    </row>
    <row r="177">
      <c r="A177" s="32" t="inlineStr">
        <is>
          <t>West Europe</t>
        </is>
      </c>
      <c r="B177" s="32" t="inlineStr">
        <is>
          <t>westeurope</t>
        </is>
      </c>
      <c r="C177" s="33" t="inlineStr">
        <is>
          <t>EU</t>
        </is>
      </c>
      <c r="D177" s="33" t="inlineStr">
        <is>
          <t>Prod</t>
        </is>
      </c>
      <c r="E177" s="32" t="inlineStr">
        <is>
          <t>Standard_D8ads_v5</t>
        </is>
      </c>
      <c r="F177" s="33" t="inlineStr">
        <is>
          <t>Dadsv5</t>
        </is>
      </c>
      <c r="G177" s="34" t="n">
        <v>8</v>
      </c>
      <c r="H177" s="32" t="inlineStr">
        <is>
          <t>crg-pr-weu-reg</t>
        </is>
      </c>
      <c r="I177" s="23" t="n">
        <v>115</v>
      </c>
      <c r="J177" s="23" t="n">
        <v>38</v>
      </c>
      <c r="K177" s="24">
        <f>I177+J177</f>
        <v/>
      </c>
      <c r="L177" s="24">
        <f>K177-I177</f>
        <v/>
      </c>
      <c r="M177" s="33" t="inlineStr">
        <is>
          <t>Restricted</t>
        </is>
      </c>
      <c r="N177" s="32" t="inlineStr">
        <is>
          <t>Restricted — explicit Prod region only</t>
        </is>
      </c>
    </row>
    <row r="178">
      <c r="A178" s="32" t="inlineStr">
        <is>
          <t>West Europe</t>
        </is>
      </c>
      <c r="B178" s="32" t="inlineStr">
        <is>
          <t>westeurope</t>
        </is>
      </c>
      <c r="C178" s="33" t="inlineStr">
        <is>
          <t>EU</t>
        </is>
      </c>
      <c r="D178" s="33" t="inlineStr">
        <is>
          <t>Prod</t>
        </is>
      </c>
      <c r="E178" s="32" t="inlineStr">
        <is>
          <t>Standard_D16ads_v5</t>
        </is>
      </c>
      <c r="F178" s="33" t="inlineStr">
        <is>
          <t>Dadsv5</t>
        </is>
      </c>
      <c r="G178" s="34" t="n">
        <v>16</v>
      </c>
      <c r="H178" s="32" t="inlineStr">
        <is>
          <t>crg-pr-weu-reg</t>
        </is>
      </c>
      <c r="I178" s="23" t="n">
        <v>230</v>
      </c>
      <c r="J178" s="23" t="n">
        <v>75</v>
      </c>
      <c r="K178" s="24">
        <f>I178+J178</f>
        <v/>
      </c>
      <c r="L178" s="24">
        <f>K178-I178</f>
        <v/>
      </c>
      <c r="M178" s="33" t="inlineStr">
        <is>
          <t>Restricted</t>
        </is>
      </c>
      <c r="N178" s="32" t="inlineStr">
        <is>
          <t>Restricted — explicit Prod region only</t>
        </is>
      </c>
    </row>
    <row r="179">
      <c r="A179" s="32" t="inlineStr">
        <is>
          <t>West Europe</t>
        </is>
      </c>
      <c r="B179" s="32" t="inlineStr">
        <is>
          <t>westeurope</t>
        </is>
      </c>
      <c r="C179" s="33" t="inlineStr">
        <is>
          <t>EU</t>
        </is>
      </c>
      <c r="D179" s="33" t="inlineStr">
        <is>
          <t>Prod</t>
        </is>
      </c>
      <c r="E179" s="32" t="inlineStr">
        <is>
          <t>Standard_D8as_v5</t>
        </is>
      </c>
      <c r="F179" s="33" t="inlineStr">
        <is>
          <t>Dasv5</t>
        </is>
      </c>
      <c r="G179" s="34" t="n">
        <v>8</v>
      </c>
      <c r="H179" s="32" t="inlineStr">
        <is>
          <t>crg-pr-weu-reg</t>
        </is>
      </c>
      <c r="I179" s="23" t="n">
        <v>115</v>
      </c>
      <c r="J179" s="23" t="n">
        <v>38</v>
      </c>
      <c r="K179" s="24">
        <f>I179+J179</f>
        <v/>
      </c>
      <c r="L179" s="24">
        <f>K179-I179</f>
        <v/>
      </c>
      <c r="M179" s="33" t="inlineStr">
        <is>
          <t>Restricted</t>
        </is>
      </c>
      <c r="N179" s="32" t="inlineStr">
        <is>
          <t>Restricted — explicit Prod region only</t>
        </is>
      </c>
    </row>
    <row r="180">
      <c r="A180" s="32" t="inlineStr">
        <is>
          <t>West Europe</t>
        </is>
      </c>
      <c r="B180" s="32" t="inlineStr">
        <is>
          <t>westeurope</t>
        </is>
      </c>
      <c r="C180" s="33" t="inlineStr">
        <is>
          <t>EU</t>
        </is>
      </c>
      <c r="D180" s="33" t="inlineStr">
        <is>
          <t>Prod</t>
        </is>
      </c>
      <c r="E180" s="32" t="inlineStr">
        <is>
          <t>Standard_D16as_v5</t>
        </is>
      </c>
      <c r="F180" s="33" t="inlineStr">
        <is>
          <t>Dasv5</t>
        </is>
      </c>
      <c r="G180" s="34" t="n">
        <v>16</v>
      </c>
      <c r="H180" s="32" t="inlineStr">
        <is>
          <t>crg-pr-weu-reg</t>
        </is>
      </c>
      <c r="I180" s="23" t="n">
        <v>230</v>
      </c>
      <c r="J180" s="23" t="n">
        <v>75</v>
      </c>
      <c r="K180" s="24">
        <f>I180+J180</f>
        <v/>
      </c>
      <c r="L180" s="24">
        <f>K180-I180</f>
        <v/>
      </c>
      <c r="M180" s="33" t="inlineStr">
        <is>
          <t>Restricted</t>
        </is>
      </c>
      <c r="N180" s="32" t="inlineStr">
        <is>
          <t>Restricted — explicit Prod region only</t>
        </is>
      </c>
    </row>
    <row r="181">
      <c r="A181" s="32" t="inlineStr">
        <is>
          <t>West Europe</t>
        </is>
      </c>
      <c r="B181" s="32" t="inlineStr">
        <is>
          <t>westeurope</t>
        </is>
      </c>
      <c r="C181" s="33" t="inlineStr">
        <is>
          <t>EU</t>
        </is>
      </c>
      <c r="D181" s="33" t="inlineStr">
        <is>
          <t>NonProd</t>
        </is>
      </c>
      <c r="E181" s="32" t="inlineStr">
        <is>
          <t>Standard_E32ads_v5</t>
        </is>
      </c>
      <c r="F181" s="33" t="inlineStr">
        <is>
          <t>Eadsv5</t>
        </is>
      </c>
      <c r="G181" s="34" t="n">
        <v>32</v>
      </c>
      <c r="H181" s="32" t="inlineStr">
        <is>
          <t>crg-np-weu-reg</t>
        </is>
      </c>
      <c r="I181" s="23" t="n">
        <v>220</v>
      </c>
      <c r="J181" s="23" t="n">
        <v>140</v>
      </c>
      <c r="K181" s="24">
        <f>I181+J181</f>
        <v/>
      </c>
      <c r="L181" s="24">
        <f>K181-I181</f>
        <v/>
      </c>
      <c r="M181" s="33" t="inlineStr">
        <is>
          <t>Restricted</t>
        </is>
      </c>
      <c r="N181" s="32" t="inlineStr">
        <is>
          <t>Restricted — explicit Prod region only</t>
        </is>
      </c>
    </row>
    <row r="182">
      <c r="A182" s="32" t="inlineStr">
        <is>
          <t>West Europe</t>
        </is>
      </c>
      <c r="B182" s="32" t="inlineStr">
        <is>
          <t>westeurope</t>
        </is>
      </c>
      <c r="C182" s="33" t="inlineStr">
        <is>
          <t>EU</t>
        </is>
      </c>
      <c r="D182" s="33" t="inlineStr">
        <is>
          <t>NonProd</t>
        </is>
      </c>
      <c r="E182" s="32" t="inlineStr">
        <is>
          <t>Standard_E64ads_v5</t>
        </is>
      </c>
      <c r="F182" s="33" t="inlineStr">
        <is>
          <t>Eadsv5</t>
        </is>
      </c>
      <c r="G182" s="34" t="n">
        <v>64</v>
      </c>
      <c r="H182" s="32" t="inlineStr">
        <is>
          <t>crg-np-weu-reg</t>
        </is>
      </c>
      <c r="I182" s="23" t="n">
        <v>440</v>
      </c>
      <c r="J182" s="23" t="n">
        <v>280</v>
      </c>
      <c r="K182" s="24">
        <f>I182+J182</f>
        <v/>
      </c>
      <c r="L182" s="24">
        <f>K182-I182</f>
        <v/>
      </c>
      <c r="M182" s="33" t="inlineStr">
        <is>
          <t>Restricted</t>
        </is>
      </c>
      <c r="N182" s="32" t="inlineStr">
        <is>
          <t>Restricted — explicit Prod region only</t>
        </is>
      </c>
    </row>
    <row r="183">
      <c r="A183" s="32" t="inlineStr">
        <is>
          <t>West Europe</t>
        </is>
      </c>
      <c r="B183" s="32" t="inlineStr">
        <is>
          <t>westeurope</t>
        </is>
      </c>
      <c r="C183" s="33" t="inlineStr">
        <is>
          <t>EU</t>
        </is>
      </c>
      <c r="D183" s="33" t="inlineStr">
        <is>
          <t>NonProd</t>
        </is>
      </c>
      <c r="E183" s="32" t="inlineStr">
        <is>
          <t>Standard_E16ads_v5</t>
        </is>
      </c>
      <c r="F183" s="33" t="inlineStr">
        <is>
          <t>Eadsv5</t>
        </is>
      </c>
      <c r="G183" s="34" t="n">
        <v>16</v>
      </c>
      <c r="H183" s="32" t="inlineStr">
        <is>
          <t>crg-np-weu-reg</t>
        </is>
      </c>
      <c r="I183" s="23" t="n">
        <v>110</v>
      </c>
      <c r="J183" s="23" t="n">
        <v>70</v>
      </c>
      <c r="K183" s="24">
        <f>I183+J183</f>
        <v/>
      </c>
      <c r="L183" s="24">
        <f>K183-I183</f>
        <v/>
      </c>
      <c r="M183" s="33" t="inlineStr">
        <is>
          <t>Restricted</t>
        </is>
      </c>
      <c r="N183" s="32" t="inlineStr">
        <is>
          <t>Restricted — explicit Prod region only</t>
        </is>
      </c>
    </row>
    <row r="184">
      <c r="A184" s="32" t="inlineStr">
        <is>
          <t>West Europe</t>
        </is>
      </c>
      <c r="B184" s="32" t="inlineStr">
        <is>
          <t>westeurope</t>
        </is>
      </c>
      <c r="C184" s="33" t="inlineStr">
        <is>
          <t>EU</t>
        </is>
      </c>
      <c r="D184" s="33" t="inlineStr">
        <is>
          <t>NonProd</t>
        </is>
      </c>
      <c r="E184" s="32" t="inlineStr">
        <is>
          <t>Standard_E32ads_v6</t>
        </is>
      </c>
      <c r="F184" s="33" t="inlineStr">
        <is>
          <t>Eadsv6</t>
        </is>
      </c>
      <c r="G184" s="34" t="n">
        <v>32</v>
      </c>
      <c r="H184" s="32" t="inlineStr">
        <is>
          <t>crg-np-weu-reg</t>
        </is>
      </c>
      <c r="I184" s="23" t="n">
        <v>220</v>
      </c>
      <c r="J184" s="23" t="n">
        <v>140</v>
      </c>
      <c r="K184" s="24">
        <f>I184+J184</f>
        <v/>
      </c>
      <c r="L184" s="24">
        <f>K184-I184</f>
        <v/>
      </c>
      <c r="M184" s="33" t="inlineStr">
        <is>
          <t>Restricted</t>
        </is>
      </c>
      <c r="N184" s="32" t="inlineStr">
        <is>
          <t>Restricted — explicit Prod region only</t>
        </is>
      </c>
    </row>
    <row r="185">
      <c r="A185" s="32" t="inlineStr">
        <is>
          <t>West Europe</t>
        </is>
      </c>
      <c r="B185" s="32" t="inlineStr">
        <is>
          <t>westeurope</t>
        </is>
      </c>
      <c r="C185" s="33" t="inlineStr">
        <is>
          <t>EU</t>
        </is>
      </c>
      <c r="D185" s="33" t="inlineStr">
        <is>
          <t>NonProd</t>
        </is>
      </c>
      <c r="E185" s="32" t="inlineStr">
        <is>
          <t>Standard_D8ads_v5</t>
        </is>
      </c>
      <c r="F185" s="33" t="inlineStr">
        <is>
          <t>Dadsv5</t>
        </is>
      </c>
      <c r="G185" s="34" t="n">
        <v>8</v>
      </c>
      <c r="H185" s="32" t="inlineStr">
        <is>
          <t>crg-np-weu-reg</t>
        </is>
      </c>
      <c r="I185" s="23" t="n">
        <v>55</v>
      </c>
      <c r="J185" s="23" t="n">
        <v>35</v>
      </c>
      <c r="K185" s="24">
        <f>I185+J185</f>
        <v/>
      </c>
      <c r="L185" s="24">
        <f>K185-I185</f>
        <v/>
      </c>
      <c r="M185" s="33" t="inlineStr">
        <is>
          <t>Restricted</t>
        </is>
      </c>
      <c r="N185" s="32" t="inlineStr">
        <is>
          <t>Restricted — explicit Prod region only</t>
        </is>
      </c>
    </row>
    <row r="186">
      <c r="A186" s="32" t="inlineStr">
        <is>
          <t>West Europe</t>
        </is>
      </c>
      <c r="B186" s="32" t="inlineStr">
        <is>
          <t>westeurope</t>
        </is>
      </c>
      <c r="C186" s="33" t="inlineStr">
        <is>
          <t>EU</t>
        </is>
      </c>
      <c r="D186" s="33" t="inlineStr">
        <is>
          <t>NonProd</t>
        </is>
      </c>
      <c r="E186" s="32" t="inlineStr">
        <is>
          <t>Standard_D16ads_v5</t>
        </is>
      </c>
      <c r="F186" s="33" t="inlineStr">
        <is>
          <t>Dadsv5</t>
        </is>
      </c>
      <c r="G186" s="34" t="n">
        <v>16</v>
      </c>
      <c r="H186" s="32" t="inlineStr">
        <is>
          <t>crg-np-weu-reg</t>
        </is>
      </c>
      <c r="I186" s="23" t="n">
        <v>110</v>
      </c>
      <c r="J186" s="23" t="n">
        <v>70</v>
      </c>
      <c r="K186" s="24">
        <f>I186+J186</f>
        <v/>
      </c>
      <c r="L186" s="24">
        <f>K186-I186</f>
        <v/>
      </c>
      <c r="M186" s="33" t="inlineStr">
        <is>
          <t>Restricted</t>
        </is>
      </c>
      <c r="N186" s="32" t="inlineStr">
        <is>
          <t>Restricted — explicit Prod region only</t>
        </is>
      </c>
    </row>
    <row r="187">
      <c r="A187" s="32" t="inlineStr">
        <is>
          <t>West Europe</t>
        </is>
      </c>
      <c r="B187" s="32" t="inlineStr">
        <is>
          <t>westeurope</t>
        </is>
      </c>
      <c r="C187" s="33" t="inlineStr">
        <is>
          <t>EU</t>
        </is>
      </c>
      <c r="D187" s="33" t="inlineStr">
        <is>
          <t>NonProd</t>
        </is>
      </c>
      <c r="E187" s="32" t="inlineStr">
        <is>
          <t>Standard_D8as_v5</t>
        </is>
      </c>
      <c r="F187" s="33" t="inlineStr">
        <is>
          <t>Dasv5</t>
        </is>
      </c>
      <c r="G187" s="34" t="n">
        <v>8</v>
      </c>
      <c r="H187" s="32" t="inlineStr">
        <is>
          <t>crg-np-weu-reg</t>
        </is>
      </c>
      <c r="I187" s="23" t="n">
        <v>55</v>
      </c>
      <c r="J187" s="23" t="n">
        <v>35</v>
      </c>
      <c r="K187" s="24">
        <f>I187+J187</f>
        <v/>
      </c>
      <c r="L187" s="24">
        <f>K187-I187</f>
        <v/>
      </c>
      <c r="M187" s="33" t="inlineStr">
        <is>
          <t>Restricted</t>
        </is>
      </c>
      <c r="N187" s="32" t="inlineStr">
        <is>
          <t>Restricted — explicit Prod region only</t>
        </is>
      </c>
    </row>
    <row r="188">
      <c r="A188" s="32" t="inlineStr">
        <is>
          <t>West Europe</t>
        </is>
      </c>
      <c r="B188" s="32" t="inlineStr">
        <is>
          <t>westeurope</t>
        </is>
      </c>
      <c r="C188" s="33" t="inlineStr">
        <is>
          <t>EU</t>
        </is>
      </c>
      <c r="D188" s="33" t="inlineStr">
        <is>
          <t>NonProd</t>
        </is>
      </c>
      <c r="E188" s="32" t="inlineStr">
        <is>
          <t>Standard_D16as_v5</t>
        </is>
      </c>
      <c r="F188" s="33" t="inlineStr">
        <is>
          <t>Dasv5</t>
        </is>
      </c>
      <c r="G188" s="34" t="n">
        <v>16</v>
      </c>
      <c r="H188" s="32" t="inlineStr">
        <is>
          <t>crg-np-weu-reg</t>
        </is>
      </c>
      <c r="I188" s="23" t="n">
        <v>110</v>
      </c>
      <c r="J188" s="23" t="n">
        <v>70</v>
      </c>
      <c r="K188" s="24">
        <f>I188+J188</f>
        <v/>
      </c>
      <c r="L188" s="24">
        <f>K188-I188</f>
        <v/>
      </c>
      <c r="M188" s="33" t="inlineStr">
        <is>
          <t>Restricted</t>
        </is>
      </c>
      <c r="N188" s="32" t="inlineStr">
        <is>
          <t>Restricted — explicit Prod region only</t>
        </is>
      </c>
    </row>
    <row r="189">
      <c r="A189" s="32" t="inlineStr">
        <is>
          <t>West Europe</t>
        </is>
      </c>
      <c r="B189" s="32" t="inlineStr">
        <is>
          <t>westeurope</t>
        </is>
      </c>
      <c r="C189" s="33" t="inlineStr">
        <is>
          <t>EU</t>
        </is>
      </c>
      <c r="D189" s="33" t="inlineStr">
        <is>
          <t>DR</t>
        </is>
      </c>
      <c r="E189" s="32" t="inlineStr">
        <is>
          <t>Standard_E32ads_v5</t>
        </is>
      </c>
      <c r="F189" s="33" t="inlineStr">
        <is>
          <t>Eadsv5</t>
        </is>
      </c>
      <c r="G189" s="34" t="n">
        <v>32</v>
      </c>
      <c r="H189" s="32" t="inlineStr">
        <is>
          <t>crg-dr-weu-reg</t>
        </is>
      </c>
      <c r="I189" s="23" t="n">
        <v>36</v>
      </c>
      <c r="J189" s="23" t="n">
        <v>36</v>
      </c>
      <c r="K189" s="24">
        <f>I189+J189</f>
        <v/>
      </c>
      <c r="L189" s="24">
        <f>K189-I189</f>
        <v/>
      </c>
      <c r="M189" s="33" t="inlineStr">
        <is>
          <t>Restricted</t>
        </is>
      </c>
      <c r="N189" s="32" t="inlineStr">
        <is>
          <t>Restricted — explicit Prod region only</t>
        </is>
      </c>
    </row>
    <row r="190">
      <c r="A190" s="32" t="inlineStr">
        <is>
          <t>West Europe</t>
        </is>
      </c>
      <c r="B190" s="32" t="inlineStr">
        <is>
          <t>westeurope</t>
        </is>
      </c>
      <c r="C190" s="33" t="inlineStr">
        <is>
          <t>EU</t>
        </is>
      </c>
      <c r="D190" s="33" t="inlineStr">
        <is>
          <t>DR</t>
        </is>
      </c>
      <c r="E190" s="32" t="inlineStr">
        <is>
          <t>Standard_E64ads_v5</t>
        </is>
      </c>
      <c r="F190" s="33" t="inlineStr">
        <is>
          <t>Eadsv5</t>
        </is>
      </c>
      <c r="G190" s="34" t="n">
        <v>64</v>
      </c>
      <c r="H190" s="32" t="inlineStr">
        <is>
          <t>crg-dr-weu-reg</t>
        </is>
      </c>
      <c r="I190" s="23" t="n">
        <v>72</v>
      </c>
      <c r="J190" s="23" t="n">
        <v>72</v>
      </c>
      <c r="K190" s="24">
        <f>I190+J190</f>
        <v/>
      </c>
      <c r="L190" s="24">
        <f>K190-I190</f>
        <v/>
      </c>
      <c r="M190" s="33" t="inlineStr">
        <is>
          <t>Restricted</t>
        </is>
      </c>
      <c r="N190" s="32" t="inlineStr">
        <is>
          <t>Restricted — explicit Prod region only</t>
        </is>
      </c>
    </row>
    <row r="191">
      <c r="A191" s="32" t="inlineStr">
        <is>
          <t>West Europe</t>
        </is>
      </c>
      <c r="B191" s="32" t="inlineStr">
        <is>
          <t>westeurope</t>
        </is>
      </c>
      <c r="C191" s="33" t="inlineStr">
        <is>
          <t>EU</t>
        </is>
      </c>
      <c r="D191" s="33" t="inlineStr">
        <is>
          <t>DR</t>
        </is>
      </c>
      <c r="E191" s="32" t="inlineStr">
        <is>
          <t>Standard_E16ads_v5</t>
        </is>
      </c>
      <c r="F191" s="33" t="inlineStr">
        <is>
          <t>Eadsv5</t>
        </is>
      </c>
      <c r="G191" s="34" t="n">
        <v>16</v>
      </c>
      <c r="H191" s="32" t="inlineStr">
        <is>
          <t>crg-dr-weu-reg</t>
        </is>
      </c>
      <c r="I191" s="23" t="n">
        <v>18</v>
      </c>
      <c r="J191" s="23" t="n">
        <v>18</v>
      </c>
      <c r="K191" s="24">
        <f>I191+J191</f>
        <v/>
      </c>
      <c r="L191" s="24">
        <f>K191-I191</f>
        <v/>
      </c>
      <c r="M191" s="33" t="inlineStr">
        <is>
          <t>Restricted</t>
        </is>
      </c>
      <c r="N191" s="32" t="inlineStr">
        <is>
          <t>Restricted — explicit Prod region only</t>
        </is>
      </c>
    </row>
    <row r="192">
      <c r="A192" s="32" t="inlineStr">
        <is>
          <t>West Europe</t>
        </is>
      </c>
      <c r="B192" s="32" t="inlineStr">
        <is>
          <t>westeurope</t>
        </is>
      </c>
      <c r="C192" s="33" t="inlineStr">
        <is>
          <t>EU</t>
        </is>
      </c>
      <c r="D192" s="33" t="inlineStr">
        <is>
          <t>DR</t>
        </is>
      </c>
      <c r="E192" s="32" t="inlineStr">
        <is>
          <t>Standard_E32ads_v6</t>
        </is>
      </c>
      <c r="F192" s="33" t="inlineStr">
        <is>
          <t>Eadsv6</t>
        </is>
      </c>
      <c r="G192" s="34" t="n">
        <v>32</v>
      </c>
      <c r="H192" s="32" t="inlineStr">
        <is>
          <t>crg-dr-weu-reg</t>
        </is>
      </c>
      <c r="I192" s="23" t="n">
        <v>36</v>
      </c>
      <c r="J192" s="23" t="n">
        <v>36</v>
      </c>
      <c r="K192" s="24">
        <f>I192+J192</f>
        <v/>
      </c>
      <c r="L192" s="24">
        <f>K192-I192</f>
        <v/>
      </c>
      <c r="M192" s="33" t="inlineStr">
        <is>
          <t>Restricted</t>
        </is>
      </c>
      <c r="N192" s="32" t="inlineStr">
        <is>
          <t>Restricted — explicit Prod region only</t>
        </is>
      </c>
    </row>
    <row r="193">
      <c r="A193" s="32" t="inlineStr">
        <is>
          <t>West Europe</t>
        </is>
      </c>
      <c r="B193" s="32" t="inlineStr">
        <is>
          <t>westeurope</t>
        </is>
      </c>
      <c r="C193" s="33" t="inlineStr">
        <is>
          <t>EU</t>
        </is>
      </c>
      <c r="D193" s="33" t="inlineStr">
        <is>
          <t>DR</t>
        </is>
      </c>
      <c r="E193" s="32" t="inlineStr">
        <is>
          <t>Standard_D8ads_v5</t>
        </is>
      </c>
      <c r="F193" s="33" t="inlineStr">
        <is>
          <t>Dadsv5</t>
        </is>
      </c>
      <c r="G193" s="34" t="n">
        <v>8</v>
      </c>
      <c r="H193" s="32" t="inlineStr">
        <is>
          <t>crg-dr-weu-reg</t>
        </is>
      </c>
      <c r="I193" s="23" t="n">
        <v>9</v>
      </c>
      <c r="J193" s="23" t="n">
        <v>9</v>
      </c>
      <c r="K193" s="24">
        <f>I193+J193</f>
        <v/>
      </c>
      <c r="L193" s="24">
        <f>K193-I193</f>
        <v/>
      </c>
      <c r="M193" s="33" t="inlineStr">
        <is>
          <t>Restricted</t>
        </is>
      </c>
      <c r="N193" s="32" t="inlineStr">
        <is>
          <t>Restricted — explicit Prod region only</t>
        </is>
      </c>
    </row>
    <row r="194">
      <c r="A194" s="32" t="inlineStr">
        <is>
          <t>West Europe</t>
        </is>
      </c>
      <c r="B194" s="32" t="inlineStr">
        <is>
          <t>westeurope</t>
        </is>
      </c>
      <c r="C194" s="33" t="inlineStr">
        <is>
          <t>EU</t>
        </is>
      </c>
      <c r="D194" s="33" t="inlineStr">
        <is>
          <t>DR</t>
        </is>
      </c>
      <c r="E194" s="32" t="inlineStr">
        <is>
          <t>Standard_D16ads_v5</t>
        </is>
      </c>
      <c r="F194" s="33" t="inlineStr">
        <is>
          <t>Dadsv5</t>
        </is>
      </c>
      <c r="G194" s="34" t="n">
        <v>16</v>
      </c>
      <c r="H194" s="32" t="inlineStr">
        <is>
          <t>crg-dr-weu-reg</t>
        </is>
      </c>
      <c r="I194" s="23" t="n">
        <v>18</v>
      </c>
      <c r="J194" s="23" t="n">
        <v>18</v>
      </c>
      <c r="K194" s="24">
        <f>I194+J194</f>
        <v/>
      </c>
      <c r="L194" s="24">
        <f>K194-I194</f>
        <v/>
      </c>
      <c r="M194" s="33" t="inlineStr">
        <is>
          <t>Restricted</t>
        </is>
      </c>
      <c r="N194" s="32" t="inlineStr">
        <is>
          <t>Restricted — explicit Prod region only</t>
        </is>
      </c>
    </row>
    <row r="195">
      <c r="A195" s="32" t="inlineStr">
        <is>
          <t>West Europe</t>
        </is>
      </c>
      <c r="B195" s="32" t="inlineStr">
        <is>
          <t>westeurope</t>
        </is>
      </c>
      <c r="C195" s="33" t="inlineStr">
        <is>
          <t>EU</t>
        </is>
      </c>
      <c r="D195" s="33" t="inlineStr">
        <is>
          <t>DR</t>
        </is>
      </c>
      <c r="E195" s="32" t="inlineStr">
        <is>
          <t>Standard_D8as_v5</t>
        </is>
      </c>
      <c r="F195" s="33" t="inlineStr">
        <is>
          <t>Dasv5</t>
        </is>
      </c>
      <c r="G195" s="34" t="n">
        <v>8</v>
      </c>
      <c r="H195" s="32" t="inlineStr">
        <is>
          <t>crg-dr-weu-reg</t>
        </is>
      </c>
      <c r="I195" s="23" t="n">
        <v>9</v>
      </c>
      <c r="J195" s="23" t="n">
        <v>9</v>
      </c>
      <c r="K195" s="24">
        <f>I195+J195</f>
        <v/>
      </c>
      <c r="L195" s="24">
        <f>K195-I195</f>
        <v/>
      </c>
      <c r="M195" s="33" t="inlineStr">
        <is>
          <t>Restricted</t>
        </is>
      </c>
      <c r="N195" s="32" t="inlineStr">
        <is>
          <t>Restricted — explicit Prod region only</t>
        </is>
      </c>
    </row>
    <row r="196">
      <c r="A196" s="32" t="inlineStr">
        <is>
          <t>West Europe</t>
        </is>
      </c>
      <c r="B196" s="32" t="inlineStr">
        <is>
          <t>westeurope</t>
        </is>
      </c>
      <c r="C196" s="33" t="inlineStr">
        <is>
          <t>EU</t>
        </is>
      </c>
      <c r="D196" s="33" t="inlineStr">
        <is>
          <t>DR</t>
        </is>
      </c>
      <c r="E196" s="32" t="inlineStr">
        <is>
          <t>Standard_D16as_v5</t>
        </is>
      </c>
      <c r="F196" s="33" t="inlineStr">
        <is>
          <t>Dasv5</t>
        </is>
      </c>
      <c r="G196" s="34" t="n">
        <v>16</v>
      </c>
      <c r="H196" s="32" t="inlineStr">
        <is>
          <t>crg-dr-weu-reg</t>
        </is>
      </c>
      <c r="I196" s="23" t="n">
        <v>18</v>
      </c>
      <c r="J196" s="23" t="n">
        <v>18</v>
      </c>
      <c r="K196" s="24">
        <f>I196+J196</f>
        <v/>
      </c>
      <c r="L196" s="24">
        <f>K196-I196</f>
        <v/>
      </c>
      <c r="M196" s="33" t="inlineStr">
        <is>
          <t>Restricted</t>
        </is>
      </c>
      <c r="N196" s="32" t="inlineStr">
        <is>
          <t>Restricted — explicit Prod region only</t>
        </is>
      </c>
    </row>
    <row r="197">
      <c r="A197" s="32" t="inlineStr">
        <is>
          <t>Australia East</t>
        </is>
      </c>
      <c r="B197" s="32" t="inlineStr">
        <is>
          <t>australiaeast</t>
        </is>
      </c>
      <c r="C197" s="33" t="inlineStr">
        <is>
          <t>Australia</t>
        </is>
      </c>
      <c r="D197" s="33" t="inlineStr">
        <is>
          <t>Prod</t>
        </is>
      </c>
      <c r="E197" s="32" t="inlineStr">
        <is>
          <t>Standard_E32ads_v5</t>
        </is>
      </c>
      <c r="F197" s="33" t="inlineStr">
        <is>
          <t>Eadsv5</t>
        </is>
      </c>
      <c r="G197" s="34" t="n">
        <v>32</v>
      </c>
      <c r="H197" s="32" t="inlineStr">
        <is>
          <t>crg-pr-aue-reg</t>
        </is>
      </c>
      <c r="I197" s="23" t="n">
        <v>300</v>
      </c>
      <c r="J197" s="23" t="n">
        <v>200</v>
      </c>
      <c r="K197" s="24">
        <f>I197+J197</f>
        <v/>
      </c>
      <c r="L197" s="24">
        <f>K197-I197</f>
        <v/>
      </c>
      <c r="M197" s="33" t="inlineStr">
        <is>
          <t>Standard</t>
        </is>
      </c>
      <c r="N197" s="32" t="inlineStr">
        <is>
          <t>Synthetic estate</t>
        </is>
      </c>
    </row>
    <row r="198">
      <c r="A198" s="32" t="inlineStr">
        <is>
          <t>Australia East</t>
        </is>
      </c>
      <c r="B198" s="32" t="inlineStr">
        <is>
          <t>australiaeast</t>
        </is>
      </c>
      <c r="C198" s="33" t="inlineStr">
        <is>
          <t>Australia</t>
        </is>
      </c>
      <c r="D198" s="33" t="inlineStr">
        <is>
          <t>Prod</t>
        </is>
      </c>
      <c r="E198" s="32" t="inlineStr">
        <is>
          <t>Standard_E64ads_v5</t>
        </is>
      </c>
      <c r="F198" s="33" t="inlineStr">
        <is>
          <t>Eadsv5</t>
        </is>
      </c>
      <c r="G198" s="34" t="n">
        <v>64</v>
      </c>
      <c r="H198" s="32" t="inlineStr">
        <is>
          <t>crg-pr-aue-reg</t>
        </is>
      </c>
      <c r="I198" s="23" t="n">
        <v>600</v>
      </c>
      <c r="J198" s="23" t="n">
        <v>400</v>
      </c>
      <c r="K198" s="24">
        <f>I198+J198</f>
        <v/>
      </c>
      <c r="L198" s="24">
        <f>K198-I198</f>
        <v/>
      </c>
      <c r="M198" s="33" t="inlineStr">
        <is>
          <t>Standard</t>
        </is>
      </c>
      <c r="N198" s="32" t="inlineStr">
        <is>
          <t>Synthetic estate</t>
        </is>
      </c>
    </row>
    <row r="199">
      <c r="A199" s="32" t="inlineStr">
        <is>
          <t>Australia East</t>
        </is>
      </c>
      <c r="B199" s="32" t="inlineStr">
        <is>
          <t>australiaeast</t>
        </is>
      </c>
      <c r="C199" s="33" t="inlineStr">
        <is>
          <t>Australia</t>
        </is>
      </c>
      <c r="D199" s="33" t="inlineStr">
        <is>
          <t>Prod</t>
        </is>
      </c>
      <c r="E199" s="32" t="inlineStr">
        <is>
          <t>Standard_E16ads_v5</t>
        </is>
      </c>
      <c r="F199" s="33" t="inlineStr">
        <is>
          <t>Eadsv5</t>
        </is>
      </c>
      <c r="G199" s="34" t="n">
        <v>16</v>
      </c>
      <c r="H199" s="32" t="inlineStr">
        <is>
          <t>crg-pr-aue-reg</t>
        </is>
      </c>
      <c r="I199" s="23" t="n">
        <v>150</v>
      </c>
      <c r="J199" s="23" t="n">
        <v>100</v>
      </c>
      <c r="K199" s="24">
        <f>I199+J199</f>
        <v/>
      </c>
      <c r="L199" s="24">
        <f>K199-I199</f>
        <v/>
      </c>
      <c r="M199" s="33" t="inlineStr">
        <is>
          <t>Standard</t>
        </is>
      </c>
      <c r="N199" s="32" t="inlineStr">
        <is>
          <t>Synthetic estate</t>
        </is>
      </c>
    </row>
    <row r="200">
      <c r="A200" s="32" t="inlineStr">
        <is>
          <t>Australia East</t>
        </is>
      </c>
      <c r="B200" s="32" t="inlineStr">
        <is>
          <t>australiaeast</t>
        </is>
      </c>
      <c r="C200" s="33" t="inlineStr">
        <is>
          <t>Australia</t>
        </is>
      </c>
      <c r="D200" s="33" t="inlineStr">
        <is>
          <t>Prod</t>
        </is>
      </c>
      <c r="E200" s="32" t="inlineStr">
        <is>
          <t>Standard_E32ads_v6</t>
        </is>
      </c>
      <c r="F200" s="33" t="inlineStr">
        <is>
          <t>Eadsv6</t>
        </is>
      </c>
      <c r="G200" s="34" t="n">
        <v>32</v>
      </c>
      <c r="H200" s="32" t="inlineStr">
        <is>
          <t>crg-pr-aue-reg</t>
        </is>
      </c>
      <c r="I200" s="23" t="n">
        <v>300</v>
      </c>
      <c r="J200" s="23" t="n">
        <v>200</v>
      </c>
      <c r="K200" s="24">
        <f>I200+J200</f>
        <v/>
      </c>
      <c r="L200" s="24">
        <f>K200-I200</f>
        <v/>
      </c>
      <c r="M200" s="33" t="inlineStr">
        <is>
          <t>Standard</t>
        </is>
      </c>
      <c r="N200" s="32" t="inlineStr">
        <is>
          <t>Synthetic estate</t>
        </is>
      </c>
    </row>
    <row r="201">
      <c r="A201" s="32" t="inlineStr">
        <is>
          <t>Australia East</t>
        </is>
      </c>
      <c r="B201" s="32" t="inlineStr">
        <is>
          <t>australiaeast</t>
        </is>
      </c>
      <c r="C201" s="33" t="inlineStr">
        <is>
          <t>Australia</t>
        </is>
      </c>
      <c r="D201" s="33" t="inlineStr">
        <is>
          <t>Prod</t>
        </is>
      </c>
      <c r="E201" s="32" t="inlineStr">
        <is>
          <t>Standard_D8ads_v5</t>
        </is>
      </c>
      <c r="F201" s="33" t="inlineStr">
        <is>
          <t>Dadsv5</t>
        </is>
      </c>
      <c r="G201" s="34" t="n">
        <v>8</v>
      </c>
      <c r="H201" s="32" t="inlineStr">
        <is>
          <t>crg-pr-aue-reg</t>
        </is>
      </c>
      <c r="I201" s="23" t="n">
        <v>75</v>
      </c>
      <c r="J201" s="23" t="n">
        <v>50</v>
      </c>
      <c r="K201" s="24">
        <f>I201+J201</f>
        <v/>
      </c>
      <c r="L201" s="24">
        <f>K201-I201</f>
        <v/>
      </c>
      <c r="M201" s="33" t="inlineStr">
        <is>
          <t>Standard</t>
        </is>
      </c>
      <c r="N201" s="32" t="inlineStr">
        <is>
          <t>Synthetic estate</t>
        </is>
      </c>
    </row>
    <row r="202">
      <c r="A202" s="32" t="inlineStr">
        <is>
          <t>Australia East</t>
        </is>
      </c>
      <c r="B202" s="32" t="inlineStr">
        <is>
          <t>australiaeast</t>
        </is>
      </c>
      <c r="C202" s="33" t="inlineStr">
        <is>
          <t>Australia</t>
        </is>
      </c>
      <c r="D202" s="33" t="inlineStr">
        <is>
          <t>Prod</t>
        </is>
      </c>
      <c r="E202" s="32" t="inlineStr">
        <is>
          <t>Standard_D16ads_v5</t>
        </is>
      </c>
      <c r="F202" s="33" t="inlineStr">
        <is>
          <t>Dadsv5</t>
        </is>
      </c>
      <c r="G202" s="34" t="n">
        <v>16</v>
      </c>
      <c r="H202" s="32" t="inlineStr">
        <is>
          <t>crg-pr-aue-reg</t>
        </is>
      </c>
      <c r="I202" s="23" t="n">
        <v>150</v>
      </c>
      <c r="J202" s="23" t="n">
        <v>100</v>
      </c>
      <c r="K202" s="24">
        <f>I202+J202</f>
        <v/>
      </c>
      <c r="L202" s="24">
        <f>K202-I202</f>
        <v/>
      </c>
      <c r="M202" s="33" t="inlineStr">
        <is>
          <t>Standard</t>
        </is>
      </c>
      <c r="N202" s="32" t="inlineStr">
        <is>
          <t>Synthetic estate</t>
        </is>
      </c>
    </row>
    <row r="203">
      <c r="A203" s="32" t="inlineStr">
        <is>
          <t>Australia East</t>
        </is>
      </c>
      <c r="B203" s="32" t="inlineStr">
        <is>
          <t>australiaeast</t>
        </is>
      </c>
      <c r="C203" s="33" t="inlineStr">
        <is>
          <t>Australia</t>
        </is>
      </c>
      <c r="D203" s="33" t="inlineStr">
        <is>
          <t>Prod</t>
        </is>
      </c>
      <c r="E203" s="32" t="inlineStr">
        <is>
          <t>Standard_D8as_v5</t>
        </is>
      </c>
      <c r="F203" s="33" t="inlineStr">
        <is>
          <t>Dasv5</t>
        </is>
      </c>
      <c r="G203" s="34" t="n">
        <v>8</v>
      </c>
      <c r="H203" s="32" t="inlineStr">
        <is>
          <t>crg-pr-aue-reg</t>
        </is>
      </c>
      <c r="I203" s="23" t="n">
        <v>75</v>
      </c>
      <c r="J203" s="23" t="n">
        <v>50</v>
      </c>
      <c r="K203" s="24">
        <f>I203+J203</f>
        <v/>
      </c>
      <c r="L203" s="24">
        <f>K203-I203</f>
        <v/>
      </c>
      <c r="M203" s="33" t="inlineStr">
        <is>
          <t>Standard</t>
        </is>
      </c>
      <c r="N203" s="32" t="inlineStr">
        <is>
          <t>Synthetic estate</t>
        </is>
      </c>
    </row>
    <row r="204">
      <c r="A204" s="32" t="inlineStr">
        <is>
          <t>Australia East</t>
        </is>
      </c>
      <c r="B204" s="32" t="inlineStr">
        <is>
          <t>australiaeast</t>
        </is>
      </c>
      <c r="C204" s="33" t="inlineStr">
        <is>
          <t>Australia</t>
        </is>
      </c>
      <c r="D204" s="33" t="inlineStr">
        <is>
          <t>Prod</t>
        </is>
      </c>
      <c r="E204" s="32" t="inlineStr">
        <is>
          <t>Standard_D16as_v5</t>
        </is>
      </c>
      <c r="F204" s="33" t="inlineStr">
        <is>
          <t>Dasv5</t>
        </is>
      </c>
      <c r="G204" s="34" t="n">
        <v>16</v>
      </c>
      <c r="H204" s="32" t="inlineStr">
        <is>
          <t>crg-pr-aue-reg</t>
        </is>
      </c>
      <c r="I204" s="23" t="n">
        <v>150</v>
      </c>
      <c r="J204" s="23" t="n">
        <v>100</v>
      </c>
      <c r="K204" s="24">
        <f>I204+J204</f>
        <v/>
      </c>
      <c r="L204" s="24">
        <f>K204-I204</f>
        <v/>
      </c>
      <c r="M204" s="33" t="inlineStr">
        <is>
          <t>Standard</t>
        </is>
      </c>
      <c r="N204" s="32" t="inlineStr">
        <is>
          <t>Synthetic estate</t>
        </is>
      </c>
    </row>
    <row r="205">
      <c r="A205" s="32" t="inlineStr">
        <is>
          <t>Australia East</t>
        </is>
      </c>
      <c r="B205" s="32" t="inlineStr">
        <is>
          <t>australiaeast</t>
        </is>
      </c>
      <c r="C205" s="33" t="inlineStr">
        <is>
          <t>Australia</t>
        </is>
      </c>
      <c r="D205" s="33" t="inlineStr">
        <is>
          <t>NonProd</t>
        </is>
      </c>
      <c r="E205" s="32" t="inlineStr">
        <is>
          <t>Standard_E32ads_v5</t>
        </is>
      </c>
      <c r="F205" s="33" t="inlineStr">
        <is>
          <t>Eadsv5</t>
        </is>
      </c>
      <c r="G205" s="34" t="n">
        <v>32</v>
      </c>
      <c r="H205" s="32" t="inlineStr">
        <is>
          <t>crg-np-aue-reg</t>
        </is>
      </c>
      <c r="I205" s="23" t="n">
        <v>180</v>
      </c>
      <c r="J205" s="23" t="n">
        <v>160</v>
      </c>
      <c r="K205" s="24">
        <f>I205+J205</f>
        <v/>
      </c>
      <c r="L205" s="24">
        <f>K205-I205</f>
        <v/>
      </c>
      <c r="M205" s="33" t="inlineStr">
        <is>
          <t>Standard</t>
        </is>
      </c>
      <c r="N205" s="32" t="inlineStr">
        <is>
          <t>Synthetic estate</t>
        </is>
      </c>
    </row>
    <row r="206">
      <c r="A206" s="32" t="inlineStr">
        <is>
          <t>Australia East</t>
        </is>
      </c>
      <c r="B206" s="32" t="inlineStr">
        <is>
          <t>australiaeast</t>
        </is>
      </c>
      <c r="C206" s="33" t="inlineStr">
        <is>
          <t>Australia</t>
        </is>
      </c>
      <c r="D206" s="33" t="inlineStr">
        <is>
          <t>NonProd</t>
        </is>
      </c>
      <c r="E206" s="32" t="inlineStr">
        <is>
          <t>Standard_E64ads_v5</t>
        </is>
      </c>
      <c r="F206" s="33" t="inlineStr">
        <is>
          <t>Eadsv5</t>
        </is>
      </c>
      <c r="G206" s="34" t="n">
        <v>64</v>
      </c>
      <c r="H206" s="32" t="inlineStr">
        <is>
          <t>crg-np-aue-reg</t>
        </is>
      </c>
      <c r="I206" s="23" t="n">
        <v>360</v>
      </c>
      <c r="J206" s="23" t="n">
        <v>320</v>
      </c>
      <c r="K206" s="24">
        <f>I206+J206</f>
        <v/>
      </c>
      <c r="L206" s="24">
        <f>K206-I206</f>
        <v/>
      </c>
      <c r="M206" s="33" t="inlineStr">
        <is>
          <t>Standard</t>
        </is>
      </c>
      <c r="N206" s="32" t="inlineStr">
        <is>
          <t>Synthetic estate</t>
        </is>
      </c>
    </row>
    <row r="207">
      <c r="A207" s="32" t="inlineStr">
        <is>
          <t>Australia East</t>
        </is>
      </c>
      <c r="B207" s="32" t="inlineStr">
        <is>
          <t>australiaeast</t>
        </is>
      </c>
      <c r="C207" s="33" t="inlineStr">
        <is>
          <t>Australia</t>
        </is>
      </c>
      <c r="D207" s="33" t="inlineStr">
        <is>
          <t>NonProd</t>
        </is>
      </c>
      <c r="E207" s="32" t="inlineStr">
        <is>
          <t>Standard_E16ads_v5</t>
        </is>
      </c>
      <c r="F207" s="33" t="inlineStr">
        <is>
          <t>Eadsv5</t>
        </is>
      </c>
      <c r="G207" s="34" t="n">
        <v>16</v>
      </c>
      <c r="H207" s="32" t="inlineStr">
        <is>
          <t>crg-np-aue-reg</t>
        </is>
      </c>
      <c r="I207" s="23" t="n">
        <v>90</v>
      </c>
      <c r="J207" s="23" t="n">
        <v>80</v>
      </c>
      <c r="K207" s="24">
        <f>I207+J207</f>
        <v/>
      </c>
      <c r="L207" s="24">
        <f>K207-I207</f>
        <v/>
      </c>
      <c r="M207" s="33" t="inlineStr">
        <is>
          <t>Standard</t>
        </is>
      </c>
      <c r="N207" s="32" t="inlineStr">
        <is>
          <t>Synthetic estate</t>
        </is>
      </c>
    </row>
    <row r="208">
      <c r="A208" s="32" t="inlineStr">
        <is>
          <t>Australia East</t>
        </is>
      </c>
      <c r="B208" s="32" t="inlineStr">
        <is>
          <t>australiaeast</t>
        </is>
      </c>
      <c r="C208" s="33" t="inlineStr">
        <is>
          <t>Australia</t>
        </is>
      </c>
      <c r="D208" s="33" t="inlineStr">
        <is>
          <t>NonProd</t>
        </is>
      </c>
      <c r="E208" s="32" t="inlineStr">
        <is>
          <t>Standard_E32ads_v6</t>
        </is>
      </c>
      <c r="F208" s="33" t="inlineStr">
        <is>
          <t>Eadsv6</t>
        </is>
      </c>
      <c r="G208" s="34" t="n">
        <v>32</v>
      </c>
      <c r="H208" s="32" t="inlineStr">
        <is>
          <t>crg-np-aue-reg</t>
        </is>
      </c>
      <c r="I208" s="23" t="n">
        <v>180</v>
      </c>
      <c r="J208" s="23" t="n">
        <v>160</v>
      </c>
      <c r="K208" s="24">
        <f>I208+J208</f>
        <v/>
      </c>
      <c r="L208" s="24">
        <f>K208-I208</f>
        <v/>
      </c>
      <c r="M208" s="33" t="inlineStr">
        <is>
          <t>Standard</t>
        </is>
      </c>
      <c r="N208" s="32" t="inlineStr">
        <is>
          <t>Synthetic estate</t>
        </is>
      </c>
    </row>
    <row r="209">
      <c r="A209" s="32" t="inlineStr">
        <is>
          <t>Australia East</t>
        </is>
      </c>
      <c r="B209" s="32" t="inlineStr">
        <is>
          <t>australiaeast</t>
        </is>
      </c>
      <c r="C209" s="33" t="inlineStr">
        <is>
          <t>Australia</t>
        </is>
      </c>
      <c r="D209" s="33" t="inlineStr">
        <is>
          <t>NonProd</t>
        </is>
      </c>
      <c r="E209" s="32" t="inlineStr">
        <is>
          <t>Standard_D8ads_v5</t>
        </is>
      </c>
      <c r="F209" s="33" t="inlineStr">
        <is>
          <t>Dadsv5</t>
        </is>
      </c>
      <c r="G209" s="34" t="n">
        <v>8</v>
      </c>
      <c r="H209" s="32" t="inlineStr">
        <is>
          <t>crg-np-aue-reg</t>
        </is>
      </c>
      <c r="I209" s="23" t="n">
        <v>45</v>
      </c>
      <c r="J209" s="23" t="n">
        <v>40</v>
      </c>
      <c r="K209" s="24">
        <f>I209+J209</f>
        <v/>
      </c>
      <c r="L209" s="24">
        <f>K209-I209</f>
        <v/>
      </c>
      <c r="M209" s="33" t="inlineStr">
        <is>
          <t>Standard</t>
        </is>
      </c>
      <c r="N209" s="32" t="inlineStr">
        <is>
          <t>Synthetic estate</t>
        </is>
      </c>
    </row>
    <row r="210">
      <c r="A210" s="32" t="inlineStr">
        <is>
          <t>Australia East</t>
        </is>
      </c>
      <c r="B210" s="32" t="inlineStr">
        <is>
          <t>australiaeast</t>
        </is>
      </c>
      <c r="C210" s="33" t="inlineStr">
        <is>
          <t>Australia</t>
        </is>
      </c>
      <c r="D210" s="33" t="inlineStr">
        <is>
          <t>NonProd</t>
        </is>
      </c>
      <c r="E210" s="32" t="inlineStr">
        <is>
          <t>Standard_D16ads_v5</t>
        </is>
      </c>
      <c r="F210" s="33" t="inlineStr">
        <is>
          <t>Dadsv5</t>
        </is>
      </c>
      <c r="G210" s="34" t="n">
        <v>16</v>
      </c>
      <c r="H210" s="32" t="inlineStr">
        <is>
          <t>crg-np-aue-reg</t>
        </is>
      </c>
      <c r="I210" s="23" t="n">
        <v>90</v>
      </c>
      <c r="J210" s="23" t="n">
        <v>80</v>
      </c>
      <c r="K210" s="24">
        <f>I210+J210</f>
        <v/>
      </c>
      <c r="L210" s="24">
        <f>K210-I210</f>
        <v/>
      </c>
      <c r="M210" s="33" t="inlineStr">
        <is>
          <t>Standard</t>
        </is>
      </c>
      <c r="N210" s="32" t="inlineStr">
        <is>
          <t>Synthetic estate</t>
        </is>
      </c>
    </row>
    <row r="211">
      <c r="A211" s="32" t="inlineStr">
        <is>
          <t>Australia East</t>
        </is>
      </c>
      <c r="B211" s="32" t="inlineStr">
        <is>
          <t>australiaeast</t>
        </is>
      </c>
      <c r="C211" s="33" t="inlineStr">
        <is>
          <t>Australia</t>
        </is>
      </c>
      <c r="D211" s="33" t="inlineStr">
        <is>
          <t>NonProd</t>
        </is>
      </c>
      <c r="E211" s="32" t="inlineStr">
        <is>
          <t>Standard_D8as_v5</t>
        </is>
      </c>
      <c r="F211" s="33" t="inlineStr">
        <is>
          <t>Dasv5</t>
        </is>
      </c>
      <c r="G211" s="34" t="n">
        <v>8</v>
      </c>
      <c r="H211" s="32" t="inlineStr">
        <is>
          <t>crg-np-aue-reg</t>
        </is>
      </c>
      <c r="I211" s="23" t="n">
        <v>45</v>
      </c>
      <c r="J211" s="23" t="n">
        <v>40</v>
      </c>
      <c r="K211" s="24">
        <f>I211+J211</f>
        <v/>
      </c>
      <c r="L211" s="24">
        <f>K211-I211</f>
        <v/>
      </c>
      <c r="M211" s="33" t="inlineStr">
        <is>
          <t>Standard</t>
        </is>
      </c>
      <c r="N211" s="32" t="inlineStr">
        <is>
          <t>Synthetic estate</t>
        </is>
      </c>
    </row>
    <row r="212">
      <c r="A212" s="32" t="inlineStr">
        <is>
          <t>Australia East</t>
        </is>
      </c>
      <c r="B212" s="32" t="inlineStr">
        <is>
          <t>australiaeast</t>
        </is>
      </c>
      <c r="C212" s="33" t="inlineStr">
        <is>
          <t>Australia</t>
        </is>
      </c>
      <c r="D212" s="33" t="inlineStr">
        <is>
          <t>NonProd</t>
        </is>
      </c>
      <c r="E212" s="32" t="inlineStr">
        <is>
          <t>Standard_D16as_v5</t>
        </is>
      </c>
      <c r="F212" s="33" t="inlineStr">
        <is>
          <t>Dasv5</t>
        </is>
      </c>
      <c r="G212" s="34" t="n">
        <v>16</v>
      </c>
      <c r="H212" s="32" t="inlineStr">
        <is>
          <t>crg-np-aue-reg</t>
        </is>
      </c>
      <c r="I212" s="23" t="n">
        <v>90</v>
      </c>
      <c r="J212" s="23" t="n">
        <v>80</v>
      </c>
      <c r="K212" s="24">
        <f>I212+J212</f>
        <v/>
      </c>
      <c r="L212" s="24">
        <f>K212-I212</f>
        <v/>
      </c>
      <c r="M212" s="33" t="inlineStr">
        <is>
          <t>Standard</t>
        </is>
      </c>
      <c r="N212" s="32" t="inlineStr">
        <is>
          <t>Synthetic estate</t>
        </is>
      </c>
    </row>
    <row r="213">
      <c r="A213" s="32" t="inlineStr">
        <is>
          <t>Australia East</t>
        </is>
      </c>
      <c r="B213" s="32" t="inlineStr">
        <is>
          <t>australiaeast</t>
        </is>
      </c>
      <c r="C213" s="33" t="inlineStr">
        <is>
          <t>Australia</t>
        </is>
      </c>
      <c r="D213" s="33" t="inlineStr">
        <is>
          <t>DR</t>
        </is>
      </c>
      <c r="E213" s="32" t="inlineStr">
        <is>
          <t>Standard_E32ads_v5</t>
        </is>
      </c>
      <c r="F213" s="33" t="inlineStr">
        <is>
          <t>Eadsv5</t>
        </is>
      </c>
      <c r="G213" s="34" t="n">
        <v>32</v>
      </c>
      <c r="H213" s="32" t="inlineStr">
        <is>
          <t>crg-dr-aue-reg</t>
        </is>
      </c>
      <c r="I213" s="23" t="n">
        <v>24</v>
      </c>
      <c r="J213" s="23" t="n">
        <v>48</v>
      </c>
      <c r="K213" s="24">
        <f>I213+J213</f>
        <v/>
      </c>
      <c r="L213" s="24">
        <f>K213-I213</f>
        <v/>
      </c>
      <c r="M213" s="33" t="inlineStr">
        <is>
          <t>Standard</t>
        </is>
      </c>
      <c r="N213" s="32" t="inlineStr">
        <is>
          <t>Synthetic estate</t>
        </is>
      </c>
    </row>
    <row r="214">
      <c r="A214" s="32" t="inlineStr">
        <is>
          <t>Australia East</t>
        </is>
      </c>
      <c r="B214" s="32" t="inlineStr">
        <is>
          <t>australiaeast</t>
        </is>
      </c>
      <c r="C214" s="33" t="inlineStr">
        <is>
          <t>Australia</t>
        </is>
      </c>
      <c r="D214" s="33" t="inlineStr">
        <is>
          <t>DR</t>
        </is>
      </c>
      <c r="E214" s="32" t="inlineStr">
        <is>
          <t>Standard_E64ads_v5</t>
        </is>
      </c>
      <c r="F214" s="33" t="inlineStr">
        <is>
          <t>Eadsv5</t>
        </is>
      </c>
      <c r="G214" s="34" t="n">
        <v>64</v>
      </c>
      <c r="H214" s="32" t="inlineStr">
        <is>
          <t>crg-dr-aue-reg</t>
        </is>
      </c>
      <c r="I214" s="23" t="n">
        <v>48</v>
      </c>
      <c r="J214" s="23" t="n">
        <v>96</v>
      </c>
      <c r="K214" s="24">
        <f>I214+J214</f>
        <v/>
      </c>
      <c r="L214" s="24">
        <f>K214-I214</f>
        <v/>
      </c>
      <c r="M214" s="33" t="inlineStr">
        <is>
          <t>Standard</t>
        </is>
      </c>
      <c r="N214" s="32" t="inlineStr">
        <is>
          <t>Synthetic estate</t>
        </is>
      </c>
    </row>
    <row r="215">
      <c r="A215" s="32" t="inlineStr">
        <is>
          <t>Australia East</t>
        </is>
      </c>
      <c r="B215" s="32" t="inlineStr">
        <is>
          <t>australiaeast</t>
        </is>
      </c>
      <c r="C215" s="33" t="inlineStr">
        <is>
          <t>Australia</t>
        </is>
      </c>
      <c r="D215" s="33" t="inlineStr">
        <is>
          <t>DR</t>
        </is>
      </c>
      <c r="E215" s="32" t="inlineStr">
        <is>
          <t>Standard_E16ads_v5</t>
        </is>
      </c>
      <c r="F215" s="33" t="inlineStr">
        <is>
          <t>Eadsv5</t>
        </is>
      </c>
      <c r="G215" s="34" t="n">
        <v>16</v>
      </c>
      <c r="H215" s="32" t="inlineStr">
        <is>
          <t>crg-dr-aue-reg</t>
        </is>
      </c>
      <c r="I215" s="23" t="n">
        <v>12</v>
      </c>
      <c r="J215" s="23" t="n">
        <v>24</v>
      </c>
      <c r="K215" s="24">
        <f>I215+J215</f>
        <v/>
      </c>
      <c r="L215" s="24">
        <f>K215-I215</f>
        <v/>
      </c>
      <c r="M215" s="33" t="inlineStr">
        <is>
          <t>Standard</t>
        </is>
      </c>
      <c r="N215" s="32" t="inlineStr">
        <is>
          <t>Synthetic estate</t>
        </is>
      </c>
    </row>
    <row r="216">
      <c r="A216" s="32" t="inlineStr">
        <is>
          <t>Australia East</t>
        </is>
      </c>
      <c r="B216" s="32" t="inlineStr">
        <is>
          <t>australiaeast</t>
        </is>
      </c>
      <c r="C216" s="33" t="inlineStr">
        <is>
          <t>Australia</t>
        </is>
      </c>
      <c r="D216" s="33" t="inlineStr">
        <is>
          <t>DR</t>
        </is>
      </c>
      <c r="E216" s="32" t="inlineStr">
        <is>
          <t>Standard_E32ads_v6</t>
        </is>
      </c>
      <c r="F216" s="33" t="inlineStr">
        <is>
          <t>Eadsv6</t>
        </is>
      </c>
      <c r="G216" s="34" t="n">
        <v>32</v>
      </c>
      <c r="H216" s="32" t="inlineStr">
        <is>
          <t>crg-dr-aue-reg</t>
        </is>
      </c>
      <c r="I216" s="23" t="n">
        <v>24</v>
      </c>
      <c r="J216" s="23" t="n">
        <v>48</v>
      </c>
      <c r="K216" s="24">
        <f>I216+J216</f>
        <v/>
      </c>
      <c r="L216" s="24">
        <f>K216-I216</f>
        <v/>
      </c>
      <c r="M216" s="33" t="inlineStr">
        <is>
          <t>Standard</t>
        </is>
      </c>
      <c r="N216" s="32" t="inlineStr">
        <is>
          <t>Synthetic estate</t>
        </is>
      </c>
    </row>
    <row r="217">
      <c r="A217" s="32" t="inlineStr">
        <is>
          <t>Australia East</t>
        </is>
      </c>
      <c r="B217" s="32" t="inlineStr">
        <is>
          <t>australiaeast</t>
        </is>
      </c>
      <c r="C217" s="33" t="inlineStr">
        <is>
          <t>Australia</t>
        </is>
      </c>
      <c r="D217" s="33" t="inlineStr">
        <is>
          <t>DR</t>
        </is>
      </c>
      <c r="E217" s="32" t="inlineStr">
        <is>
          <t>Standard_D8ads_v5</t>
        </is>
      </c>
      <c r="F217" s="33" t="inlineStr">
        <is>
          <t>Dadsv5</t>
        </is>
      </c>
      <c r="G217" s="34" t="n">
        <v>8</v>
      </c>
      <c r="H217" s="32" t="inlineStr">
        <is>
          <t>crg-dr-aue-reg</t>
        </is>
      </c>
      <c r="I217" s="23" t="n">
        <v>6</v>
      </c>
      <c r="J217" s="23" t="n">
        <v>12</v>
      </c>
      <c r="K217" s="24">
        <f>I217+J217</f>
        <v/>
      </c>
      <c r="L217" s="24">
        <f>K217-I217</f>
        <v/>
      </c>
      <c r="M217" s="33" t="inlineStr">
        <is>
          <t>Standard</t>
        </is>
      </c>
      <c r="N217" s="32" t="inlineStr">
        <is>
          <t>Synthetic estate</t>
        </is>
      </c>
    </row>
    <row r="218">
      <c r="A218" s="32" t="inlineStr">
        <is>
          <t>Australia East</t>
        </is>
      </c>
      <c r="B218" s="32" t="inlineStr">
        <is>
          <t>australiaeast</t>
        </is>
      </c>
      <c r="C218" s="33" t="inlineStr">
        <is>
          <t>Australia</t>
        </is>
      </c>
      <c r="D218" s="33" t="inlineStr">
        <is>
          <t>DR</t>
        </is>
      </c>
      <c r="E218" s="32" t="inlineStr">
        <is>
          <t>Standard_D16ads_v5</t>
        </is>
      </c>
      <c r="F218" s="33" t="inlineStr">
        <is>
          <t>Dadsv5</t>
        </is>
      </c>
      <c r="G218" s="34" t="n">
        <v>16</v>
      </c>
      <c r="H218" s="32" t="inlineStr">
        <is>
          <t>crg-dr-aue-reg</t>
        </is>
      </c>
      <c r="I218" s="23" t="n">
        <v>12</v>
      </c>
      <c r="J218" s="23" t="n">
        <v>24</v>
      </c>
      <c r="K218" s="24">
        <f>I218+J218</f>
        <v/>
      </c>
      <c r="L218" s="24">
        <f>K218-I218</f>
        <v/>
      </c>
      <c r="M218" s="33" t="inlineStr">
        <is>
          <t>Standard</t>
        </is>
      </c>
      <c r="N218" s="32" t="inlineStr">
        <is>
          <t>Synthetic estate</t>
        </is>
      </c>
    </row>
    <row r="219">
      <c r="A219" s="32" t="inlineStr">
        <is>
          <t>Australia East</t>
        </is>
      </c>
      <c r="B219" s="32" t="inlineStr">
        <is>
          <t>australiaeast</t>
        </is>
      </c>
      <c r="C219" s="33" t="inlineStr">
        <is>
          <t>Australia</t>
        </is>
      </c>
      <c r="D219" s="33" t="inlineStr">
        <is>
          <t>DR</t>
        </is>
      </c>
      <c r="E219" s="32" t="inlineStr">
        <is>
          <t>Standard_D8as_v5</t>
        </is>
      </c>
      <c r="F219" s="33" t="inlineStr">
        <is>
          <t>Dasv5</t>
        </is>
      </c>
      <c r="G219" s="34" t="n">
        <v>8</v>
      </c>
      <c r="H219" s="32" t="inlineStr">
        <is>
          <t>crg-dr-aue-reg</t>
        </is>
      </c>
      <c r="I219" s="23" t="n">
        <v>6</v>
      </c>
      <c r="J219" s="23" t="n">
        <v>12</v>
      </c>
      <c r="K219" s="24">
        <f>I219+J219</f>
        <v/>
      </c>
      <c r="L219" s="24">
        <f>K219-I219</f>
        <v/>
      </c>
      <c r="M219" s="33" t="inlineStr">
        <is>
          <t>Standard</t>
        </is>
      </c>
      <c r="N219" s="32" t="inlineStr">
        <is>
          <t>Synthetic estate</t>
        </is>
      </c>
    </row>
    <row r="220">
      <c r="A220" s="32" t="inlineStr">
        <is>
          <t>Australia East</t>
        </is>
      </c>
      <c r="B220" s="32" t="inlineStr">
        <is>
          <t>australiaeast</t>
        </is>
      </c>
      <c r="C220" s="33" t="inlineStr">
        <is>
          <t>Australia</t>
        </is>
      </c>
      <c r="D220" s="33" t="inlineStr">
        <is>
          <t>DR</t>
        </is>
      </c>
      <c r="E220" s="32" t="inlineStr">
        <is>
          <t>Standard_D16as_v5</t>
        </is>
      </c>
      <c r="F220" s="33" t="inlineStr">
        <is>
          <t>Dasv5</t>
        </is>
      </c>
      <c r="G220" s="34" t="n">
        <v>16</v>
      </c>
      <c r="H220" s="32" t="inlineStr">
        <is>
          <t>crg-dr-aue-reg</t>
        </is>
      </c>
      <c r="I220" s="23" t="n">
        <v>12</v>
      </c>
      <c r="J220" s="23" t="n">
        <v>24</v>
      </c>
      <c r="K220" s="24">
        <f>I220+J220</f>
        <v/>
      </c>
      <c r="L220" s="24">
        <f>K220-I220</f>
        <v/>
      </c>
      <c r="M220" s="33" t="inlineStr">
        <is>
          <t>Standard</t>
        </is>
      </c>
      <c r="N220" s="32" t="inlineStr">
        <is>
          <t>Synthetic estate</t>
        </is>
      </c>
    </row>
    <row r="221">
      <c r="A221" s="32" t="inlineStr">
        <is>
          <t>Australia Southeast</t>
        </is>
      </c>
      <c r="B221" s="32" t="inlineStr">
        <is>
          <t>australiasoutheast</t>
        </is>
      </c>
      <c r="C221" s="33" t="inlineStr">
        <is>
          <t>Australia</t>
        </is>
      </c>
      <c r="D221" s="33" t="inlineStr">
        <is>
          <t>Prod</t>
        </is>
      </c>
      <c r="E221" s="32" t="inlineStr">
        <is>
          <t>Standard_E32ads_v5</t>
        </is>
      </c>
      <c r="F221" s="33" t="inlineStr">
        <is>
          <t>Eadsv5</t>
        </is>
      </c>
      <c r="G221" s="34" t="n">
        <v>32</v>
      </c>
      <c r="H221" s="32" t="inlineStr">
        <is>
          <t>crg-pr-aus-reg</t>
        </is>
      </c>
      <c r="I221" s="23" t="n">
        <v>220</v>
      </c>
      <c r="J221" s="23" t="n">
        <v>100</v>
      </c>
      <c r="K221" s="24">
        <f>I221+J221</f>
        <v/>
      </c>
      <c r="L221" s="24">
        <f>K221-I221</f>
        <v/>
      </c>
      <c r="M221" s="33" t="inlineStr">
        <is>
          <t>Standard</t>
        </is>
      </c>
      <c r="N221" s="32" t="inlineStr">
        <is>
          <t>2 availability zones — ε = 2/3</t>
        </is>
      </c>
    </row>
    <row r="222">
      <c r="A222" s="32" t="inlineStr">
        <is>
          <t>Australia Southeast</t>
        </is>
      </c>
      <c r="B222" s="32" t="inlineStr">
        <is>
          <t>australiasoutheast</t>
        </is>
      </c>
      <c r="C222" s="33" t="inlineStr">
        <is>
          <t>Australia</t>
        </is>
      </c>
      <c r="D222" s="33" t="inlineStr">
        <is>
          <t>Prod</t>
        </is>
      </c>
      <c r="E222" s="32" t="inlineStr">
        <is>
          <t>Standard_E64ads_v5</t>
        </is>
      </c>
      <c r="F222" s="33" t="inlineStr">
        <is>
          <t>Eadsv5</t>
        </is>
      </c>
      <c r="G222" s="34" t="n">
        <v>64</v>
      </c>
      <c r="H222" s="32" t="inlineStr">
        <is>
          <t>crg-pr-aus-reg</t>
        </is>
      </c>
      <c r="I222" s="23" t="n">
        <v>440</v>
      </c>
      <c r="J222" s="23" t="n">
        <v>200</v>
      </c>
      <c r="K222" s="24">
        <f>I222+J222</f>
        <v/>
      </c>
      <c r="L222" s="24">
        <f>K222-I222</f>
        <v/>
      </c>
      <c r="M222" s="33" t="inlineStr">
        <is>
          <t>Standard</t>
        </is>
      </c>
      <c r="N222" s="32" t="inlineStr">
        <is>
          <t>2 availability zones — ε = 2/3</t>
        </is>
      </c>
    </row>
    <row r="223">
      <c r="A223" s="32" t="inlineStr">
        <is>
          <t>Australia Southeast</t>
        </is>
      </c>
      <c r="B223" s="32" t="inlineStr">
        <is>
          <t>australiasoutheast</t>
        </is>
      </c>
      <c r="C223" s="33" t="inlineStr">
        <is>
          <t>Australia</t>
        </is>
      </c>
      <c r="D223" s="33" t="inlineStr">
        <is>
          <t>Prod</t>
        </is>
      </c>
      <c r="E223" s="32" t="inlineStr">
        <is>
          <t>Standard_E16ads_v5</t>
        </is>
      </c>
      <c r="F223" s="33" t="inlineStr">
        <is>
          <t>Eadsv5</t>
        </is>
      </c>
      <c r="G223" s="34" t="n">
        <v>16</v>
      </c>
      <c r="H223" s="32" t="inlineStr">
        <is>
          <t>crg-pr-aus-reg</t>
        </is>
      </c>
      <c r="I223" s="23" t="n">
        <v>110</v>
      </c>
      <c r="J223" s="23" t="n">
        <v>50</v>
      </c>
      <c r="K223" s="24">
        <f>I223+J223</f>
        <v/>
      </c>
      <c r="L223" s="24">
        <f>K223-I223</f>
        <v/>
      </c>
      <c r="M223" s="33" t="inlineStr">
        <is>
          <t>Standard</t>
        </is>
      </c>
      <c r="N223" s="32" t="inlineStr">
        <is>
          <t>2 availability zones — ε = 2/3</t>
        </is>
      </c>
    </row>
    <row r="224">
      <c r="A224" s="32" t="inlineStr">
        <is>
          <t>Australia Southeast</t>
        </is>
      </c>
      <c r="B224" s="32" t="inlineStr">
        <is>
          <t>australiasoutheast</t>
        </is>
      </c>
      <c r="C224" s="33" t="inlineStr">
        <is>
          <t>Australia</t>
        </is>
      </c>
      <c r="D224" s="33" t="inlineStr">
        <is>
          <t>Prod</t>
        </is>
      </c>
      <c r="E224" s="32" t="inlineStr">
        <is>
          <t>Standard_E32ads_v6</t>
        </is>
      </c>
      <c r="F224" s="33" t="inlineStr">
        <is>
          <t>Eadsv6</t>
        </is>
      </c>
      <c r="G224" s="34" t="n">
        <v>32</v>
      </c>
      <c r="H224" s="32" t="inlineStr">
        <is>
          <t>crg-pr-aus-reg</t>
        </is>
      </c>
      <c r="I224" s="23" t="n">
        <v>220</v>
      </c>
      <c r="J224" s="23" t="n">
        <v>100</v>
      </c>
      <c r="K224" s="24">
        <f>I224+J224</f>
        <v/>
      </c>
      <c r="L224" s="24">
        <f>K224-I224</f>
        <v/>
      </c>
      <c r="M224" s="33" t="inlineStr">
        <is>
          <t>Standard</t>
        </is>
      </c>
      <c r="N224" s="32" t="inlineStr">
        <is>
          <t>2 availability zones — ε = 2/3</t>
        </is>
      </c>
    </row>
    <row r="225">
      <c r="A225" s="32" t="inlineStr">
        <is>
          <t>Australia Southeast</t>
        </is>
      </c>
      <c r="B225" s="32" t="inlineStr">
        <is>
          <t>australiasoutheast</t>
        </is>
      </c>
      <c r="C225" s="33" t="inlineStr">
        <is>
          <t>Australia</t>
        </is>
      </c>
      <c r="D225" s="33" t="inlineStr">
        <is>
          <t>Prod</t>
        </is>
      </c>
      <c r="E225" s="32" t="inlineStr">
        <is>
          <t>Standard_D8ads_v5</t>
        </is>
      </c>
      <c r="F225" s="33" t="inlineStr">
        <is>
          <t>Dadsv5</t>
        </is>
      </c>
      <c r="G225" s="34" t="n">
        <v>8</v>
      </c>
      <c r="H225" s="32" t="inlineStr">
        <is>
          <t>crg-pr-aus-reg</t>
        </is>
      </c>
      <c r="I225" s="23" t="n">
        <v>55</v>
      </c>
      <c r="J225" s="23" t="n">
        <v>25</v>
      </c>
      <c r="K225" s="24">
        <f>I225+J225</f>
        <v/>
      </c>
      <c r="L225" s="24">
        <f>K225-I225</f>
        <v/>
      </c>
      <c r="M225" s="33" t="inlineStr">
        <is>
          <t>Standard</t>
        </is>
      </c>
      <c r="N225" s="32" t="inlineStr">
        <is>
          <t>2 availability zones — ε = 2/3</t>
        </is>
      </c>
    </row>
    <row r="226">
      <c r="A226" s="32" t="inlineStr">
        <is>
          <t>Australia Southeast</t>
        </is>
      </c>
      <c r="B226" s="32" t="inlineStr">
        <is>
          <t>australiasoutheast</t>
        </is>
      </c>
      <c r="C226" s="33" t="inlineStr">
        <is>
          <t>Australia</t>
        </is>
      </c>
      <c r="D226" s="33" t="inlineStr">
        <is>
          <t>Prod</t>
        </is>
      </c>
      <c r="E226" s="32" t="inlineStr">
        <is>
          <t>Standard_D16ads_v5</t>
        </is>
      </c>
      <c r="F226" s="33" t="inlineStr">
        <is>
          <t>Dadsv5</t>
        </is>
      </c>
      <c r="G226" s="34" t="n">
        <v>16</v>
      </c>
      <c r="H226" s="32" t="inlineStr">
        <is>
          <t>crg-pr-aus-reg</t>
        </is>
      </c>
      <c r="I226" s="23" t="n">
        <v>110</v>
      </c>
      <c r="J226" s="23" t="n">
        <v>50</v>
      </c>
      <c r="K226" s="24">
        <f>I226+J226</f>
        <v/>
      </c>
      <c r="L226" s="24">
        <f>K226-I226</f>
        <v/>
      </c>
      <c r="M226" s="33" t="inlineStr">
        <is>
          <t>Standard</t>
        </is>
      </c>
      <c r="N226" s="32" t="inlineStr">
        <is>
          <t>2 availability zones — ε = 2/3</t>
        </is>
      </c>
    </row>
    <row r="227">
      <c r="A227" s="32" t="inlineStr">
        <is>
          <t>Australia Southeast</t>
        </is>
      </c>
      <c r="B227" s="32" t="inlineStr">
        <is>
          <t>australiasoutheast</t>
        </is>
      </c>
      <c r="C227" s="33" t="inlineStr">
        <is>
          <t>Australia</t>
        </is>
      </c>
      <c r="D227" s="33" t="inlineStr">
        <is>
          <t>Prod</t>
        </is>
      </c>
      <c r="E227" s="32" t="inlineStr">
        <is>
          <t>Standard_D8as_v5</t>
        </is>
      </c>
      <c r="F227" s="33" t="inlineStr">
        <is>
          <t>Dasv5</t>
        </is>
      </c>
      <c r="G227" s="34" t="n">
        <v>8</v>
      </c>
      <c r="H227" s="32" t="inlineStr">
        <is>
          <t>crg-pr-aus-reg</t>
        </is>
      </c>
      <c r="I227" s="23" t="n">
        <v>55</v>
      </c>
      <c r="J227" s="23" t="n">
        <v>25</v>
      </c>
      <c r="K227" s="24">
        <f>I227+J227</f>
        <v/>
      </c>
      <c r="L227" s="24">
        <f>K227-I227</f>
        <v/>
      </c>
      <c r="M227" s="33" t="inlineStr">
        <is>
          <t>Standard</t>
        </is>
      </c>
      <c r="N227" s="32" t="inlineStr">
        <is>
          <t>2 availability zones — ε = 2/3</t>
        </is>
      </c>
    </row>
    <row r="228">
      <c r="A228" s="32" t="inlineStr">
        <is>
          <t>Australia Southeast</t>
        </is>
      </c>
      <c r="B228" s="32" t="inlineStr">
        <is>
          <t>australiasoutheast</t>
        </is>
      </c>
      <c r="C228" s="33" t="inlineStr">
        <is>
          <t>Australia</t>
        </is>
      </c>
      <c r="D228" s="33" t="inlineStr">
        <is>
          <t>Prod</t>
        </is>
      </c>
      <c r="E228" s="32" t="inlineStr">
        <is>
          <t>Standard_D16as_v5</t>
        </is>
      </c>
      <c r="F228" s="33" t="inlineStr">
        <is>
          <t>Dasv5</t>
        </is>
      </c>
      <c r="G228" s="34" t="n">
        <v>16</v>
      </c>
      <c r="H228" s="32" t="inlineStr">
        <is>
          <t>crg-pr-aus-reg</t>
        </is>
      </c>
      <c r="I228" s="23" t="n">
        <v>110</v>
      </c>
      <c r="J228" s="23" t="n">
        <v>50</v>
      </c>
      <c r="K228" s="24">
        <f>I228+J228</f>
        <v/>
      </c>
      <c r="L228" s="24">
        <f>K228-I228</f>
        <v/>
      </c>
      <c r="M228" s="33" t="inlineStr">
        <is>
          <t>Standard</t>
        </is>
      </c>
      <c r="N228" s="32" t="inlineStr">
        <is>
          <t>2 availability zones — ε = 2/3</t>
        </is>
      </c>
    </row>
    <row r="229">
      <c r="A229" s="32" t="inlineStr">
        <is>
          <t>Australia Southeast</t>
        </is>
      </c>
      <c r="B229" s="32" t="inlineStr">
        <is>
          <t>australiasoutheast</t>
        </is>
      </c>
      <c r="C229" s="33" t="inlineStr">
        <is>
          <t>Australia</t>
        </is>
      </c>
      <c r="D229" s="33" t="inlineStr">
        <is>
          <t>NonProd</t>
        </is>
      </c>
      <c r="E229" s="32" t="inlineStr">
        <is>
          <t>Standard_E32ads_v5</t>
        </is>
      </c>
      <c r="F229" s="33" t="inlineStr">
        <is>
          <t>Eadsv5</t>
        </is>
      </c>
      <c r="G229" s="34" t="n">
        <v>32</v>
      </c>
      <c r="H229" s="32" t="inlineStr">
        <is>
          <t>crg-np-aus-reg</t>
        </is>
      </c>
      <c r="I229" s="23" t="n">
        <v>140</v>
      </c>
      <c r="J229" s="23" t="n">
        <v>220</v>
      </c>
      <c r="K229" s="24">
        <f>I229+J229</f>
        <v/>
      </c>
      <c r="L229" s="24">
        <f>K229-I229</f>
        <v/>
      </c>
      <c r="M229" s="33" t="inlineStr">
        <is>
          <t>Standard</t>
        </is>
      </c>
      <c r="N229" s="32" t="inlineStr">
        <is>
          <t>2 availability zones — ε = 2/3</t>
        </is>
      </c>
    </row>
    <row r="230">
      <c r="A230" s="32" t="inlineStr">
        <is>
          <t>Australia Southeast</t>
        </is>
      </c>
      <c r="B230" s="32" t="inlineStr">
        <is>
          <t>australiasoutheast</t>
        </is>
      </c>
      <c r="C230" s="33" t="inlineStr">
        <is>
          <t>Australia</t>
        </is>
      </c>
      <c r="D230" s="33" t="inlineStr">
        <is>
          <t>NonProd</t>
        </is>
      </c>
      <c r="E230" s="32" t="inlineStr">
        <is>
          <t>Standard_E64ads_v5</t>
        </is>
      </c>
      <c r="F230" s="33" t="inlineStr">
        <is>
          <t>Eadsv5</t>
        </is>
      </c>
      <c r="G230" s="34" t="n">
        <v>64</v>
      </c>
      <c r="H230" s="32" t="inlineStr">
        <is>
          <t>crg-np-aus-reg</t>
        </is>
      </c>
      <c r="I230" s="23" t="n">
        <v>280</v>
      </c>
      <c r="J230" s="23" t="n">
        <v>440</v>
      </c>
      <c r="K230" s="24">
        <f>I230+J230</f>
        <v/>
      </c>
      <c r="L230" s="24">
        <f>K230-I230</f>
        <v/>
      </c>
      <c r="M230" s="33" t="inlineStr">
        <is>
          <t>Standard</t>
        </is>
      </c>
      <c r="N230" s="32" t="inlineStr">
        <is>
          <t>2 availability zones — ε = 2/3</t>
        </is>
      </c>
    </row>
    <row r="231">
      <c r="A231" s="32" t="inlineStr">
        <is>
          <t>Australia Southeast</t>
        </is>
      </c>
      <c r="B231" s="32" t="inlineStr">
        <is>
          <t>australiasoutheast</t>
        </is>
      </c>
      <c r="C231" s="33" t="inlineStr">
        <is>
          <t>Australia</t>
        </is>
      </c>
      <c r="D231" s="33" t="inlineStr">
        <is>
          <t>NonProd</t>
        </is>
      </c>
      <c r="E231" s="32" t="inlineStr">
        <is>
          <t>Standard_E16ads_v5</t>
        </is>
      </c>
      <c r="F231" s="33" t="inlineStr">
        <is>
          <t>Eadsv5</t>
        </is>
      </c>
      <c r="G231" s="34" t="n">
        <v>16</v>
      </c>
      <c r="H231" s="32" t="inlineStr">
        <is>
          <t>crg-np-aus-reg</t>
        </is>
      </c>
      <c r="I231" s="23" t="n">
        <v>70</v>
      </c>
      <c r="J231" s="23" t="n">
        <v>110</v>
      </c>
      <c r="K231" s="24">
        <f>I231+J231</f>
        <v/>
      </c>
      <c r="L231" s="24">
        <f>K231-I231</f>
        <v/>
      </c>
      <c r="M231" s="33" t="inlineStr">
        <is>
          <t>Standard</t>
        </is>
      </c>
      <c r="N231" s="32" t="inlineStr">
        <is>
          <t>2 availability zones — ε = 2/3</t>
        </is>
      </c>
    </row>
    <row r="232">
      <c r="A232" s="32" t="inlineStr">
        <is>
          <t>Australia Southeast</t>
        </is>
      </c>
      <c r="B232" s="32" t="inlineStr">
        <is>
          <t>australiasoutheast</t>
        </is>
      </c>
      <c r="C232" s="33" t="inlineStr">
        <is>
          <t>Australia</t>
        </is>
      </c>
      <c r="D232" s="33" t="inlineStr">
        <is>
          <t>NonProd</t>
        </is>
      </c>
      <c r="E232" s="32" t="inlineStr">
        <is>
          <t>Standard_E32ads_v6</t>
        </is>
      </c>
      <c r="F232" s="33" t="inlineStr">
        <is>
          <t>Eadsv6</t>
        </is>
      </c>
      <c r="G232" s="34" t="n">
        <v>32</v>
      </c>
      <c r="H232" s="32" t="inlineStr">
        <is>
          <t>crg-np-aus-reg</t>
        </is>
      </c>
      <c r="I232" s="23" t="n">
        <v>140</v>
      </c>
      <c r="J232" s="23" t="n">
        <v>220</v>
      </c>
      <c r="K232" s="24">
        <f>I232+J232</f>
        <v/>
      </c>
      <c r="L232" s="24">
        <f>K232-I232</f>
        <v/>
      </c>
      <c r="M232" s="33" t="inlineStr">
        <is>
          <t>Standard</t>
        </is>
      </c>
      <c r="N232" s="32" t="inlineStr">
        <is>
          <t>2 availability zones — ε = 2/3</t>
        </is>
      </c>
    </row>
    <row r="233">
      <c r="A233" s="32" t="inlineStr">
        <is>
          <t>Australia Southeast</t>
        </is>
      </c>
      <c r="B233" s="32" t="inlineStr">
        <is>
          <t>australiasoutheast</t>
        </is>
      </c>
      <c r="C233" s="33" t="inlineStr">
        <is>
          <t>Australia</t>
        </is>
      </c>
      <c r="D233" s="33" t="inlineStr">
        <is>
          <t>NonProd</t>
        </is>
      </c>
      <c r="E233" s="32" t="inlineStr">
        <is>
          <t>Standard_D8ads_v5</t>
        </is>
      </c>
      <c r="F233" s="33" t="inlineStr">
        <is>
          <t>Dadsv5</t>
        </is>
      </c>
      <c r="G233" s="34" t="n">
        <v>8</v>
      </c>
      <c r="H233" s="32" t="inlineStr">
        <is>
          <t>crg-np-aus-reg</t>
        </is>
      </c>
      <c r="I233" s="23" t="n">
        <v>35</v>
      </c>
      <c r="J233" s="23" t="n">
        <v>55</v>
      </c>
      <c r="K233" s="24">
        <f>I233+J233</f>
        <v/>
      </c>
      <c r="L233" s="24">
        <f>K233-I233</f>
        <v/>
      </c>
      <c r="M233" s="33" t="inlineStr">
        <is>
          <t>Standard</t>
        </is>
      </c>
      <c r="N233" s="32" t="inlineStr">
        <is>
          <t>2 availability zones — ε = 2/3</t>
        </is>
      </c>
    </row>
    <row r="234">
      <c r="A234" s="32" t="inlineStr">
        <is>
          <t>Australia Southeast</t>
        </is>
      </c>
      <c r="B234" s="32" t="inlineStr">
        <is>
          <t>australiasoutheast</t>
        </is>
      </c>
      <c r="C234" s="33" t="inlineStr">
        <is>
          <t>Australia</t>
        </is>
      </c>
      <c r="D234" s="33" t="inlineStr">
        <is>
          <t>NonProd</t>
        </is>
      </c>
      <c r="E234" s="32" t="inlineStr">
        <is>
          <t>Standard_D16ads_v5</t>
        </is>
      </c>
      <c r="F234" s="33" t="inlineStr">
        <is>
          <t>Dadsv5</t>
        </is>
      </c>
      <c r="G234" s="34" t="n">
        <v>16</v>
      </c>
      <c r="H234" s="32" t="inlineStr">
        <is>
          <t>crg-np-aus-reg</t>
        </is>
      </c>
      <c r="I234" s="23" t="n">
        <v>70</v>
      </c>
      <c r="J234" s="23" t="n">
        <v>110</v>
      </c>
      <c r="K234" s="24">
        <f>I234+J234</f>
        <v/>
      </c>
      <c r="L234" s="24">
        <f>K234-I234</f>
        <v/>
      </c>
      <c r="M234" s="33" t="inlineStr">
        <is>
          <t>Standard</t>
        </is>
      </c>
      <c r="N234" s="32" t="inlineStr">
        <is>
          <t>2 availability zones — ε = 2/3</t>
        </is>
      </c>
    </row>
    <row r="235">
      <c r="A235" s="32" t="inlineStr">
        <is>
          <t>Australia Southeast</t>
        </is>
      </c>
      <c r="B235" s="32" t="inlineStr">
        <is>
          <t>australiasoutheast</t>
        </is>
      </c>
      <c r="C235" s="33" t="inlineStr">
        <is>
          <t>Australia</t>
        </is>
      </c>
      <c r="D235" s="33" t="inlineStr">
        <is>
          <t>NonProd</t>
        </is>
      </c>
      <c r="E235" s="32" t="inlineStr">
        <is>
          <t>Standard_D8as_v5</t>
        </is>
      </c>
      <c r="F235" s="33" t="inlineStr">
        <is>
          <t>Dasv5</t>
        </is>
      </c>
      <c r="G235" s="34" t="n">
        <v>8</v>
      </c>
      <c r="H235" s="32" t="inlineStr">
        <is>
          <t>crg-np-aus-reg</t>
        </is>
      </c>
      <c r="I235" s="23" t="n">
        <v>35</v>
      </c>
      <c r="J235" s="23" t="n">
        <v>55</v>
      </c>
      <c r="K235" s="24">
        <f>I235+J235</f>
        <v/>
      </c>
      <c r="L235" s="24">
        <f>K235-I235</f>
        <v/>
      </c>
      <c r="M235" s="33" t="inlineStr">
        <is>
          <t>Standard</t>
        </is>
      </c>
      <c r="N235" s="32" t="inlineStr">
        <is>
          <t>2 availability zones — ε = 2/3</t>
        </is>
      </c>
    </row>
    <row r="236">
      <c r="A236" s="32" t="inlineStr">
        <is>
          <t>Australia Southeast</t>
        </is>
      </c>
      <c r="B236" s="32" t="inlineStr">
        <is>
          <t>australiasoutheast</t>
        </is>
      </c>
      <c r="C236" s="33" t="inlineStr">
        <is>
          <t>Australia</t>
        </is>
      </c>
      <c r="D236" s="33" t="inlineStr">
        <is>
          <t>NonProd</t>
        </is>
      </c>
      <c r="E236" s="32" t="inlineStr">
        <is>
          <t>Standard_D16as_v5</t>
        </is>
      </c>
      <c r="F236" s="33" t="inlineStr">
        <is>
          <t>Dasv5</t>
        </is>
      </c>
      <c r="G236" s="34" t="n">
        <v>16</v>
      </c>
      <c r="H236" s="32" t="inlineStr">
        <is>
          <t>crg-np-aus-reg</t>
        </is>
      </c>
      <c r="I236" s="23" t="n">
        <v>70</v>
      </c>
      <c r="J236" s="23" t="n">
        <v>110</v>
      </c>
      <c r="K236" s="24">
        <f>I236+J236</f>
        <v/>
      </c>
      <c r="L236" s="24">
        <f>K236-I236</f>
        <v/>
      </c>
      <c r="M236" s="33" t="inlineStr">
        <is>
          <t>Standard</t>
        </is>
      </c>
      <c r="N236" s="32" t="inlineStr">
        <is>
          <t>2 availability zones — ε = 2/3</t>
        </is>
      </c>
    </row>
    <row r="237">
      <c r="A237" s="32" t="inlineStr">
        <is>
          <t>Australia Southeast</t>
        </is>
      </c>
      <c r="B237" s="32" t="inlineStr">
        <is>
          <t>australiasoutheast</t>
        </is>
      </c>
      <c r="C237" s="33" t="inlineStr">
        <is>
          <t>Australia</t>
        </is>
      </c>
      <c r="D237" s="33" t="inlineStr">
        <is>
          <t>DR</t>
        </is>
      </c>
      <c r="E237" s="32" t="inlineStr">
        <is>
          <t>Standard_E32ads_v5</t>
        </is>
      </c>
      <c r="F237" s="33" t="inlineStr">
        <is>
          <t>Eadsv5</t>
        </is>
      </c>
      <c r="G237" s="34" t="n">
        <v>32</v>
      </c>
      <c r="H237" s="32" t="inlineStr">
        <is>
          <t>crg-dr-aus-reg</t>
        </is>
      </c>
      <c r="I237" s="23" t="n">
        <v>20</v>
      </c>
      <c r="J237" s="23" t="n">
        <v>36</v>
      </c>
      <c r="K237" s="24">
        <f>I237+J237</f>
        <v/>
      </c>
      <c r="L237" s="24">
        <f>K237-I237</f>
        <v/>
      </c>
      <c r="M237" s="33" t="inlineStr">
        <is>
          <t>Standard</t>
        </is>
      </c>
      <c r="N237" s="32" t="inlineStr">
        <is>
          <t>2 availability zones — ε = 2/3</t>
        </is>
      </c>
    </row>
    <row r="238">
      <c r="A238" s="32" t="inlineStr">
        <is>
          <t>Australia Southeast</t>
        </is>
      </c>
      <c r="B238" s="32" t="inlineStr">
        <is>
          <t>australiasoutheast</t>
        </is>
      </c>
      <c r="C238" s="33" t="inlineStr">
        <is>
          <t>Australia</t>
        </is>
      </c>
      <c r="D238" s="33" t="inlineStr">
        <is>
          <t>DR</t>
        </is>
      </c>
      <c r="E238" s="32" t="inlineStr">
        <is>
          <t>Standard_E64ads_v5</t>
        </is>
      </c>
      <c r="F238" s="33" t="inlineStr">
        <is>
          <t>Eadsv5</t>
        </is>
      </c>
      <c r="G238" s="34" t="n">
        <v>64</v>
      </c>
      <c r="H238" s="32" t="inlineStr">
        <is>
          <t>crg-dr-aus-reg</t>
        </is>
      </c>
      <c r="I238" s="23" t="n">
        <v>40</v>
      </c>
      <c r="J238" s="23" t="n">
        <v>72</v>
      </c>
      <c r="K238" s="24">
        <f>I238+J238</f>
        <v/>
      </c>
      <c r="L238" s="24">
        <f>K238-I238</f>
        <v/>
      </c>
      <c r="M238" s="33" t="inlineStr">
        <is>
          <t>Standard</t>
        </is>
      </c>
      <c r="N238" s="32" t="inlineStr">
        <is>
          <t>2 availability zones — ε = 2/3</t>
        </is>
      </c>
    </row>
    <row r="239">
      <c r="A239" s="32" t="inlineStr">
        <is>
          <t>Australia Southeast</t>
        </is>
      </c>
      <c r="B239" s="32" t="inlineStr">
        <is>
          <t>australiasoutheast</t>
        </is>
      </c>
      <c r="C239" s="33" t="inlineStr">
        <is>
          <t>Australia</t>
        </is>
      </c>
      <c r="D239" s="33" t="inlineStr">
        <is>
          <t>DR</t>
        </is>
      </c>
      <c r="E239" s="32" t="inlineStr">
        <is>
          <t>Standard_E16ads_v5</t>
        </is>
      </c>
      <c r="F239" s="33" t="inlineStr">
        <is>
          <t>Eadsv5</t>
        </is>
      </c>
      <c r="G239" s="34" t="n">
        <v>16</v>
      </c>
      <c r="H239" s="32" t="inlineStr">
        <is>
          <t>crg-dr-aus-reg</t>
        </is>
      </c>
      <c r="I239" s="23" t="n">
        <v>10</v>
      </c>
      <c r="J239" s="23" t="n">
        <v>18</v>
      </c>
      <c r="K239" s="24">
        <f>I239+J239</f>
        <v/>
      </c>
      <c r="L239" s="24">
        <f>K239-I239</f>
        <v/>
      </c>
      <c r="M239" s="33" t="inlineStr">
        <is>
          <t>Standard</t>
        </is>
      </c>
      <c r="N239" s="32" t="inlineStr">
        <is>
          <t>2 availability zones — ε = 2/3</t>
        </is>
      </c>
    </row>
    <row r="240">
      <c r="A240" s="32" t="inlineStr">
        <is>
          <t>Australia Southeast</t>
        </is>
      </c>
      <c r="B240" s="32" t="inlineStr">
        <is>
          <t>australiasoutheast</t>
        </is>
      </c>
      <c r="C240" s="33" t="inlineStr">
        <is>
          <t>Australia</t>
        </is>
      </c>
      <c r="D240" s="33" t="inlineStr">
        <is>
          <t>DR</t>
        </is>
      </c>
      <c r="E240" s="32" t="inlineStr">
        <is>
          <t>Standard_E32ads_v6</t>
        </is>
      </c>
      <c r="F240" s="33" t="inlineStr">
        <is>
          <t>Eadsv6</t>
        </is>
      </c>
      <c r="G240" s="34" t="n">
        <v>32</v>
      </c>
      <c r="H240" s="32" t="inlineStr">
        <is>
          <t>crg-dr-aus-reg</t>
        </is>
      </c>
      <c r="I240" s="23" t="n">
        <v>20</v>
      </c>
      <c r="J240" s="23" t="n">
        <v>36</v>
      </c>
      <c r="K240" s="24">
        <f>I240+J240</f>
        <v/>
      </c>
      <c r="L240" s="24">
        <f>K240-I240</f>
        <v/>
      </c>
      <c r="M240" s="33" t="inlineStr">
        <is>
          <t>Standard</t>
        </is>
      </c>
      <c r="N240" s="32" t="inlineStr">
        <is>
          <t>2 availability zones — ε = 2/3</t>
        </is>
      </c>
    </row>
    <row r="241">
      <c r="A241" s="32" t="inlineStr">
        <is>
          <t>Australia Southeast</t>
        </is>
      </c>
      <c r="B241" s="32" t="inlineStr">
        <is>
          <t>australiasoutheast</t>
        </is>
      </c>
      <c r="C241" s="33" t="inlineStr">
        <is>
          <t>Australia</t>
        </is>
      </c>
      <c r="D241" s="33" t="inlineStr">
        <is>
          <t>DR</t>
        </is>
      </c>
      <c r="E241" s="32" t="inlineStr">
        <is>
          <t>Standard_D8ads_v5</t>
        </is>
      </c>
      <c r="F241" s="33" t="inlineStr">
        <is>
          <t>Dadsv5</t>
        </is>
      </c>
      <c r="G241" s="34" t="n">
        <v>8</v>
      </c>
      <c r="H241" s="32" t="inlineStr">
        <is>
          <t>crg-dr-aus-reg</t>
        </is>
      </c>
      <c r="I241" s="23" t="n">
        <v>5</v>
      </c>
      <c r="J241" s="23" t="n">
        <v>9</v>
      </c>
      <c r="K241" s="24">
        <f>I241+J241</f>
        <v/>
      </c>
      <c r="L241" s="24">
        <f>K241-I241</f>
        <v/>
      </c>
      <c r="M241" s="33" t="inlineStr">
        <is>
          <t>Standard</t>
        </is>
      </c>
      <c r="N241" s="32" t="inlineStr">
        <is>
          <t>2 availability zones — ε = 2/3</t>
        </is>
      </c>
    </row>
    <row r="242">
      <c r="A242" s="32" t="inlineStr">
        <is>
          <t>Australia Southeast</t>
        </is>
      </c>
      <c r="B242" s="32" t="inlineStr">
        <is>
          <t>australiasoutheast</t>
        </is>
      </c>
      <c r="C242" s="33" t="inlineStr">
        <is>
          <t>Australia</t>
        </is>
      </c>
      <c r="D242" s="33" t="inlineStr">
        <is>
          <t>DR</t>
        </is>
      </c>
      <c r="E242" s="32" t="inlineStr">
        <is>
          <t>Standard_D16ads_v5</t>
        </is>
      </c>
      <c r="F242" s="33" t="inlineStr">
        <is>
          <t>Dadsv5</t>
        </is>
      </c>
      <c r="G242" s="34" t="n">
        <v>16</v>
      </c>
      <c r="H242" s="32" t="inlineStr">
        <is>
          <t>crg-dr-aus-reg</t>
        </is>
      </c>
      <c r="I242" s="23" t="n">
        <v>10</v>
      </c>
      <c r="J242" s="23" t="n">
        <v>18</v>
      </c>
      <c r="K242" s="24">
        <f>I242+J242</f>
        <v/>
      </c>
      <c r="L242" s="24">
        <f>K242-I242</f>
        <v/>
      </c>
      <c r="M242" s="33" t="inlineStr">
        <is>
          <t>Standard</t>
        </is>
      </c>
      <c r="N242" s="32" t="inlineStr">
        <is>
          <t>2 availability zones — ε = 2/3</t>
        </is>
      </c>
    </row>
    <row r="243">
      <c r="A243" s="32" t="inlineStr">
        <is>
          <t>Australia Southeast</t>
        </is>
      </c>
      <c r="B243" s="32" t="inlineStr">
        <is>
          <t>australiasoutheast</t>
        </is>
      </c>
      <c r="C243" s="33" t="inlineStr">
        <is>
          <t>Australia</t>
        </is>
      </c>
      <c r="D243" s="33" t="inlineStr">
        <is>
          <t>DR</t>
        </is>
      </c>
      <c r="E243" s="32" t="inlineStr">
        <is>
          <t>Standard_D8as_v5</t>
        </is>
      </c>
      <c r="F243" s="33" t="inlineStr">
        <is>
          <t>Dasv5</t>
        </is>
      </c>
      <c r="G243" s="34" t="n">
        <v>8</v>
      </c>
      <c r="H243" s="32" t="inlineStr">
        <is>
          <t>crg-dr-aus-reg</t>
        </is>
      </c>
      <c r="I243" s="23" t="n">
        <v>5</v>
      </c>
      <c r="J243" s="23" t="n">
        <v>9</v>
      </c>
      <c r="K243" s="24">
        <f>I243+J243</f>
        <v/>
      </c>
      <c r="L243" s="24">
        <f>K243-I243</f>
        <v/>
      </c>
      <c r="M243" s="33" t="inlineStr">
        <is>
          <t>Standard</t>
        </is>
      </c>
      <c r="N243" s="32" t="inlineStr">
        <is>
          <t>2 availability zones — ε = 2/3</t>
        </is>
      </c>
    </row>
    <row r="244">
      <c r="A244" s="32" t="inlineStr">
        <is>
          <t>Australia Southeast</t>
        </is>
      </c>
      <c r="B244" s="32" t="inlineStr">
        <is>
          <t>australiasoutheast</t>
        </is>
      </c>
      <c r="C244" s="33" t="inlineStr">
        <is>
          <t>Australia</t>
        </is>
      </c>
      <c r="D244" s="33" t="inlineStr">
        <is>
          <t>DR</t>
        </is>
      </c>
      <c r="E244" s="32" t="inlineStr">
        <is>
          <t>Standard_D16as_v5</t>
        </is>
      </c>
      <c r="F244" s="33" t="inlineStr">
        <is>
          <t>Dasv5</t>
        </is>
      </c>
      <c r="G244" s="34" t="n">
        <v>16</v>
      </c>
      <c r="H244" s="32" t="inlineStr">
        <is>
          <t>crg-dr-aus-reg</t>
        </is>
      </c>
      <c r="I244" s="23" t="n">
        <v>10</v>
      </c>
      <c r="J244" s="23" t="n">
        <v>18</v>
      </c>
      <c r="K244" s="24">
        <f>I244+J244</f>
        <v/>
      </c>
      <c r="L244" s="24">
        <f>K244-I244</f>
        <v/>
      </c>
      <c r="M244" s="33" t="inlineStr">
        <is>
          <t>Standard</t>
        </is>
      </c>
      <c r="N244" s="32" t="inlineStr">
        <is>
          <t>2 availability zones — ε = 2/3</t>
        </is>
      </c>
    </row>
    <row r="245">
      <c r="A245" s="32" t="inlineStr">
        <is>
          <t>East Asia</t>
        </is>
      </c>
      <c r="B245" s="32" t="inlineStr">
        <is>
          <t>eastasia</t>
        </is>
      </c>
      <c r="C245" s="33" t="inlineStr">
        <is>
          <t>Asia Pacific</t>
        </is>
      </c>
      <c r="D245" s="33" t="inlineStr">
        <is>
          <t>Prod</t>
        </is>
      </c>
      <c r="E245" s="32" t="inlineStr">
        <is>
          <t>Standard_E32ads_v5</t>
        </is>
      </c>
      <c r="F245" s="33" t="inlineStr">
        <is>
          <t>Eadsv5</t>
        </is>
      </c>
      <c r="G245" s="34" t="n">
        <v>32</v>
      </c>
      <c r="H245" s="32" t="inlineStr">
        <is>
          <t>crg-pr-eas-reg</t>
        </is>
      </c>
      <c r="I245" s="23" t="n">
        <v>260</v>
      </c>
      <c r="J245" s="23" t="n">
        <v>140</v>
      </c>
      <c r="K245" s="24">
        <f>I245+J245</f>
        <v/>
      </c>
      <c r="L245" s="24">
        <f>K245-I245</f>
        <v/>
      </c>
      <c r="M245" s="33" t="inlineStr">
        <is>
          <t>Standard</t>
        </is>
      </c>
      <c r="N245" s="32" t="inlineStr">
        <is>
          <t>Synthetic estate. Japan East is not in the catalogue.</t>
        </is>
      </c>
    </row>
    <row r="246">
      <c r="A246" s="32" t="inlineStr">
        <is>
          <t>East Asia</t>
        </is>
      </c>
      <c r="B246" s="32" t="inlineStr">
        <is>
          <t>eastasia</t>
        </is>
      </c>
      <c r="C246" s="33" t="inlineStr">
        <is>
          <t>Asia Pacific</t>
        </is>
      </c>
      <c r="D246" s="33" t="inlineStr">
        <is>
          <t>Prod</t>
        </is>
      </c>
      <c r="E246" s="32" t="inlineStr">
        <is>
          <t>Standard_E64ads_v5</t>
        </is>
      </c>
      <c r="F246" s="33" t="inlineStr">
        <is>
          <t>Eadsv5</t>
        </is>
      </c>
      <c r="G246" s="34" t="n">
        <v>64</v>
      </c>
      <c r="H246" s="32" t="inlineStr">
        <is>
          <t>crg-pr-eas-reg</t>
        </is>
      </c>
      <c r="I246" s="23" t="n">
        <v>520</v>
      </c>
      <c r="J246" s="23" t="n">
        <v>280</v>
      </c>
      <c r="K246" s="24">
        <f>I246+J246</f>
        <v/>
      </c>
      <c r="L246" s="24">
        <f>K246-I246</f>
        <v/>
      </c>
      <c r="M246" s="33" t="inlineStr">
        <is>
          <t>Standard</t>
        </is>
      </c>
      <c r="N246" s="32" t="inlineStr">
        <is>
          <t>Synthetic estate. Japan East is not in the catalogue.</t>
        </is>
      </c>
    </row>
    <row r="247">
      <c r="A247" s="32" t="inlineStr">
        <is>
          <t>East Asia</t>
        </is>
      </c>
      <c r="B247" s="32" t="inlineStr">
        <is>
          <t>eastasia</t>
        </is>
      </c>
      <c r="C247" s="33" t="inlineStr">
        <is>
          <t>Asia Pacific</t>
        </is>
      </c>
      <c r="D247" s="33" t="inlineStr">
        <is>
          <t>Prod</t>
        </is>
      </c>
      <c r="E247" s="32" t="inlineStr">
        <is>
          <t>Standard_E16ads_v5</t>
        </is>
      </c>
      <c r="F247" s="33" t="inlineStr">
        <is>
          <t>Eadsv5</t>
        </is>
      </c>
      <c r="G247" s="34" t="n">
        <v>16</v>
      </c>
      <c r="H247" s="32" t="inlineStr">
        <is>
          <t>crg-pr-eas-reg</t>
        </is>
      </c>
      <c r="I247" s="23" t="n">
        <v>130</v>
      </c>
      <c r="J247" s="23" t="n">
        <v>70</v>
      </c>
      <c r="K247" s="24">
        <f>I247+J247</f>
        <v/>
      </c>
      <c r="L247" s="24">
        <f>K247-I247</f>
        <v/>
      </c>
      <c r="M247" s="33" t="inlineStr">
        <is>
          <t>Standard</t>
        </is>
      </c>
      <c r="N247" s="32" t="inlineStr">
        <is>
          <t>Synthetic estate. Japan East is not in the catalogue.</t>
        </is>
      </c>
    </row>
    <row r="248">
      <c r="A248" s="32" t="inlineStr">
        <is>
          <t>East Asia</t>
        </is>
      </c>
      <c r="B248" s="32" t="inlineStr">
        <is>
          <t>eastasia</t>
        </is>
      </c>
      <c r="C248" s="33" t="inlineStr">
        <is>
          <t>Asia Pacific</t>
        </is>
      </c>
      <c r="D248" s="33" t="inlineStr">
        <is>
          <t>Prod</t>
        </is>
      </c>
      <c r="E248" s="32" t="inlineStr">
        <is>
          <t>Standard_E32ads_v6</t>
        </is>
      </c>
      <c r="F248" s="33" t="inlineStr">
        <is>
          <t>Eadsv6</t>
        </is>
      </c>
      <c r="G248" s="34" t="n">
        <v>32</v>
      </c>
      <c r="H248" s="32" t="inlineStr">
        <is>
          <t>crg-pr-eas-reg</t>
        </is>
      </c>
      <c r="I248" s="23" t="n">
        <v>260</v>
      </c>
      <c r="J248" s="23" t="n">
        <v>140</v>
      </c>
      <c r="K248" s="24">
        <f>I248+J248</f>
        <v/>
      </c>
      <c r="L248" s="24">
        <f>K248-I248</f>
        <v/>
      </c>
      <c r="M248" s="33" t="inlineStr">
        <is>
          <t>Standard</t>
        </is>
      </c>
      <c r="N248" s="32" t="inlineStr">
        <is>
          <t>Synthetic estate. Japan East is not in the catalogue.</t>
        </is>
      </c>
    </row>
    <row r="249">
      <c r="A249" s="32" t="inlineStr">
        <is>
          <t>East Asia</t>
        </is>
      </c>
      <c r="B249" s="32" t="inlineStr">
        <is>
          <t>eastasia</t>
        </is>
      </c>
      <c r="C249" s="33" t="inlineStr">
        <is>
          <t>Asia Pacific</t>
        </is>
      </c>
      <c r="D249" s="33" t="inlineStr">
        <is>
          <t>Prod</t>
        </is>
      </c>
      <c r="E249" s="32" t="inlineStr">
        <is>
          <t>Standard_D8ads_v5</t>
        </is>
      </c>
      <c r="F249" s="33" t="inlineStr">
        <is>
          <t>Dadsv5</t>
        </is>
      </c>
      <c r="G249" s="34" t="n">
        <v>8</v>
      </c>
      <c r="H249" s="32" t="inlineStr">
        <is>
          <t>crg-pr-eas-reg</t>
        </is>
      </c>
      <c r="I249" s="23" t="n">
        <v>65</v>
      </c>
      <c r="J249" s="23" t="n">
        <v>35</v>
      </c>
      <c r="K249" s="24">
        <f>I249+J249</f>
        <v/>
      </c>
      <c r="L249" s="24">
        <f>K249-I249</f>
        <v/>
      </c>
      <c r="M249" s="33" t="inlineStr">
        <is>
          <t>Standard</t>
        </is>
      </c>
      <c r="N249" s="32" t="inlineStr">
        <is>
          <t>Synthetic estate. Japan East is not in the catalogue.</t>
        </is>
      </c>
    </row>
    <row r="250">
      <c r="A250" s="32" t="inlineStr">
        <is>
          <t>East Asia</t>
        </is>
      </c>
      <c r="B250" s="32" t="inlineStr">
        <is>
          <t>eastasia</t>
        </is>
      </c>
      <c r="C250" s="33" t="inlineStr">
        <is>
          <t>Asia Pacific</t>
        </is>
      </c>
      <c r="D250" s="33" t="inlineStr">
        <is>
          <t>Prod</t>
        </is>
      </c>
      <c r="E250" s="32" t="inlineStr">
        <is>
          <t>Standard_D16ads_v5</t>
        </is>
      </c>
      <c r="F250" s="33" t="inlineStr">
        <is>
          <t>Dadsv5</t>
        </is>
      </c>
      <c r="G250" s="34" t="n">
        <v>16</v>
      </c>
      <c r="H250" s="32" t="inlineStr">
        <is>
          <t>crg-pr-eas-reg</t>
        </is>
      </c>
      <c r="I250" s="23" t="n">
        <v>130</v>
      </c>
      <c r="J250" s="23" t="n">
        <v>70</v>
      </c>
      <c r="K250" s="24">
        <f>I250+J250</f>
        <v/>
      </c>
      <c r="L250" s="24">
        <f>K250-I250</f>
        <v/>
      </c>
      <c r="M250" s="33" t="inlineStr">
        <is>
          <t>Standard</t>
        </is>
      </c>
      <c r="N250" s="32" t="inlineStr">
        <is>
          <t>Synthetic estate. Japan East is not in the catalogue.</t>
        </is>
      </c>
    </row>
    <row r="251">
      <c r="A251" s="32" t="inlineStr">
        <is>
          <t>East Asia</t>
        </is>
      </c>
      <c r="B251" s="32" t="inlineStr">
        <is>
          <t>eastasia</t>
        </is>
      </c>
      <c r="C251" s="33" t="inlineStr">
        <is>
          <t>Asia Pacific</t>
        </is>
      </c>
      <c r="D251" s="33" t="inlineStr">
        <is>
          <t>Prod</t>
        </is>
      </c>
      <c r="E251" s="32" t="inlineStr">
        <is>
          <t>Standard_D8as_v5</t>
        </is>
      </c>
      <c r="F251" s="33" t="inlineStr">
        <is>
          <t>Dasv5</t>
        </is>
      </c>
      <c r="G251" s="34" t="n">
        <v>8</v>
      </c>
      <c r="H251" s="32" t="inlineStr">
        <is>
          <t>crg-pr-eas-reg</t>
        </is>
      </c>
      <c r="I251" s="23" t="n">
        <v>65</v>
      </c>
      <c r="J251" s="23" t="n">
        <v>35</v>
      </c>
      <c r="K251" s="24">
        <f>I251+J251</f>
        <v/>
      </c>
      <c r="L251" s="24">
        <f>K251-I251</f>
        <v/>
      </c>
      <c r="M251" s="33" t="inlineStr">
        <is>
          <t>Standard</t>
        </is>
      </c>
      <c r="N251" s="32" t="inlineStr">
        <is>
          <t>Synthetic estate. Japan East is not in the catalogue.</t>
        </is>
      </c>
    </row>
    <row r="252">
      <c r="A252" s="32" t="inlineStr">
        <is>
          <t>East Asia</t>
        </is>
      </c>
      <c r="B252" s="32" t="inlineStr">
        <is>
          <t>eastasia</t>
        </is>
      </c>
      <c r="C252" s="33" t="inlineStr">
        <is>
          <t>Asia Pacific</t>
        </is>
      </c>
      <c r="D252" s="33" t="inlineStr">
        <is>
          <t>Prod</t>
        </is>
      </c>
      <c r="E252" s="32" t="inlineStr">
        <is>
          <t>Standard_D16as_v5</t>
        </is>
      </c>
      <c r="F252" s="33" t="inlineStr">
        <is>
          <t>Dasv5</t>
        </is>
      </c>
      <c r="G252" s="34" t="n">
        <v>16</v>
      </c>
      <c r="H252" s="32" t="inlineStr">
        <is>
          <t>crg-pr-eas-reg</t>
        </is>
      </c>
      <c r="I252" s="23" t="n">
        <v>130</v>
      </c>
      <c r="J252" s="23" t="n">
        <v>70</v>
      </c>
      <c r="K252" s="24">
        <f>I252+J252</f>
        <v/>
      </c>
      <c r="L252" s="24">
        <f>K252-I252</f>
        <v/>
      </c>
      <c r="M252" s="33" t="inlineStr">
        <is>
          <t>Standard</t>
        </is>
      </c>
      <c r="N252" s="32" t="inlineStr">
        <is>
          <t>Synthetic estate. Japan East is not in the catalogue.</t>
        </is>
      </c>
    </row>
    <row r="253">
      <c r="A253" s="32" t="inlineStr">
        <is>
          <t>East Asia</t>
        </is>
      </c>
      <c r="B253" s="32" t="inlineStr">
        <is>
          <t>eastasia</t>
        </is>
      </c>
      <c r="C253" s="33" t="inlineStr">
        <is>
          <t>Asia Pacific</t>
        </is>
      </c>
      <c r="D253" s="33" t="inlineStr">
        <is>
          <t>NonProd</t>
        </is>
      </c>
      <c r="E253" s="32" t="inlineStr">
        <is>
          <t>Standard_E32ads_v5</t>
        </is>
      </c>
      <c r="F253" s="33" t="inlineStr">
        <is>
          <t>Eadsv5</t>
        </is>
      </c>
      <c r="G253" s="34" t="n">
        <v>32</v>
      </c>
      <c r="H253" s="32" t="inlineStr">
        <is>
          <t>crg-np-eas-reg</t>
        </is>
      </c>
      <c r="I253" s="23" t="n">
        <v>150</v>
      </c>
      <c r="J253" s="23" t="n">
        <v>180</v>
      </c>
      <c r="K253" s="24">
        <f>I253+J253</f>
        <v/>
      </c>
      <c r="L253" s="24">
        <f>K253-I253</f>
        <v/>
      </c>
      <c r="M253" s="33" t="inlineStr">
        <is>
          <t>Standard</t>
        </is>
      </c>
      <c r="N253" s="32" t="inlineStr">
        <is>
          <t>Synthetic estate. Japan East is not in the catalogue.</t>
        </is>
      </c>
    </row>
    <row r="254">
      <c r="A254" s="32" t="inlineStr">
        <is>
          <t>East Asia</t>
        </is>
      </c>
      <c r="B254" s="32" t="inlineStr">
        <is>
          <t>eastasia</t>
        </is>
      </c>
      <c r="C254" s="33" t="inlineStr">
        <is>
          <t>Asia Pacific</t>
        </is>
      </c>
      <c r="D254" s="33" t="inlineStr">
        <is>
          <t>NonProd</t>
        </is>
      </c>
      <c r="E254" s="32" t="inlineStr">
        <is>
          <t>Standard_E64ads_v5</t>
        </is>
      </c>
      <c r="F254" s="33" t="inlineStr">
        <is>
          <t>Eadsv5</t>
        </is>
      </c>
      <c r="G254" s="34" t="n">
        <v>64</v>
      </c>
      <c r="H254" s="32" t="inlineStr">
        <is>
          <t>crg-np-eas-reg</t>
        </is>
      </c>
      <c r="I254" s="23" t="n">
        <v>300</v>
      </c>
      <c r="J254" s="23" t="n">
        <v>360</v>
      </c>
      <c r="K254" s="24">
        <f>I254+J254</f>
        <v/>
      </c>
      <c r="L254" s="24">
        <f>K254-I254</f>
        <v/>
      </c>
      <c r="M254" s="33" t="inlineStr">
        <is>
          <t>Standard</t>
        </is>
      </c>
      <c r="N254" s="32" t="inlineStr">
        <is>
          <t>Synthetic estate. Japan East is not in the catalogue.</t>
        </is>
      </c>
    </row>
    <row r="255">
      <c r="A255" s="32" t="inlineStr">
        <is>
          <t>East Asia</t>
        </is>
      </c>
      <c r="B255" s="32" t="inlineStr">
        <is>
          <t>eastasia</t>
        </is>
      </c>
      <c r="C255" s="33" t="inlineStr">
        <is>
          <t>Asia Pacific</t>
        </is>
      </c>
      <c r="D255" s="33" t="inlineStr">
        <is>
          <t>NonProd</t>
        </is>
      </c>
      <c r="E255" s="32" t="inlineStr">
        <is>
          <t>Standard_E16ads_v5</t>
        </is>
      </c>
      <c r="F255" s="33" t="inlineStr">
        <is>
          <t>Eadsv5</t>
        </is>
      </c>
      <c r="G255" s="34" t="n">
        <v>16</v>
      </c>
      <c r="H255" s="32" t="inlineStr">
        <is>
          <t>crg-np-eas-reg</t>
        </is>
      </c>
      <c r="I255" s="23" t="n">
        <v>75</v>
      </c>
      <c r="J255" s="23" t="n">
        <v>90</v>
      </c>
      <c r="K255" s="24">
        <f>I255+J255</f>
        <v/>
      </c>
      <c r="L255" s="24">
        <f>K255-I255</f>
        <v/>
      </c>
      <c r="M255" s="33" t="inlineStr">
        <is>
          <t>Standard</t>
        </is>
      </c>
      <c r="N255" s="32" t="inlineStr">
        <is>
          <t>Synthetic estate. Japan East is not in the catalogue.</t>
        </is>
      </c>
    </row>
    <row r="256">
      <c r="A256" s="32" t="inlineStr">
        <is>
          <t>East Asia</t>
        </is>
      </c>
      <c r="B256" s="32" t="inlineStr">
        <is>
          <t>eastasia</t>
        </is>
      </c>
      <c r="C256" s="33" t="inlineStr">
        <is>
          <t>Asia Pacific</t>
        </is>
      </c>
      <c r="D256" s="33" t="inlineStr">
        <is>
          <t>NonProd</t>
        </is>
      </c>
      <c r="E256" s="32" t="inlineStr">
        <is>
          <t>Standard_E32ads_v6</t>
        </is>
      </c>
      <c r="F256" s="33" t="inlineStr">
        <is>
          <t>Eadsv6</t>
        </is>
      </c>
      <c r="G256" s="34" t="n">
        <v>32</v>
      </c>
      <c r="H256" s="32" t="inlineStr">
        <is>
          <t>crg-np-eas-reg</t>
        </is>
      </c>
      <c r="I256" s="23" t="n">
        <v>150</v>
      </c>
      <c r="J256" s="23" t="n">
        <v>180</v>
      </c>
      <c r="K256" s="24">
        <f>I256+J256</f>
        <v/>
      </c>
      <c r="L256" s="24">
        <f>K256-I256</f>
        <v/>
      </c>
      <c r="M256" s="33" t="inlineStr">
        <is>
          <t>Standard</t>
        </is>
      </c>
      <c r="N256" s="32" t="inlineStr">
        <is>
          <t>Synthetic estate. Japan East is not in the catalogue.</t>
        </is>
      </c>
    </row>
    <row r="257">
      <c r="A257" s="32" t="inlineStr">
        <is>
          <t>East Asia</t>
        </is>
      </c>
      <c r="B257" s="32" t="inlineStr">
        <is>
          <t>eastasia</t>
        </is>
      </c>
      <c r="C257" s="33" t="inlineStr">
        <is>
          <t>Asia Pacific</t>
        </is>
      </c>
      <c r="D257" s="33" t="inlineStr">
        <is>
          <t>NonProd</t>
        </is>
      </c>
      <c r="E257" s="32" t="inlineStr">
        <is>
          <t>Standard_D8ads_v5</t>
        </is>
      </c>
      <c r="F257" s="33" t="inlineStr">
        <is>
          <t>Dadsv5</t>
        </is>
      </c>
      <c r="G257" s="34" t="n">
        <v>8</v>
      </c>
      <c r="H257" s="32" t="inlineStr">
        <is>
          <t>crg-np-eas-reg</t>
        </is>
      </c>
      <c r="I257" s="23" t="n">
        <v>38</v>
      </c>
      <c r="J257" s="23" t="n">
        <v>45</v>
      </c>
      <c r="K257" s="24">
        <f>I257+J257</f>
        <v/>
      </c>
      <c r="L257" s="24">
        <f>K257-I257</f>
        <v/>
      </c>
      <c r="M257" s="33" t="inlineStr">
        <is>
          <t>Standard</t>
        </is>
      </c>
      <c r="N257" s="32" t="inlineStr">
        <is>
          <t>Synthetic estate. Japan East is not in the catalogue.</t>
        </is>
      </c>
    </row>
    <row r="258">
      <c r="A258" s="32" t="inlineStr">
        <is>
          <t>East Asia</t>
        </is>
      </c>
      <c r="B258" s="32" t="inlineStr">
        <is>
          <t>eastasia</t>
        </is>
      </c>
      <c r="C258" s="33" t="inlineStr">
        <is>
          <t>Asia Pacific</t>
        </is>
      </c>
      <c r="D258" s="33" t="inlineStr">
        <is>
          <t>NonProd</t>
        </is>
      </c>
      <c r="E258" s="32" t="inlineStr">
        <is>
          <t>Standard_D16ads_v5</t>
        </is>
      </c>
      <c r="F258" s="33" t="inlineStr">
        <is>
          <t>Dadsv5</t>
        </is>
      </c>
      <c r="G258" s="34" t="n">
        <v>16</v>
      </c>
      <c r="H258" s="32" t="inlineStr">
        <is>
          <t>crg-np-eas-reg</t>
        </is>
      </c>
      <c r="I258" s="23" t="n">
        <v>75</v>
      </c>
      <c r="J258" s="23" t="n">
        <v>90</v>
      </c>
      <c r="K258" s="24">
        <f>I258+J258</f>
        <v/>
      </c>
      <c r="L258" s="24">
        <f>K258-I258</f>
        <v/>
      </c>
      <c r="M258" s="33" t="inlineStr">
        <is>
          <t>Standard</t>
        </is>
      </c>
      <c r="N258" s="32" t="inlineStr">
        <is>
          <t>Synthetic estate. Japan East is not in the catalogue.</t>
        </is>
      </c>
    </row>
    <row r="259">
      <c r="A259" s="32" t="inlineStr">
        <is>
          <t>East Asia</t>
        </is>
      </c>
      <c r="B259" s="32" t="inlineStr">
        <is>
          <t>eastasia</t>
        </is>
      </c>
      <c r="C259" s="33" t="inlineStr">
        <is>
          <t>Asia Pacific</t>
        </is>
      </c>
      <c r="D259" s="33" t="inlineStr">
        <is>
          <t>NonProd</t>
        </is>
      </c>
      <c r="E259" s="32" t="inlineStr">
        <is>
          <t>Standard_D8as_v5</t>
        </is>
      </c>
      <c r="F259" s="33" t="inlineStr">
        <is>
          <t>Dasv5</t>
        </is>
      </c>
      <c r="G259" s="34" t="n">
        <v>8</v>
      </c>
      <c r="H259" s="32" t="inlineStr">
        <is>
          <t>crg-np-eas-reg</t>
        </is>
      </c>
      <c r="I259" s="23" t="n">
        <v>38</v>
      </c>
      <c r="J259" s="23" t="n">
        <v>45</v>
      </c>
      <c r="K259" s="24">
        <f>I259+J259</f>
        <v/>
      </c>
      <c r="L259" s="24">
        <f>K259-I259</f>
        <v/>
      </c>
      <c r="M259" s="33" t="inlineStr">
        <is>
          <t>Standard</t>
        </is>
      </c>
      <c r="N259" s="32" t="inlineStr">
        <is>
          <t>Synthetic estate. Japan East is not in the catalogue.</t>
        </is>
      </c>
    </row>
    <row r="260">
      <c r="A260" s="32" t="inlineStr">
        <is>
          <t>East Asia</t>
        </is>
      </c>
      <c r="B260" s="32" t="inlineStr">
        <is>
          <t>eastasia</t>
        </is>
      </c>
      <c r="C260" s="33" t="inlineStr">
        <is>
          <t>Asia Pacific</t>
        </is>
      </c>
      <c r="D260" s="33" t="inlineStr">
        <is>
          <t>NonProd</t>
        </is>
      </c>
      <c r="E260" s="32" t="inlineStr">
        <is>
          <t>Standard_D16as_v5</t>
        </is>
      </c>
      <c r="F260" s="33" t="inlineStr">
        <is>
          <t>Dasv5</t>
        </is>
      </c>
      <c r="G260" s="34" t="n">
        <v>16</v>
      </c>
      <c r="H260" s="32" t="inlineStr">
        <is>
          <t>crg-np-eas-reg</t>
        </is>
      </c>
      <c r="I260" s="23" t="n">
        <v>75</v>
      </c>
      <c r="J260" s="23" t="n">
        <v>90</v>
      </c>
      <c r="K260" s="24">
        <f>I260+J260</f>
        <v/>
      </c>
      <c r="L260" s="24">
        <f>K260-I260</f>
        <v/>
      </c>
      <c r="M260" s="33" t="inlineStr">
        <is>
          <t>Standard</t>
        </is>
      </c>
      <c r="N260" s="32" t="inlineStr">
        <is>
          <t>Synthetic estate. Japan East is not in the catalogue.</t>
        </is>
      </c>
    </row>
    <row r="261">
      <c r="A261" s="32" t="inlineStr">
        <is>
          <t>East Asia</t>
        </is>
      </c>
      <c r="B261" s="32" t="inlineStr">
        <is>
          <t>eastasia</t>
        </is>
      </c>
      <c r="C261" s="33" t="inlineStr">
        <is>
          <t>Asia Pacific</t>
        </is>
      </c>
      <c r="D261" s="33" t="inlineStr">
        <is>
          <t>DR</t>
        </is>
      </c>
      <c r="E261" s="32" t="inlineStr">
        <is>
          <t>Standard_E32ads_v5</t>
        </is>
      </c>
      <c r="F261" s="33" t="inlineStr">
        <is>
          <t>Eadsv5</t>
        </is>
      </c>
      <c r="G261" s="34" t="n">
        <v>32</v>
      </c>
      <c r="H261" s="32" t="inlineStr">
        <is>
          <t>crg-dr-eas-reg</t>
        </is>
      </c>
      <c r="I261" s="23" t="n">
        <v>20</v>
      </c>
      <c r="J261" s="23" t="n">
        <v>40</v>
      </c>
      <c r="K261" s="24">
        <f>I261+J261</f>
        <v/>
      </c>
      <c r="L261" s="24">
        <f>K261-I261</f>
        <v/>
      </c>
      <c r="M261" s="33" t="inlineStr">
        <is>
          <t>Standard</t>
        </is>
      </c>
      <c r="N261" s="32" t="inlineStr">
        <is>
          <t>Synthetic estate. Japan East is not in the catalogue.</t>
        </is>
      </c>
    </row>
    <row r="262">
      <c r="A262" s="32" t="inlineStr">
        <is>
          <t>East Asia</t>
        </is>
      </c>
      <c r="B262" s="32" t="inlineStr">
        <is>
          <t>eastasia</t>
        </is>
      </c>
      <c r="C262" s="33" t="inlineStr">
        <is>
          <t>Asia Pacific</t>
        </is>
      </c>
      <c r="D262" s="33" t="inlineStr">
        <is>
          <t>DR</t>
        </is>
      </c>
      <c r="E262" s="32" t="inlineStr">
        <is>
          <t>Standard_E64ads_v5</t>
        </is>
      </c>
      <c r="F262" s="33" t="inlineStr">
        <is>
          <t>Eadsv5</t>
        </is>
      </c>
      <c r="G262" s="34" t="n">
        <v>64</v>
      </c>
      <c r="H262" s="32" t="inlineStr">
        <is>
          <t>crg-dr-eas-reg</t>
        </is>
      </c>
      <c r="I262" s="23" t="n">
        <v>40</v>
      </c>
      <c r="J262" s="23" t="n">
        <v>80</v>
      </c>
      <c r="K262" s="24">
        <f>I262+J262</f>
        <v/>
      </c>
      <c r="L262" s="24">
        <f>K262-I262</f>
        <v/>
      </c>
      <c r="M262" s="33" t="inlineStr">
        <is>
          <t>Standard</t>
        </is>
      </c>
      <c r="N262" s="32" t="inlineStr">
        <is>
          <t>Synthetic estate. Japan East is not in the catalogue.</t>
        </is>
      </c>
    </row>
    <row r="263">
      <c r="A263" s="32" t="inlineStr">
        <is>
          <t>East Asia</t>
        </is>
      </c>
      <c r="B263" s="32" t="inlineStr">
        <is>
          <t>eastasia</t>
        </is>
      </c>
      <c r="C263" s="33" t="inlineStr">
        <is>
          <t>Asia Pacific</t>
        </is>
      </c>
      <c r="D263" s="33" t="inlineStr">
        <is>
          <t>DR</t>
        </is>
      </c>
      <c r="E263" s="32" t="inlineStr">
        <is>
          <t>Standard_E16ads_v5</t>
        </is>
      </c>
      <c r="F263" s="33" t="inlineStr">
        <is>
          <t>Eadsv5</t>
        </is>
      </c>
      <c r="G263" s="34" t="n">
        <v>16</v>
      </c>
      <c r="H263" s="32" t="inlineStr">
        <is>
          <t>crg-dr-eas-reg</t>
        </is>
      </c>
      <c r="I263" s="23" t="n">
        <v>10</v>
      </c>
      <c r="J263" s="23" t="n">
        <v>20</v>
      </c>
      <c r="K263" s="24">
        <f>I263+J263</f>
        <v/>
      </c>
      <c r="L263" s="24">
        <f>K263-I263</f>
        <v/>
      </c>
      <c r="M263" s="33" t="inlineStr">
        <is>
          <t>Standard</t>
        </is>
      </c>
      <c r="N263" s="32" t="inlineStr">
        <is>
          <t>Synthetic estate. Japan East is not in the catalogue.</t>
        </is>
      </c>
    </row>
    <row r="264">
      <c r="A264" s="32" t="inlineStr">
        <is>
          <t>East Asia</t>
        </is>
      </c>
      <c r="B264" s="32" t="inlineStr">
        <is>
          <t>eastasia</t>
        </is>
      </c>
      <c r="C264" s="33" t="inlineStr">
        <is>
          <t>Asia Pacific</t>
        </is>
      </c>
      <c r="D264" s="33" t="inlineStr">
        <is>
          <t>DR</t>
        </is>
      </c>
      <c r="E264" s="32" t="inlineStr">
        <is>
          <t>Standard_E32ads_v6</t>
        </is>
      </c>
      <c r="F264" s="33" t="inlineStr">
        <is>
          <t>Eadsv6</t>
        </is>
      </c>
      <c r="G264" s="34" t="n">
        <v>32</v>
      </c>
      <c r="H264" s="32" t="inlineStr">
        <is>
          <t>crg-dr-eas-reg</t>
        </is>
      </c>
      <c r="I264" s="23" t="n">
        <v>20</v>
      </c>
      <c r="J264" s="23" t="n">
        <v>40</v>
      </c>
      <c r="K264" s="24">
        <f>I264+J264</f>
        <v/>
      </c>
      <c r="L264" s="24">
        <f>K264-I264</f>
        <v/>
      </c>
      <c r="M264" s="33" t="inlineStr">
        <is>
          <t>Standard</t>
        </is>
      </c>
      <c r="N264" s="32" t="inlineStr">
        <is>
          <t>Synthetic estate. Japan East is not in the catalogue.</t>
        </is>
      </c>
    </row>
    <row r="265">
      <c r="A265" s="32" t="inlineStr">
        <is>
          <t>East Asia</t>
        </is>
      </c>
      <c r="B265" s="32" t="inlineStr">
        <is>
          <t>eastasia</t>
        </is>
      </c>
      <c r="C265" s="33" t="inlineStr">
        <is>
          <t>Asia Pacific</t>
        </is>
      </c>
      <c r="D265" s="33" t="inlineStr">
        <is>
          <t>DR</t>
        </is>
      </c>
      <c r="E265" s="32" t="inlineStr">
        <is>
          <t>Standard_D8ads_v5</t>
        </is>
      </c>
      <c r="F265" s="33" t="inlineStr">
        <is>
          <t>Dadsv5</t>
        </is>
      </c>
      <c r="G265" s="34" t="n">
        <v>8</v>
      </c>
      <c r="H265" s="32" t="inlineStr">
        <is>
          <t>crg-dr-eas-reg</t>
        </is>
      </c>
      <c r="I265" s="23" t="n">
        <v>5</v>
      </c>
      <c r="J265" s="23" t="n">
        <v>10</v>
      </c>
      <c r="K265" s="24">
        <f>I265+J265</f>
        <v/>
      </c>
      <c r="L265" s="24">
        <f>K265-I265</f>
        <v/>
      </c>
      <c r="M265" s="33" t="inlineStr">
        <is>
          <t>Standard</t>
        </is>
      </c>
      <c r="N265" s="32" t="inlineStr">
        <is>
          <t>Synthetic estate. Japan East is not in the catalogue.</t>
        </is>
      </c>
    </row>
    <row r="266">
      <c r="A266" s="32" t="inlineStr">
        <is>
          <t>East Asia</t>
        </is>
      </c>
      <c r="B266" s="32" t="inlineStr">
        <is>
          <t>eastasia</t>
        </is>
      </c>
      <c r="C266" s="33" t="inlineStr">
        <is>
          <t>Asia Pacific</t>
        </is>
      </c>
      <c r="D266" s="33" t="inlineStr">
        <is>
          <t>DR</t>
        </is>
      </c>
      <c r="E266" s="32" t="inlineStr">
        <is>
          <t>Standard_D16ads_v5</t>
        </is>
      </c>
      <c r="F266" s="33" t="inlineStr">
        <is>
          <t>Dadsv5</t>
        </is>
      </c>
      <c r="G266" s="34" t="n">
        <v>16</v>
      </c>
      <c r="H266" s="32" t="inlineStr">
        <is>
          <t>crg-dr-eas-reg</t>
        </is>
      </c>
      <c r="I266" s="23" t="n">
        <v>10</v>
      </c>
      <c r="J266" s="23" t="n">
        <v>20</v>
      </c>
      <c r="K266" s="24">
        <f>I266+J266</f>
        <v/>
      </c>
      <c r="L266" s="24">
        <f>K266-I266</f>
        <v/>
      </c>
      <c r="M266" s="33" t="inlineStr">
        <is>
          <t>Standard</t>
        </is>
      </c>
      <c r="N266" s="32" t="inlineStr">
        <is>
          <t>Synthetic estate. Japan East is not in the catalogue.</t>
        </is>
      </c>
    </row>
    <row r="267">
      <c r="A267" s="32" t="inlineStr">
        <is>
          <t>East Asia</t>
        </is>
      </c>
      <c r="B267" s="32" t="inlineStr">
        <is>
          <t>eastasia</t>
        </is>
      </c>
      <c r="C267" s="33" t="inlineStr">
        <is>
          <t>Asia Pacific</t>
        </is>
      </c>
      <c r="D267" s="33" t="inlineStr">
        <is>
          <t>DR</t>
        </is>
      </c>
      <c r="E267" s="32" t="inlineStr">
        <is>
          <t>Standard_D8as_v5</t>
        </is>
      </c>
      <c r="F267" s="33" t="inlineStr">
        <is>
          <t>Dasv5</t>
        </is>
      </c>
      <c r="G267" s="34" t="n">
        <v>8</v>
      </c>
      <c r="H267" s="32" t="inlineStr">
        <is>
          <t>crg-dr-eas-reg</t>
        </is>
      </c>
      <c r="I267" s="23" t="n">
        <v>5</v>
      </c>
      <c r="J267" s="23" t="n">
        <v>10</v>
      </c>
      <c r="K267" s="24">
        <f>I267+J267</f>
        <v/>
      </c>
      <c r="L267" s="24">
        <f>K267-I267</f>
        <v/>
      </c>
      <c r="M267" s="33" t="inlineStr">
        <is>
          <t>Standard</t>
        </is>
      </c>
      <c r="N267" s="32" t="inlineStr">
        <is>
          <t>Synthetic estate. Japan East is not in the catalogue.</t>
        </is>
      </c>
    </row>
    <row r="268">
      <c r="A268" s="32" t="inlineStr">
        <is>
          <t>East Asia</t>
        </is>
      </c>
      <c r="B268" s="32" t="inlineStr">
        <is>
          <t>eastasia</t>
        </is>
      </c>
      <c r="C268" s="33" t="inlineStr">
        <is>
          <t>Asia Pacific</t>
        </is>
      </c>
      <c r="D268" s="33" t="inlineStr">
        <is>
          <t>DR</t>
        </is>
      </c>
      <c r="E268" s="32" t="inlineStr">
        <is>
          <t>Standard_D16as_v5</t>
        </is>
      </c>
      <c r="F268" s="33" t="inlineStr">
        <is>
          <t>Dasv5</t>
        </is>
      </c>
      <c r="G268" s="34" t="n">
        <v>16</v>
      </c>
      <c r="H268" s="32" t="inlineStr">
        <is>
          <t>crg-dr-eas-reg</t>
        </is>
      </c>
      <c r="I268" s="23" t="n">
        <v>10</v>
      </c>
      <c r="J268" s="23" t="n">
        <v>20</v>
      </c>
      <c r="K268" s="24">
        <f>I268+J268</f>
        <v/>
      </c>
      <c r="L268" s="24">
        <f>K268-I268</f>
        <v/>
      </c>
      <c r="M268" s="33" t="inlineStr">
        <is>
          <t>Standard</t>
        </is>
      </c>
      <c r="N268" s="32" t="inlineStr">
        <is>
          <t>Synthetic estate. Japan East is not in the catalogue.</t>
        </is>
      </c>
    </row>
    <row r="269">
      <c r="A269" s="32" t="inlineStr">
        <is>
          <t>Southeast Asia</t>
        </is>
      </c>
      <c r="B269" s="32" t="inlineStr">
        <is>
          <t>southeastasia</t>
        </is>
      </c>
      <c r="C269" s="33" t="inlineStr">
        <is>
          <t>Asia Pacific</t>
        </is>
      </c>
      <c r="D269" s="33" t="inlineStr">
        <is>
          <t>Prod</t>
        </is>
      </c>
      <c r="E269" s="32" t="inlineStr">
        <is>
          <t>Standard_E32ads_v5</t>
        </is>
      </c>
      <c r="F269" s="33" t="inlineStr">
        <is>
          <t>Eadsv5</t>
        </is>
      </c>
      <c r="G269" s="34" t="n">
        <v>32</v>
      </c>
      <c r="H269" s="32" t="inlineStr">
        <is>
          <t>crg-pr-sea-reg</t>
        </is>
      </c>
      <c r="I269" s="23" t="n">
        <v>340</v>
      </c>
      <c r="J269" s="23" t="n">
        <v>180</v>
      </c>
      <c r="K269" s="24">
        <f>I269+J269</f>
        <v/>
      </c>
      <c r="L269" s="24">
        <f>K269-I269</f>
        <v/>
      </c>
      <c r="M269" s="33" t="inlineStr">
        <is>
          <t>Standard</t>
        </is>
      </c>
      <c r="N269" s="32" t="inlineStr">
        <is>
          <t>Synthetic estate</t>
        </is>
      </c>
    </row>
    <row r="270">
      <c r="A270" s="32" t="inlineStr">
        <is>
          <t>Southeast Asia</t>
        </is>
      </c>
      <c r="B270" s="32" t="inlineStr">
        <is>
          <t>southeastasia</t>
        </is>
      </c>
      <c r="C270" s="33" t="inlineStr">
        <is>
          <t>Asia Pacific</t>
        </is>
      </c>
      <c r="D270" s="33" t="inlineStr">
        <is>
          <t>Prod</t>
        </is>
      </c>
      <c r="E270" s="32" t="inlineStr">
        <is>
          <t>Standard_E64ads_v5</t>
        </is>
      </c>
      <c r="F270" s="33" t="inlineStr">
        <is>
          <t>Eadsv5</t>
        </is>
      </c>
      <c r="G270" s="34" t="n">
        <v>64</v>
      </c>
      <c r="H270" s="32" t="inlineStr">
        <is>
          <t>crg-pr-sea-reg</t>
        </is>
      </c>
      <c r="I270" s="23" t="n">
        <v>680</v>
      </c>
      <c r="J270" s="23" t="n">
        <v>360</v>
      </c>
      <c r="K270" s="24">
        <f>I270+J270</f>
        <v/>
      </c>
      <c r="L270" s="24">
        <f>K270-I270</f>
        <v/>
      </c>
      <c r="M270" s="33" t="inlineStr">
        <is>
          <t>Standard</t>
        </is>
      </c>
      <c r="N270" s="32" t="inlineStr">
        <is>
          <t>Synthetic estate</t>
        </is>
      </c>
    </row>
    <row r="271">
      <c r="A271" s="32" t="inlineStr">
        <is>
          <t>Southeast Asia</t>
        </is>
      </c>
      <c r="B271" s="32" t="inlineStr">
        <is>
          <t>southeastasia</t>
        </is>
      </c>
      <c r="C271" s="33" t="inlineStr">
        <is>
          <t>Asia Pacific</t>
        </is>
      </c>
      <c r="D271" s="33" t="inlineStr">
        <is>
          <t>Prod</t>
        </is>
      </c>
      <c r="E271" s="32" t="inlineStr">
        <is>
          <t>Standard_E16ads_v5</t>
        </is>
      </c>
      <c r="F271" s="33" t="inlineStr">
        <is>
          <t>Eadsv5</t>
        </is>
      </c>
      <c r="G271" s="34" t="n">
        <v>16</v>
      </c>
      <c r="H271" s="32" t="inlineStr">
        <is>
          <t>crg-pr-sea-reg</t>
        </is>
      </c>
      <c r="I271" s="23" t="n">
        <v>170</v>
      </c>
      <c r="J271" s="23" t="n">
        <v>90</v>
      </c>
      <c r="K271" s="24">
        <f>I271+J271</f>
        <v/>
      </c>
      <c r="L271" s="24">
        <f>K271-I271</f>
        <v/>
      </c>
      <c r="M271" s="33" t="inlineStr">
        <is>
          <t>Standard</t>
        </is>
      </c>
      <c r="N271" s="32" t="inlineStr">
        <is>
          <t>Synthetic estate</t>
        </is>
      </c>
    </row>
    <row r="272">
      <c r="A272" s="32" t="inlineStr">
        <is>
          <t>Southeast Asia</t>
        </is>
      </c>
      <c r="B272" s="32" t="inlineStr">
        <is>
          <t>southeastasia</t>
        </is>
      </c>
      <c r="C272" s="33" t="inlineStr">
        <is>
          <t>Asia Pacific</t>
        </is>
      </c>
      <c r="D272" s="33" t="inlineStr">
        <is>
          <t>Prod</t>
        </is>
      </c>
      <c r="E272" s="32" t="inlineStr">
        <is>
          <t>Standard_E32ads_v6</t>
        </is>
      </c>
      <c r="F272" s="33" t="inlineStr">
        <is>
          <t>Eadsv6</t>
        </is>
      </c>
      <c r="G272" s="34" t="n">
        <v>32</v>
      </c>
      <c r="H272" s="32" t="inlineStr">
        <is>
          <t>crg-pr-sea-reg</t>
        </is>
      </c>
      <c r="I272" s="23" t="n">
        <v>340</v>
      </c>
      <c r="J272" s="23" t="n">
        <v>180</v>
      </c>
      <c r="K272" s="24">
        <f>I272+J272</f>
        <v/>
      </c>
      <c r="L272" s="24">
        <f>K272-I272</f>
        <v/>
      </c>
      <c r="M272" s="33" t="inlineStr">
        <is>
          <t>Standard</t>
        </is>
      </c>
      <c r="N272" s="32" t="inlineStr">
        <is>
          <t>Synthetic estate</t>
        </is>
      </c>
    </row>
    <row r="273">
      <c r="A273" s="32" t="inlineStr">
        <is>
          <t>Southeast Asia</t>
        </is>
      </c>
      <c r="B273" s="32" t="inlineStr">
        <is>
          <t>southeastasia</t>
        </is>
      </c>
      <c r="C273" s="33" t="inlineStr">
        <is>
          <t>Asia Pacific</t>
        </is>
      </c>
      <c r="D273" s="33" t="inlineStr">
        <is>
          <t>Prod</t>
        </is>
      </c>
      <c r="E273" s="32" t="inlineStr">
        <is>
          <t>Standard_D8ads_v5</t>
        </is>
      </c>
      <c r="F273" s="33" t="inlineStr">
        <is>
          <t>Dadsv5</t>
        </is>
      </c>
      <c r="G273" s="34" t="n">
        <v>8</v>
      </c>
      <c r="H273" s="32" t="inlineStr">
        <is>
          <t>crg-pr-sea-reg</t>
        </is>
      </c>
      <c r="I273" s="23" t="n">
        <v>85</v>
      </c>
      <c r="J273" s="23" t="n">
        <v>45</v>
      </c>
      <c r="K273" s="24">
        <f>I273+J273</f>
        <v/>
      </c>
      <c r="L273" s="24">
        <f>K273-I273</f>
        <v/>
      </c>
      <c r="M273" s="33" t="inlineStr">
        <is>
          <t>Standard</t>
        </is>
      </c>
      <c r="N273" s="32" t="inlineStr">
        <is>
          <t>Synthetic estate</t>
        </is>
      </c>
    </row>
    <row r="274">
      <c r="A274" s="32" t="inlineStr">
        <is>
          <t>Southeast Asia</t>
        </is>
      </c>
      <c r="B274" s="32" t="inlineStr">
        <is>
          <t>southeastasia</t>
        </is>
      </c>
      <c r="C274" s="33" t="inlineStr">
        <is>
          <t>Asia Pacific</t>
        </is>
      </c>
      <c r="D274" s="33" t="inlineStr">
        <is>
          <t>Prod</t>
        </is>
      </c>
      <c r="E274" s="32" t="inlineStr">
        <is>
          <t>Standard_D16ads_v5</t>
        </is>
      </c>
      <c r="F274" s="33" t="inlineStr">
        <is>
          <t>Dadsv5</t>
        </is>
      </c>
      <c r="G274" s="34" t="n">
        <v>16</v>
      </c>
      <c r="H274" s="32" t="inlineStr">
        <is>
          <t>crg-pr-sea-reg</t>
        </is>
      </c>
      <c r="I274" s="23" t="n">
        <v>170</v>
      </c>
      <c r="J274" s="23" t="n">
        <v>90</v>
      </c>
      <c r="K274" s="24">
        <f>I274+J274</f>
        <v/>
      </c>
      <c r="L274" s="24">
        <f>K274-I274</f>
        <v/>
      </c>
      <c r="M274" s="33" t="inlineStr">
        <is>
          <t>Standard</t>
        </is>
      </c>
      <c r="N274" s="32" t="inlineStr">
        <is>
          <t>Synthetic estate</t>
        </is>
      </c>
    </row>
    <row r="275">
      <c r="A275" s="32" t="inlineStr">
        <is>
          <t>Southeast Asia</t>
        </is>
      </c>
      <c r="B275" s="32" t="inlineStr">
        <is>
          <t>southeastasia</t>
        </is>
      </c>
      <c r="C275" s="33" t="inlineStr">
        <is>
          <t>Asia Pacific</t>
        </is>
      </c>
      <c r="D275" s="33" t="inlineStr">
        <is>
          <t>Prod</t>
        </is>
      </c>
      <c r="E275" s="32" t="inlineStr">
        <is>
          <t>Standard_D8as_v5</t>
        </is>
      </c>
      <c r="F275" s="33" t="inlineStr">
        <is>
          <t>Dasv5</t>
        </is>
      </c>
      <c r="G275" s="34" t="n">
        <v>8</v>
      </c>
      <c r="H275" s="32" t="inlineStr">
        <is>
          <t>crg-pr-sea-reg</t>
        </is>
      </c>
      <c r="I275" s="23" t="n">
        <v>85</v>
      </c>
      <c r="J275" s="23" t="n">
        <v>45</v>
      </c>
      <c r="K275" s="24">
        <f>I275+J275</f>
        <v/>
      </c>
      <c r="L275" s="24">
        <f>K275-I275</f>
        <v/>
      </c>
      <c r="M275" s="33" t="inlineStr">
        <is>
          <t>Standard</t>
        </is>
      </c>
      <c r="N275" s="32" t="inlineStr">
        <is>
          <t>Synthetic estate</t>
        </is>
      </c>
    </row>
    <row r="276">
      <c r="A276" s="32" t="inlineStr">
        <is>
          <t>Southeast Asia</t>
        </is>
      </c>
      <c r="B276" s="32" t="inlineStr">
        <is>
          <t>southeastasia</t>
        </is>
      </c>
      <c r="C276" s="33" t="inlineStr">
        <is>
          <t>Asia Pacific</t>
        </is>
      </c>
      <c r="D276" s="33" t="inlineStr">
        <is>
          <t>Prod</t>
        </is>
      </c>
      <c r="E276" s="32" t="inlineStr">
        <is>
          <t>Standard_D16as_v5</t>
        </is>
      </c>
      <c r="F276" s="33" t="inlineStr">
        <is>
          <t>Dasv5</t>
        </is>
      </c>
      <c r="G276" s="34" t="n">
        <v>16</v>
      </c>
      <c r="H276" s="32" t="inlineStr">
        <is>
          <t>crg-pr-sea-reg</t>
        </is>
      </c>
      <c r="I276" s="23" t="n">
        <v>170</v>
      </c>
      <c r="J276" s="23" t="n">
        <v>90</v>
      </c>
      <c r="K276" s="24">
        <f>I276+J276</f>
        <v/>
      </c>
      <c r="L276" s="24">
        <f>K276-I276</f>
        <v/>
      </c>
      <c r="M276" s="33" t="inlineStr">
        <is>
          <t>Standard</t>
        </is>
      </c>
      <c r="N276" s="32" t="inlineStr">
        <is>
          <t>Synthetic estate</t>
        </is>
      </c>
    </row>
    <row r="277">
      <c r="A277" s="32" t="inlineStr">
        <is>
          <t>Southeast Asia</t>
        </is>
      </c>
      <c r="B277" s="32" t="inlineStr">
        <is>
          <t>southeastasia</t>
        </is>
      </c>
      <c r="C277" s="33" t="inlineStr">
        <is>
          <t>Asia Pacific</t>
        </is>
      </c>
      <c r="D277" s="33" t="inlineStr">
        <is>
          <t>NonProd</t>
        </is>
      </c>
      <c r="E277" s="32" t="inlineStr">
        <is>
          <t>Standard_E32ads_v5</t>
        </is>
      </c>
      <c r="F277" s="33" t="inlineStr">
        <is>
          <t>Eadsv5</t>
        </is>
      </c>
      <c r="G277" s="34" t="n">
        <v>32</v>
      </c>
      <c r="H277" s="32" t="inlineStr">
        <is>
          <t>crg-np-sea-reg</t>
        </is>
      </c>
      <c r="I277" s="23" t="n">
        <v>180</v>
      </c>
      <c r="J277" s="23" t="n">
        <v>200</v>
      </c>
      <c r="K277" s="24">
        <f>I277+J277</f>
        <v/>
      </c>
      <c r="L277" s="24">
        <f>K277-I277</f>
        <v/>
      </c>
      <c r="M277" s="33" t="inlineStr">
        <is>
          <t>Standard</t>
        </is>
      </c>
      <c r="N277" s="32" t="inlineStr">
        <is>
          <t>Synthetic estate</t>
        </is>
      </c>
    </row>
    <row r="278">
      <c r="A278" s="32" t="inlineStr">
        <is>
          <t>Southeast Asia</t>
        </is>
      </c>
      <c r="B278" s="32" t="inlineStr">
        <is>
          <t>southeastasia</t>
        </is>
      </c>
      <c r="C278" s="33" t="inlineStr">
        <is>
          <t>Asia Pacific</t>
        </is>
      </c>
      <c r="D278" s="33" t="inlineStr">
        <is>
          <t>NonProd</t>
        </is>
      </c>
      <c r="E278" s="32" t="inlineStr">
        <is>
          <t>Standard_E64ads_v5</t>
        </is>
      </c>
      <c r="F278" s="33" t="inlineStr">
        <is>
          <t>Eadsv5</t>
        </is>
      </c>
      <c r="G278" s="34" t="n">
        <v>64</v>
      </c>
      <c r="H278" s="32" t="inlineStr">
        <is>
          <t>crg-np-sea-reg</t>
        </is>
      </c>
      <c r="I278" s="23" t="n">
        <v>360</v>
      </c>
      <c r="J278" s="23" t="n">
        <v>400</v>
      </c>
      <c r="K278" s="24">
        <f>I278+J278</f>
        <v/>
      </c>
      <c r="L278" s="24">
        <f>K278-I278</f>
        <v/>
      </c>
      <c r="M278" s="33" t="inlineStr">
        <is>
          <t>Standard</t>
        </is>
      </c>
      <c r="N278" s="32" t="inlineStr">
        <is>
          <t>Synthetic estate</t>
        </is>
      </c>
    </row>
    <row r="279">
      <c r="A279" s="32" t="inlineStr">
        <is>
          <t>Southeast Asia</t>
        </is>
      </c>
      <c r="B279" s="32" t="inlineStr">
        <is>
          <t>southeastasia</t>
        </is>
      </c>
      <c r="C279" s="33" t="inlineStr">
        <is>
          <t>Asia Pacific</t>
        </is>
      </c>
      <c r="D279" s="33" t="inlineStr">
        <is>
          <t>NonProd</t>
        </is>
      </c>
      <c r="E279" s="32" t="inlineStr">
        <is>
          <t>Standard_E16ads_v5</t>
        </is>
      </c>
      <c r="F279" s="33" t="inlineStr">
        <is>
          <t>Eadsv5</t>
        </is>
      </c>
      <c r="G279" s="34" t="n">
        <v>16</v>
      </c>
      <c r="H279" s="32" t="inlineStr">
        <is>
          <t>crg-np-sea-reg</t>
        </is>
      </c>
      <c r="I279" s="23" t="n">
        <v>90</v>
      </c>
      <c r="J279" s="23" t="n">
        <v>100</v>
      </c>
      <c r="K279" s="24">
        <f>I279+J279</f>
        <v/>
      </c>
      <c r="L279" s="24">
        <f>K279-I279</f>
        <v/>
      </c>
      <c r="M279" s="33" t="inlineStr">
        <is>
          <t>Standard</t>
        </is>
      </c>
      <c r="N279" s="32" t="inlineStr">
        <is>
          <t>Synthetic estate</t>
        </is>
      </c>
    </row>
    <row r="280">
      <c r="A280" s="32" t="inlineStr">
        <is>
          <t>Southeast Asia</t>
        </is>
      </c>
      <c r="B280" s="32" t="inlineStr">
        <is>
          <t>southeastasia</t>
        </is>
      </c>
      <c r="C280" s="33" t="inlineStr">
        <is>
          <t>Asia Pacific</t>
        </is>
      </c>
      <c r="D280" s="33" t="inlineStr">
        <is>
          <t>NonProd</t>
        </is>
      </c>
      <c r="E280" s="32" t="inlineStr">
        <is>
          <t>Standard_E32ads_v6</t>
        </is>
      </c>
      <c r="F280" s="33" t="inlineStr">
        <is>
          <t>Eadsv6</t>
        </is>
      </c>
      <c r="G280" s="34" t="n">
        <v>32</v>
      </c>
      <c r="H280" s="32" t="inlineStr">
        <is>
          <t>crg-np-sea-reg</t>
        </is>
      </c>
      <c r="I280" s="23" t="n">
        <v>180</v>
      </c>
      <c r="J280" s="23" t="n">
        <v>200</v>
      </c>
      <c r="K280" s="24">
        <f>I280+J280</f>
        <v/>
      </c>
      <c r="L280" s="24">
        <f>K280-I280</f>
        <v/>
      </c>
      <c r="M280" s="33" t="inlineStr">
        <is>
          <t>Standard</t>
        </is>
      </c>
      <c r="N280" s="32" t="inlineStr">
        <is>
          <t>Synthetic estate</t>
        </is>
      </c>
    </row>
    <row r="281">
      <c r="A281" s="32" t="inlineStr">
        <is>
          <t>Southeast Asia</t>
        </is>
      </c>
      <c r="B281" s="32" t="inlineStr">
        <is>
          <t>southeastasia</t>
        </is>
      </c>
      <c r="C281" s="33" t="inlineStr">
        <is>
          <t>Asia Pacific</t>
        </is>
      </c>
      <c r="D281" s="33" t="inlineStr">
        <is>
          <t>NonProd</t>
        </is>
      </c>
      <c r="E281" s="32" t="inlineStr">
        <is>
          <t>Standard_D8ads_v5</t>
        </is>
      </c>
      <c r="F281" s="33" t="inlineStr">
        <is>
          <t>Dadsv5</t>
        </is>
      </c>
      <c r="G281" s="34" t="n">
        <v>8</v>
      </c>
      <c r="H281" s="32" t="inlineStr">
        <is>
          <t>crg-np-sea-reg</t>
        </is>
      </c>
      <c r="I281" s="23" t="n">
        <v>45</v>
      </c>
      <c r="J281" s="23" t="n">
        <v>50</v>
      </c>
      <c r="K281" s="24">
        <f>I281+J281</f>
        <v/>
      </c>
      <c r="L281" s="24">
        <f>K281-I281</f>
        <v/>
      </c>
      <c r="M281" s="33" t="inlineStr">
        <is>
          <t>Standard</t>
        </is>
      </c>
      <c r="N281" s="32" t="inlineStr">
        <is>
          <t>Synthetic estate</t>
        </is>
      </c>
    </row>
    <row r="282">
      <c r="A282" s="32" t="inlineStr">
        <is>
          <t>Southeast Asia</t>
        </is>
      </c>
      <c r="B282" s="32" t="inlineStr">
        <is>
          <t>southeastasia</t>
        </is>
      </c>
      <c r="C282" s="33" t="inlineStr">
        <is>
          <t>Asia Pacific</t>
        </is>
      </c>
      <c r="D282" s="33" t="inlineStr">
        <is>
          <t>NonProd</t>
        </is>
      </c>
      <c r="E282" s="32" t="inlineStr">
        <is>
          <t>Standard_D16ads_v5</t>
        </is>
      </c>
      <c r="F282" s="33" t="inlineStr">
        <is>
          <t>Dadsv5</t>
        </is>
      </c>
      <c r="G282" s="34" t="n">
        <v>16</v>
      </c>
      <c r="H282" s="32" t="inlineStr">
        <is>
          <t>crg-np-sea-reg</t>
        </is>
      </c>
      <c r="I282" s="23" t="n">
        <v>90</v>
      </c>
      <c r="J282" s="23" t="n">
        <v>100</v>
      </c>
      <c r="K282" s="24">
        <f>I282+J282</f>
        <v/>
      </c>
      <c r="L282" s="24">
        <f>K282-I282</f>
        <v/>
      </c>
      <c r="M282" s="33" t="inlineStr">
        <is>
          <t>Standard</t>
        </is>
      </c>
      <c r="N282" s="32" t="inlineStr">
        <is>
          <t>Synthetic estate</t>
        </is>
      </c>
    </row>
    <row r="283">
      <c r="A283" s="32" t="inlineStr">
        <is>
          <t>Southeast Asia</t>
        </is>
      </c>
      <c r="B283" s="32" t="inlineStr">
        <is>
          <t>southeastasia</t>
        </is>
      </c>
      <c r="C283" s="33" t="inlineStr">
        <is>
          <t>Asia Pacific</t>
        </is>
      </c>
      <c r="D283" s="33" t="inlineStr">
        <is>
          <t>NonProd</t>
        </is>
      </c>
      <c r="E283" s="32" t="inlineStr">
        <is>
          <t>Standard_D8as_v5</t>
        </is>
      </c>
      <c r="F283" s="33" t="inlineStr">
        <is>
          <t>Dasv5</t>
        </is>
      </c>
      <c r="G283" s="34" t="n">
        <v>8</v>
      </c>
      <c r="H283" s="32" t="inlineStr">
        <is>
          <t>crg-np-sea-reg</t>
        </is>
      </c>
      <c r="I283" s="23" t="n">
        <v>45</v>
      </c>
      <c r="J283" s="23" t="n">
        <v>50</v>
      </c>
      <c r="K283" s="24">
        <f>I283+J283</f>
        <v/>
      </c>
      <c r="L283" s="24">
        <f>K283-I283</f>
        <v/>
      </c>
      <c r="M283" s="33" t="inlineStr">
        <is>
          <t>Standard</t>
        </is>
      </c>
      <c r="N283" s="32" t="inlineStr">
        <is>
          <t>Synthetic estate</t>
        </is>
      </c>
    </row>
    <row r="284">
      <c r="A284" s="32" t="inlineStr">
        <is>
          <t>Southeast Asia</t>
        </is>
      </c>
      <c r="B284" s="32" t="inlineStr">
        <is>
          <t>southeastasia</t>
        </is>
      </c>
      <c r="C284" s="33" t="inlineStr">
        <is>
          <t>Asia Pacific</t>
        </is>
      </c>
      <c r="D284" s="33" t="inlineStr">
        <is>
          <t>NonProd</t>
        </is>
      </c>
      <c r="E284" s="32" t="inlineStr">
        <is>
          <t>Standard_D16as_v5</t>
        </is>
      </c>
      <c r="F284" s="33" t="inlineStr">
        <is>
          <t>Dasv5</t>
        </is>
      </c>
      <c r="G284" s="34" t="n">
        <v>16</v>
      </c>
      <c r="H284" s="32" t="inlineStr">
        <is>
          <t>crg-np-sea-reg</t>
        </is>
      </c>
      <c r="I284" s="23" t="n">
        <v>90</v>
      </c>
      <c r="J284" s="23" t="n">
        <v>100</v>
      </c>
      <c r="K284" s="24">
        <f>I284+J284</f>
        <v/>
      </c>
      <c r="L284" s="24">
        <f>K284-I284</f>
        <v/>
      </c>
      <c r="M284" s="33" t="inlineStr">
        <is>
          <t>Standard</t>
        </is>
      </c>
      <c r="N284" s="32" t="inlineStr">
        <is>
          <t>Synthetic estate</t>
        </is>
      </c>
    </row>
    <row r="285">
      <c r="A285" s="32" t="inlineStr">
        <is>
          <t>Southeast Asia</t>
        </is>
      </c>
      <c r="B285" s="32" t="inlineStr">
        <is>
          <t>southeastasia</t>
        </is>
      </c>
      <c r="C285" s="33" t="inlineStr">
        <is>
          <t>Asia Pacific</t>
        </is>
      </c>
      <c r="D285" s="33" t="inlineStr">
        <is>
          <t>DR</t>
        </is>
      </c>
      <c r="E285" s="32" t="inlineStr">
        <is>
          <t>Standard_E32ads_v5</t>
        </is>
      </c>
      <c r="F285" s="33" t="inlineStr">
        <is>
          <t>Eadsv5</t>
        </is>
      </c>
      <c r="G285" s="34" t="n">
        <v>32</v>
      </c>
      <c r="H285" s="32" t="inlineStr">
        <is>
          <t>crg-dr-sea-reg</t>
        </is>
      </c>
      <c r="I285" s="23" t="n">
        <v>28</v>
      </c>
      <c r="J285" s="23" t="n">
        <v>44</v>
      </c>
      <c r="K285" s="24">
        <f>I285+J285</f>
        <v/>
      </c>
      <c r="L285" s="24">
        <f>K285-I285</f>
        <v/>
      </c>
      <c r="M285" s="33" t="inlineStr">
        <is>
          <t>Standard</t>
        </is>
      </c>
      <c r="N285" s="32" t="inlineStr">
        <is>
          <t>Synthetic estate</t>
        </is>
      </c>
    </row>
    <row r="286">
      <c r="A286" s="32" t="inlineStr">
        <is>
          <t>Southeast Asia</t>
        </is>
      </c>
      <c r="B286" s="32" t="inlineStr">
        <is>
          <t>southeastasia</t>
        </is>
      </c>
      <c r="C286" s="33" t="inlineStr">
        <is>
          <t>Asia Pacific</t>
        </is>
      </c>
      <c r="D286" s="33" t="inlineStr">
        <is>
          <t>DR</t>
        </is>
      </c>
      <c r="E286" s="32" t="inlineStr">
        <is>
          <t>Standard_E64ads_v5</t>
        </is>
      </c>
      <c r="F286" s="33" t="inlineStr">
        <is>
          <t>Eadsv5</t>
        </is>
      </c>
      <c r="G286" s="34" t="n">
        <v>64</v>
      </c>
      <c r="H286" s="32" t="inlineStr">
        <is>
          <t>crg-dr-sea-reg</t>
        </is>
      </c>
      <c r="I286" s="23" t="n">
        <v>56</v>
      </c>
      <c r="J286" s="23" t="n">
        <v>88</v>
      </c>
      <c r="K286" s="24">
        <f>I286+J286</f>
        <v/>
      </c>
      <c r="L286" s="24">
        <f>K286-I286</f>
        <v/>
      </c>
      <c r="M286" s="33" t="inlineStr">
        <is>
          <t>Standard</t>
        </is>
      </c>
      <c r="N286" s="32" t="inlineStr">
        <is>
          <t>Synthetic estate</t>
        </is>
      </c>
    </row>
    <row r="287">
      <c r="A287" s="32" t="inlineStr">
        <is>
          <t>Southeast Asia</t>
        </is>
      </c>
      <c r="B287" s="32" t="inlineStr">
        <is>
          <t>southeastasia</t>
        </is>
      </c>
      <c r="C287" s="33" t="inlineStr">
        <is>
          <t>Asia Pacific</t>
        </is>
      </c>
      <c r="D287" s="33" t="inlineStr">
        <is>
          <t>DR</t>
        </is>
      </c>
      <c r="E287" s="32" t="inlineStr">
        <is>
          <t>Standard_E16ads_v5</t>
        </is>
      </c>
      <c r="F287" s="33" t="inlineStr">
        <is>
          <t>Eadsv5</t>
        </is>
      </c>
      <c r="G287" s="34" t="n">
        <v>16</v>
      </c>
      <c r="H287" s="32" t="inlineStr">
        <is>
          <t>crg-dr-sea-reg</t>
        </is>
      </c>
      <c r="I287" s="23" t="n">
        <v>14</v>
      </c>
      <c r="J287" s="23" t="n">
        <v>22</v>
      </c>
      <c r="K287" s="24">
        <f>I287+J287</f>
        <v/>
      </c>
      <c r="L287" s="24">
        <f>K287-I287</f>
        <v/>
      </c>
      <c r="M287" s="33" t="inlineStr">
        <is>
          <t>Standard</t>
        </is>
      </c>
      <c r="N287" s="32" t="inlineStr">
        <is>
          <t>Synthetic estate</t>
        </is>
      </c>
    </row>
    <row r="288">
      <c r="A288" s="32" t="inlineStr">
        <is>
          <t>Southeast Asia</t>
        </is>
      </c>
      <c r="B288" s="32" t="inlineStr">
        <is>
          <t>southeastasia</t>
        </is>
      </c>
      <c r="C288" s="33" t="inlineStr">
        <is>
          <t>Asia Pacific</t>
        </is>
      </c>
      <c r="D288" s="33" t="inlineStr">
        <is>
          <t>DR</t>
        </is>
      </c>
      <c r="E288" s="32" t="inlineStr">
        <is>
          <t>Standard_E32ads_v6</t>
        </is>
      </c>
      <c r="F288" s="33" t="inlineStr">
        <is>
          <t>Eadsv6</t>
        </is>
      </c>
      <c r="G288" s="34" t="n">
        <v>32</v>
      </c>
      <c r="H288" s="32" t="inlineStr">
        <is>
          <t>crg-dr-sea-reg</t>
        </is>
      </c>
      <c r="I288" s="23" t="n">
        <v>28</v>
      </c>
      <c r="J288" s="23" t="n">
        <v>44</v>
      </c>
      <c r="K288" s="24">
        <f>I288+J288</f>
        <v/>
      </c>
      <c r="L288" s="24">
        <f>K288-I288</f>
        <v/>
      </c>
      <c r="M288" s="33" t="inlineStr">
        <is>
          <t>Standard</t>
        </is>
      </c>
      <c r="N288" s="32" t="inlineStr">
        <is>
          <t>Synthetic estate</t>
        </is>
      </c>
    </row>
    <row r="289">
      <c r="A289" s="32" t="inlineStr">
        <is>
          <t>Southeast Asia</t>
        </is>
      </c>
      <c r="B289" s="32" t="inlineStr">
        <is>
          <t>southeastasia</t>
        </is>
      </c>
      <c r="C289" s="33" t="inlineStr">
        <is>
          <t>Asia Pacific</t>
        </is>
      </c>
      <c r="D289" s="33" t="inlineStr">
        <is>
          <t>DR</t>
        </is>
      </c>
      <c r="E289" s="32" t="inlineStr">
        <is>
          <t>Standard_D8ads_v5</t>
        </is>
      </c>
      <c r="F289" s="33" t="inlineStr">
        <is>
          <t>Dadsv5</t>
        </is>
      </c>
      <c r="G289" s="34" t="n">
        <v>8</v>
      </c>
      <c r="H289" s="32" t="inlineStr">
        <is>
          <t>crg-dr-sea-reg</t>
        </is>
      </c>
      <c r="I289" s="23" t="n">
        <v>7</v>
      </c>
      <c r="J289" s="23" t="n">
        <v>11</v>
      </c>
      <c r="K289" s="24">
        <f>I289+J289</f>
        <v/>
      </c>
      <c r="L289" s="24">
        <f>K289-I289</f>
        <v/>
      </c>
      <c r="M289" s="33" t="inlineStr">
        <is>
          <t>Standard</t>
        </is>
      </c>
      <c r="N289" s="32" t="inlineStr">
        <is>
          <t>Synthetic estate</t>
        </is>
      </c>
    </row>
    <row r="290">
      <c r="A290" s="32" t="inlineStr">
        <is>
          <t>Southeast Asia</t>
        </is>
      </c>
      <c r="B290" s="32" t="inlineStr">
        <is>
          <t>southeastasia</t>
        </is>
      </c>
      <c r="C290" s="33" t="inlineStr">
        <is>
          <t>Asia Pacific</t>
        </is>
      </c>
      <c r="D290" s="33" t="inlineStr">
        <is>
          <t>DR</t>
        </is>
      </c>
      <c r="E290" s="32" t="inlineStr">
        <is>
          <t>Standard_D16ads_v5</t>
        </is>
      </c>
      <c r="F290" s="33" t="inlineStr">
        <is>
          <t>Dadsv5</t>
        </is>
      </c>
      <c r="G290" s="34" t="n">
        <v>16</v>
      </c>
      <c r="H290" s="32" t="inlineStr">
        <is>
          <t>crg-dr-sea-reg</t>
        </is>
      </c>
      <c r="I290" s="23" t="n">
        <v>14</v>
      </c>
      <c r="J290" s="23" t="n">
        <v>22</v>
      </c>
      <c r="K290" s="24">
        <f>I290+J290</f>
        <v/>
      </c>
      <c r="L290" s="24">
        <f>K290-I290</f>
        <v/>
      </c>
      <c r="M290" s="33" t="inlineStr">
        <is>
          <t>Standard</t>
        </is>
      </c>
      <c r="N290" s="32" t="inlineStr">
        <is>
          <t>Synthetic estate</t>
        </is>
      </c>
    </row>
    <row r="291">
      <c r="A291" s="32" t="inlineStr">
        <is>
          <t>Southeast Asia</t>
        </is>
      </c>
      <c r="B291" s="32" t="inlineStr">
        <is>
          <t>southeastasia</t>
        </is>
      </c>
      <c r="C291" s="33" t="inlineStr">
        <is>
          <t>Asia Pacific</t>
        </is>
      </c>
      <c r="D291" s="33" t="inlineStr">
        <is>
          <t>DR</t>
        </is>
      </c>
      <c r="E291" s="32" t="inlineStr">
        <is>
          <t>Standard_D8as_v5</t>
        </is>
      </c>
      <c r="F291" s="33" t="inlineStr">
        <is>
          <t>Dasv5</t>
        </is>
      </c>
      <c r="G291" s="34" t="n">
        <v>8</v>
      </c>
      <c r="H291" s="32" t="inlineStr">
        <is>
          <t>crg-dr-sea-reg</t>
        </is>
      </c>
      <c r="I291" s="23" t="n">
        <v>7</v>
      </c>
      <c r="J291" s="23" t="n">
        <v>11</v>
      </c>
      <c r="K291" s="24">
        <f>I291+J291</f>
        <v/>
      </c>
      <c r="L291" s="24">
        <f>K291-I291</f>
        <v/>
      </c>
      <c r="M291" s="33" t="inlineStr">
        <is>
          <t>Standard</t>
        </is>
      </c>
      <c r="N291" s="32" t="inlineStr">
        <is>
          <t>Synthetic estate</t>
        </is>
      </c>
    </row>
    <row r="292">
      <c r="A292" s="32" t="inlineStr">
        <is>
          <t>Southeast Asia</t>
        </is>
      </c>
      <c r="B292" s="32" t="inlineStr">
        <is>
          <t>southeastasia</t>
        </is>
      </c>
      <c r="C292" s="33" t="inlineStr">
        <is>
          <t>Asia Pacific</t>
        </is>
      </c>
      <c r="D292" s="33" t="inlineStr">
        <is>
          <t>DR</t>
        </is>
      </c>
      <c r="E292" s="32" t="inlineStr">
        <is>
          <t>Standard_D16as_v5</t>
        </is>
      </c>
      <c r="F292" s="33" t="inlineStr">
        <is>
          <t>Dasv5</t>
        </is>
      </c>
      <c r="G292" s="34" t="n">
        <v>16</v>
      </c>
      <c r="H292" s="32" t="inlineStr">
        <is>
          <t>crg-dr-sea-reg</t>
        </is>
      </c>
      <c r="I292" s="23" t="n">
        <v>14</v>
      </c>
      <c r="J292" s="23" t="n">
        <v>22</v>
      </c>
      <c r="K292" s="24">
        <f>I292+J292</f>
        <v/>
      </c>
      <c r="L292" s="24">
        <f>K292-I292</f>
        <v/>
      </c>
      <c r="M292" s="33" t="inlineStr">
        <is>
          <t>Standard</t>
        </is>
      </c>
      <c r="N292" s="32" t="inlineStr">
        <is>
          <t>Synthetic estate</t>
        </is>
      </c>
    </row>
    <row r="293">
      <c r="A293" s="32" t="inlineStr">
        <is>
          <t>Saudi Arabia Central</t>
        </is>
      </c>
      <c r="B293" s="32" t="inlineStr">
        <is>
          <t>saudicentral</t>
        </is>
      </c>
      <c r="C293" s="33" t="inlineStr">
        <is>
          <t>Middle East</t>
        </is>
      </c>
      <c r="D293" s="33" t="inlineStr">
        <is>
          <t>Prod</t>
        </is>
      </c>
      <c r="E293" s="32" t="inlineStr">
        <is>
          <t>Standard_E32ads_v5</t>
        </is>
      </c>
      <c r="F293" s="33" t="inlineStr">
        <is>
          <t>Eadsv5</t>
        </is>
      </c>
      <c r="G293" s="34" t="n">
        <v>32</v>
      </c>
      <c r="H293" s="32" t="inlineStr">
        <is>
          <t>crg-pr-sac-reg</t>
        </is>
      </c>
      <c r="I293" s="23" t="n">
        <v>80</v>
      </c>
      <c r="J293" s="23" t="n">
        <v>160</v>
      </c>
      <c r="K293" s="24">
        <f>I293+J293</f>
        <v/>
      </c>
      <c r="L293" s="24">
        <f>K293-I293</f>
        <v/>
      </c>
      <c r="M293" s="33" t="inlineStr">
        <is>
          <t>Standard</t>
        </is>
      </c>
      <c r="N293" s="32" t="inlineStr">
        <is>
          <t>Synthetic. Local DR is 0 — DR is placed in Europe (DR-020).</t>
        </is>
      </c>
    </row>
    <row r="294">
      <c r="A294" s="32" t="inlineStr">
        <is>
          <t>Saudi Arabia Central</t>
        </is>
      </c>
      <c r="B294" s="32" t="inlineStr">
        <is>
          <t>saudicentral</t>
        </is>
      </c>
      <c r="C294" s="33" t="inlineStr">
        <is>
          <t>Middle East</t>
        </is>
      </c>
      <c r="D294" s="33" t="inlineStr">
        <is>
          <t>Prod</t>
        </is>
      </c>
      <c r="E294" s="32" t="inlineStr">
        <is>
          <t>Standard_E64ads_v5</t>
        </is>
      </c>
      <c r="F294" s="33" t="inlineStr">
        <is>
          <t>Eadsv5</t>
        </is>
      </c>
      <c r="G294" s="34" t="n">
        <v>64</v>
      </c>
      <c r="H294" s="32" t="inlineStr">
        <is>
          <t>crg-pr-sac-reg</t>
        </is>
      </c>
      <c r="I294" s="23" t="n">
        <v>160</v>
      </c>
      <c r="J294" s="23" t="n">
        <v>320</v>
      </c>
      <c r="K294" s="24">
        <f>I294+J294</f>
        <v/>
      </c>
      <c r="L294" s="24">
        <f>K294-I294</f>
        <v/>
      </c>
      <c r="M294" s="33" t="inlineStr">
        <is>
          <t>Standard</t>
        </is>
      </c>
      <c r="N294" s="32" t="inlineStr">
        <is>
          <t>Synthetic. Local DR is 0 — DR is placed in Europe (DR-020).</t>
        </is>
      </c>
    </row>
    <row r="295">
      <c r="A295" s="32" t="inlineStr">
        <is>
          <t>Saudi Arabia Central</t>
        </is>
      </c>
      <c r="B295" s="32" t="inlineStr">
        <is>
          <t>saudicentral</t>
        </is>
      </c>
      <c r="C295" s="33" t="inlineStr">
        <is>
          <t>Middle East</t>
        </is>
      </c>
      <c r="D295" s="33" t="inlineStr">
        <is>
          <t>Prod</t>
        </is>
      </c>
      <c r="E295" s="32" t="inlineStr">
        <is>
          <t>Standard_E16ads_v5</t>
        </is>
      </c>
      <c r="F295" s="33" t="inlineStr">
        <is>
          <t>Eadsv5</t>
        </is>
      </c>
      <c r="G295" s="34" t="n">
        <v>16</v>
      </c>
      <c r="H295" s="32" t="inlineStr">
        <is>
          <t>crg-pr-sac-reg</t>
        </is>
      </c>
      <c r="I295" s="23" t="n">
        <v>40</v>
      </c>
      <c r="J295" s="23" t="n">
        <v>80</v>
      </c>
      <c r="K295" s="24">
        <f>I295+J295</f>
        <v/>
      </c>
      <c r="L295" s="24">
        <f>K295-I295</f>
        <v/>
      </c>
      <c r="M295" s="33" t="inlineStr">
        <is>
          <t>Standard</t>
        </is>
      </c>
      <c r="N295" s="32" t="inlineStr">
        <is>
          <t>Synthetic. Local DR is 0 — DR is placed in Europe (DR-020).</t>
        </is>
      </c>
    </row>
    <row r="296">
      <c r="A296" s="32" t="inlineStr">
        <is>
          <t>Saudi Arabia Central</t>
        </is>
      </c>
      <c r="B296" s="32" t="inlineStr">
        <is>
          <t>saudicentral</t>
        </is>
      </c>
      <c r="C296" s="33" t="inlineStr">
        <is>
          <t>Middle East</t>
        </is>
      </c>
      <c r="D296" s="33" t="inlineStr">
        <is>
          <t>Prod</t>
        </is>
      </c>
      <c r="E296" s="32" t="inlineStr">
        <is>
          <t>Standard_E32ads_v6</t>
        </is>
      </c>
      <c r="F296" s="33" t="inlineStr">
        <is>
          <t>Eadsv6</t>
        </is>
      </c>
      <c r="G296" s="34" t="n">
        <v>32</v>
      </c>
      <c r="H296" s="32" t="inlineStr">
        <is>
          <t>crg-pr-sac-reg</t>
        </is>
      </c>
      <c r="I296" s="23" t="n">
        <v>80</v>
      </c>
      <c r="J296" s="23" t="n">
        <v>160</v>
      </c>
      <c r="K296" s="24">
        <f>I296+J296</f>
        <v/>
      </c>
      <c r="L296" s="24">
        <f>K296-I296</f>
        <v/>
      </c>
      <c r="M296" s="33" t="inlineStr">
        <is>
          <t>Standard</t>
        </is>
      </c>
      <c r="N296" s="32" t="inlineStr">
        <is>
          <t>Synthetic. Local DR is 0 — DR is placed in Europe (DR-020).</t>
        </is>
      </c>
    </row>
    <row r="297">
      <c r="A297" s="32" t="inlineStr">
        <is>
          <t>Saudi Arabia Central</t>
        </is>
      </c>
      <c r="B297" s="32" t="inlineStr">
        <is>
          <t>saudicentral</t>
        </is>
      </c>
      <c r="C297" s="33" t="inlineStr">
        <is>
          <t>Middle East</t>
        </is>
      </c>
      <c r="D297" s="33" t="inlineStr">
        <is>
          <t>Prod</t>
        </is>
      </c>
      <c r="E297" s="32" t="inlineStr">
        <is>
          <t>Standard_D8ads_v5</t>
        </is>
      </c>
      <c r="F297" s="33" t="inlineStr">
        <is>
          <t>Dadsv5</t>
        </is>
      </c>
      <c r="G297" s="34" t="n">
        <v>8</v>
      </c>
      <c r="H297" s="32" t="inlineStr">
        <is>
          <t>crg-pr-sac-reg</t>
        </is>
      </c>
      <c r="I297" s="23" t="n">
        <v>20</v>
      </c>
      <c r="J297" s="23" t="n">
        <v>40</v>
      </c>
      <c r="K297" s="24">
        <f>I297+J297</f>
        <v/>
      </c>
      <c r="L297" s="24">
        <f>K297-I297</f>
        <v/>
      </c>
      <c r="M297" s="33" t="inlineStr">
        <is>
          <t>Standard</t>
        </is>
      </c>
      <c r="N297" s="32" t="inlineStr">
        <is>
          <t>Synthetic. Local DR is 0 — DR is placed in Europe (DR-020).</t>
        </is>
      </c>
    </row>
    <row r="298">
      <c r="A298" s="32" t="inlineStr">
        <is>
          <t>Saudi Arabia Central</t>
        </is>
      </c>
      <c r="B298" s="32" t="inlineStr">
        <is>
          <t>saudicentral</t>
        </is>
      </c>
      <c r="C298" s="33" t="inlineStr">
        <is>
          <t>Middle East</t>
        </is>
      </c>
      <c r="D298" s="33" t="inlineStr">
        <is>
          <t>Prod</t>
        </is>
      </c>
      <c r="E298" s="32" t="inlineStr">
        <is>
          <t>Standard_D16ads_v5</t>
        </is>
      </c>
      <c r="F298" s="33" t="inlineStr">
        <is>
          <t>Dadsv5</t>
        </is>
      </c>
      <c r="G298" s="34" t="n">
        <v>16</v>
      </c>
      <c r="H298" s="32" t="inlineStr">
        <is>
          <t>crg-pr-sac-reg</t>
        </is>
      </c>
      <c r="I298" s="23" t="n">
        <v>40</v>
      </c>
      <c r="J298" s="23" t="n">
        <v>80</v>
      </c>
      <c r="K298" s="24">
        <f>I298+J298</f>
        <v/>
      </c>
      <c r="L298" s="24">
        <f>K298-I298</f>
        <v/>
      </c>
      <c r="M298" s="33" t="inlineStr">
        <is>
          <t>Standard</t>
        </is>
      </c>
      <c r="N298" s="32" t="inlineStr">
        <is>
          <t>Synthetic. Local DR is 0 — DR is placed in Europe (DR-020).</t>
        </is>
      </c>
    </row>
    <row r="299">
      <c r="A299" s="32" t="inlineStr">
        <is>
          <t>Saudi Arabia Central</t>
        </is>
      </c>
      <c r="B299" s="32" t="inlineStr">
        <is>
          <t>saudicentral</t>
        </is>
      </c>
      <c r="C299" s="33" t="inlineStr">
        <is>
          <t>Middle East</t>
        </is>
      </c>
      <c r="D299" s="33" t="inlineStr">
        <is>
          <t>Prod</t>
        </is>
      </c>
      <c r="E299" s="32" t="inlineStr">
        <is>
          <t>Standard_D8as_v5</t>
        </is>
      </c>
      <c r="F299" s="33" t="inlineStr">
        <is>
          <t>Dasv5</t>
        </is>
      </c>
      <c r="G299" s="34" t="n">
        <v>8</v>
      </c>
      <c r="H299" s="32" t="inlineStr">
        <is>
          <t>crg-pr-sac-reg</t>
        </is>
      </c>
      <c r="I299" s="23" t="n">
        <v>20</v>
      </c>
      <c r="J299" s="23" t="n">
        <v>40</v>
      </c>
      <c r="K299" s="24">
        <f>I299+J299</f>
        <v/>
      </c>
      <c r="L299" s="24">
        <f>K299-I299</f>
        <v/>
      </c>
      <c r="M299" s="33" t="inlineStr">
        <is>
          <t>Standard</t>
        </is>
      </c>
      <c r="N299" s="32" t="inlineStr">
        <is>
          <t>Synthetic. Local DR is 0 — DR is placed in Europe (DR-020).</t>
        </is>
      </c>
    </row>
    <row r="300">
      <c r="A300" s="32" t="inlineStr">
        <is>
          <t>Saudi Arabia Central</t>
        </is>
      </c>
      <c r="B300" s="32" t="inlineStr">
        <is>
          <t>saudicentral</t>
        </is>
      </c>
      <c r="C300" s="33" t="inlineStr">
        <is>
          <t>Middle East</t>
        </is>
      </c>
      <c r="D300" s="33" t="inlineStr">
        <is>
          <t>Prod</t>
        </is>
      </c>
      <c r="E300" s="32" t="inlineStr">
        <is>
          <t>Standard_D16as_v5</t>
        </is>
      </c>
      <c r="F300" s="33" t="inlineStr">
        <is>
          <t>Dasv5</t>
        </is>
      </c>
      <c r="G300" s="34" t="n">
        <v>16</v>
      </c>
      <c r="H300" s="32" t="inlineStr">
        <is>
          <t>crg-pr-sac-reg</t>
        </is>
      </c>
      <c r="I300" s="23" t="n">
        <v>40</v>
      </c>
      <c r="J300" s="23" t="n">
        <v>80</v>
      </c>
      <c r="K300" s="24">
        <f>I300+J300</f>
        <v/>
      </c>
      <c r="L300" s="24">
        <f>K300-I300</f>
        <v/>
      </c>
      <c r="M300" s="33" t="inlineStr">
        <is>
          <t>Standard</t>
        </is>
      </c>
      <c r="N300" s="32" t="inlineStr">
        <is>
          <t>Synthetic. Local DR is 0 — DR is placed in Europe (DR-020).</t>
        </is>
      </c>
    </row>
    <row r="301">
      <c r="A301" s="32" t="inlineStr">
        <is>
          <t>Saudi Arabia Central</t>
        </is>
      </c>
      <c r="B301" s="32" t="inlineStr">
        <is>
          <t>saudicentral</t>
        </is>
      </c>
      <c r="C301" s="33" t="inlineStr">
        <is>
          <t>Middle East</t>
        </is>
      </c>
      <c r="D301" s="33" t="inlineStr">
        <is>
          <t>NonProd</t>
        </is>
      </c>
      <c r="E301" s="32" t="inlineStr">
        <is>
          <t>Standard_E32ads_v5</t>
        </is>
      </c>
      <c r="F301" s="33" t="inlineStr">
        <is>
          <t>Eadsv5</t>
        </is>
      </c>
      <c r="G301" s="34" t="n">
        <v>32</v>
      </c>
      <c r="H301" s="32" t="inlineStr">
        <is>
          <t>crg-np-sac-reg</t>
        </is>
      </c>
      <c r="I301" s="23" t="n">
        <v>60</v>
      </c>
      <c r="J301" s="23" t="n">
        <v>200</v>
      </c>
      <c r="K301" s="24">
        <f>I301+J301</f>
        <v/>
      </c>
      <c r="L301" s="24">
        <f>K301-I301</f>
        <v/>
      </c>
      <c r="M301" s="33" t="inlineStr">
        <is>
          <t>Standard</t>
        </is>
      </c>
      <c r="N301" s="32" t="inlineStr">
        <is>
          <t>Synthetic. Local DR is 0 — DR is placed in Europe (DR-020).</t>
        </is>
      </c>
    </row>
    <row r="302">
      <c r="A302" s="32" t="inlineStr">
        <is>
          <t>Saudi Arabia Central</t>
        </is>
      </c>
      <c r="B302" s="32" t="inlineStr">
        <is>
          <t>saudicentral</t>
        </is>
      </c>
      <c r="C302" s="33" t="inlineStr">
        <is>
          <t>Middle East</t>
        </is>
      </c>
      <c r="D302" s="33" t="inlineStr">
        <is>
          <t>NonProd</t>
        </is>
      </c>
      <c r="E302" s="32" t="inlineStr">
        <is>
          <t>Standard_E64ads_v5</t>
        </is>
      </c>
      <c r="F302" s="33" t="inlineStr">
        <is>
          <t>Eadsv5</t>
        </is>
      </c>
      <c r="G302" s="34" t="n">
        <v>64</v>
      </c>
      <c r="H302" s="32" t="inlineStr">
        <is>
          <t>crg-np-sac-reg</t>
        </is>
      </c>
      <c r="I302" s="23" t="n">
        <v>120</v>
      </c>
      <c r="J302" s="23" t="n">
        <v>400</v>
      </c>
      <c r="K302" s="24">
        <f>I302+J302</f>
        <v/>
      </c>
      <c r="L302" s="24">
        <f>K302-I302</f>
        <v/>
      </c>
      <c r="M302" s="33" t="inlineStr">
        <is>
          <t>Standard</t>
        </is>
      </c>
      <c r="N302" s="32" t="inlineStr">
        <is>
          <t>Synthetic. Local DR is 0 — DR is placed in Europe (DR-020).</t>
        </is>
      </c>
    </row>
    <row r="303">
      <c r="A303" s="32" t="inlineStr">
        <is>
          <t>Saudi Arabia Central</t>
        </is>
      </c>
      <c r="B303" s="32" t="inlineStr">
        <is>
          <t>saudicentral</t>
        </is>
      </c>
      <c r="C303" s="33" t="inlineStr">
        <is>
          <t>Middle East</t>
        </is>
      </c>
      <c r="D303" s="33" t="inlineStr">
        <is>
          <t>NonProd</t>
        </is>
      </c>
      <c r="E303" s="32" t="inlineStr">
        <is>
          <t>Standard_E16ads_v5</t>
        </is>
      </c>
      <c r="F303" s="33" t="inlineStr">
        <is>
          <t>Eadsv5</t>
        </is>
      </c>
      <c r="G303" s="34" t="n">
        <v>16</v>
      </c>
      <c r="H303" s="32" t="inlineStr">
        <is>
          <t>crg-np-sac-reg</t>
        </is>
      </c>
      <c r="I303" s="23" t="n">
        <v>30</v>
      </c>
      <c r="J303" s="23" t="n">
        <v>100</v>
      </c>
      <c r="K303" s="24">
        <f>I303+J303</f>
        <v/>
      </c>
      <c r="L303" s="24">
        <f>K303-I303</f>
        <v/>
      </c>
      <c r="M303" s="33" t="inlineStr">
        <is>
          <t>Standard</t>
        </is>
      </c>
      <c r="N303" s="32" t="inlineStr">
        <is>
          <t>Synthetic. Local DR is 0 — DR is placed in Europe (DR-020).</t>
        </is>
      </c>
    </row>
    <row r="304">
      <c r="A304" s="32" t="inlineStr">
        <is>
          <t>Saudi Arabia Central</t>
        </is>
      </c>
      <c r="B304" s="32" t="inlineStr">
        <is>
          <t>saudicentral</t>
        </is>
      </c>
      <c r="C304" s="33" t="inlineStr">
        <is>
          <t>Middle East</t>
        </is>
      </c>
      <c r="D304" s="33" t="inlineStr">
        <is>
          <t>NonProd</t>
        </is>
      </c>
      <c r="E304" s="32" t="inlineStr">
        <is>
          <t>Standard_E32ads_v6</t>
        </is>
      </c>
      <c r="F304" s="33" t="inlineStr">
        <is>
          <t>Eadsv6</t>
        </is>
      </c>
      <c r="G304" s="34" t="n">
        <v>32</v>
      </c>
      <c r="H304" s="32" t="inlineStr">
        <is>
          <t>crg-np-sac-reg</t>
        </is>
      </c>
      <c r="I304" s="23" t="n">
        <v>60</v>
      </c>
      <c r="J304" s="23" t="n">
        <v>200</v>
      </c>
      <c r="K304" s="24">
        <f>I304+J304</f>
        <v/>
      </c>
      <c r="L304" s="24">
        <f>K304-I304</f>
        <v/>
      </c>
      <c r="M304" s="33" t="inlineStr">
        <is>
          <t>Standard</t>
        </is>
      </c>
      <c r="N304" s="32" t="inlineStr">
        <is>
          <t>Synthetic. Local DR is 0 — DR is placed in Europe (DR-020).</t>
        </is>
      </c>
    </row>
    <row r="305">
      <c r="A305" s="32" t="inlineStr">
        <is>
          <t>Saudi Arabia Central</t>
        </is>
      </c>
      <c r="B305" s="32" t="inlineStr">
        <is>
          <t>saudicentral</t>
        </is>
      </c>
      <c r="C305" s="33" t="inlineStr">
        <is>
          <t>Middle East</t>
        </is>
      </c>
      <c r="D305" s="33" t="inlineStr">
        <is>
          <t>NonProd</t>
        </is>
      </c>
      <c r="E305" s="32" t="inlineStr">
        <is>
          <t>Standard_D8ads_v5</t>
        </is>
      </c>
      <c r="F305" s="33" t="inlineStr">
        <is>
          <t>Dadsv5</t>
        </is>
      </c>
      <c r="G305" s="34" t="n">
        <v>8</v>
      </c>
      <c r="H305" s="32" t="inlineStr">
        <is>
          <t>crg-np-sac-reg</t>
        </is>
      </c>
      <c r="I305" s="23" t="n">
        <v>15</v>
      </c>
      <c r="J305" s="23" t="n">
        <v>50</v>
      </c>
      <c r="K305" s="24">
        <f>I305+J305</f>
        <v/>
      </c>
      <c r="L305" s="24">
        <f>K305-I305</f>
        <v/>
      </c>
      <c r="M305" s="33" t="inlineStr">
        <is>
          <t>Standard</t>
        </is>
      </c>
      <c r="N305" s="32" t="inlineStr">
        <is>
          <t>Synthetic. Local DR is 0 — DR is placed in Europe (DR-020).</t>
        </is>
      </c>
    </row>
    <row r="306">
      <c r="A306" s="32" t="inlineStr">
        <is>
          <t>Saudi Arabia Central</t>
        </is>
      </c>
      <c r="B306" s="32" t="inlineStr">
        <is>
          <t>saudicentral</t>
        </is>
      </c>
      <c r="C306" s="33" t="inlineStr">
        <is>
          <t>Middle East</t>
        </is>
      </c>
      <c r="D306" s="33" t="inlineStr">
        <is>
          <t>NonProd</t>
        </is>
      </c>
      <c r="E306" s="32" t="inlineStr">
        <is>
          <t>Standard_D16ads_v5</t>
        </is>
      </c>
      <c r="F306" s="33" t="inlineStr">
        <is>
          <t>Dadsv5</t>
        </is>
      </c>
      <c r="G306" s="34" t="n">
        <v>16</v>
      </c>
      <c r="H306" s="32" t="inlineStr">
        <is>
          <t>crg-np-sac-reg</t>
        </is>
      </c>
      <c r="I306" s="23" t="n">
        <v>30</v>
      </c>
      <c r="J306" s="23" t="n">
        <v>100</v>
      </c>
      <c r="K306" s="24">
        <f>I306+J306</f>
        <v/>
      </c>
      <c r="L306" s="24">
        <f>K306-I306</f>
        <v/>
      </c>
      <c r="M306" s="33" t="inlineStr">
        <is>
          <t>Standard</t>
        </is>
      </c>
      <c r="N306" s="32" t="inlineStr">
        <is>
          <t>Synthetic. Local DR is 0 — DR is placed in Europe (DR-020).</t>
        </is>
      </c>
    </row>
    <row r="307">
      <c r="A307" s="32" t="inlineStr">
        <is>
          <t>Saudi Arabia Central</t>
        </is>
      </c>
      <c r="B307" s="32" t="inlineStr">
        <is>
          <t>saudicentral</t>
        </is>
      </c>
      <c r="C307" s="33" t="inlineStr">
        <is>
          <t>Middle East</t>
        </is>
      </c>
      <c r="D307" s="33" t="inlineStr">
        <is>
          <t>NonProd</t>
        </is>
      </c>
      <c r="E307" s="32" t="inlineStr">
        <is>
          <t>Standard_D8as_v5</t>
        </is>
      </c>
      <c r="F307" s="33" t="inlineStr">
        <is>
          <t>Dasv5</t>
        </is>
      </c>
      <c r="G307" s="34" t="n">
        <v>8</v>
      </c>
      <c r="H307" s="32" t="inlineStr">
        <is>
          <t>crg-np-sac-reg</t>
        </is>
      </c>
      <c r="I307" s="23" t="n">
        <v>15</v>
      </c>
      <c r="J307" s="23" t="n">
        <v>50</v>
      </c>
      <c r="K307" s="24">
        <f>I307+J307</f>
        <v/>
      </c>
      <c r="L307" s="24">
        <f>K307-I307</f>
        <v/>
      </c>
      <c r="M307" s="33" t="inlineStr">
        <is>
          <t>Standard</t>
        </is>
      </c>
      <c r="N307" s="32" t="inlineStr">
        <is>
          <t>Synthetic. Local DR is 0 — DR is placed in Europe (DR-020).</t>
        </is>
      </c>
    </row>
    <row r="308">
      <c r="A308" s="32" t="inlineStr">
        <is>
          <t>Saudi Arabia Central</t>
        </is>
      </c>
      <c r="B308" s="32" t="inlineStr">
        <is>
          <t>saudicentral</t>
        </is>
      </c>
      <c r="C308" s="33" t="inlineStr">
        <is>
          <t>Middle East</t>
        </is>
      </c>
      <c r="D308" s="33" t="inlineStr">
        <is>
          <t>NonProd</t>
        </is>
      </c>
      <c r="E308" s="32" t="inlineStr">
        <is>
          <t>Standard_D16as_v5</t>
        </is>
      </c>
      <c r="F308" s="33" t="inlineStr">
        <is>
          <t>Dasv5</t>
        </is>
      </c>
      <c r="G308" s="34" t="n">
        <v>16</v>
      </c>
      <c r="H308" s="32" t="inlineStr">
        <is>
          <t>crg-np-sac-reg</t>
        </is>
      </c>
      <c r="I308" s="23" t="n">
        <v>30</v>
      </c>
      <c r="J308" s="23" t="n">
        <v>100</v>
      </c>
      <c r="K308" s="24">
        <f>I308+J308</f>
        <v/>
      </c>
      <c r="L308" s="24">
        <f>K308-I308</f>
        <v/>
      </c>
      <c r="M308" s="33" t="inlineStr">
        <is>
          <t>Standard</t>
        </is>
      </c>
      <c r="N308" s="32" t="inlineStr">
        <is>
          <t>Synthetic. Local DR is 0 — DR is placed in Europe (DR-020).</t>
        </is>
      </c>
    </row>
    <row r="309">
      <c r="A309" s="32" t="inlineStr">
        <is>
          <t>Saudi Arabia Central</t>
        </is>
      </c>
      <c r="B309" s="32" t="inlineStr">
        <is>
          <t>saudicentral</t>
        </is>
      </c>
      <c r="C309" s="33" t="inlineStr">
        <is>
          <t>Middle East</t>
        </is>
      </c>
      <c r="D309" s="33" t="inlineStr">
        <is>
          <t>DR</t>
        </is>
      </c>
      <c r="E309" s="32" t="inlineStr">
        <is>
          <t>Standard_E32ads_v5</t>
        </is>
      </c>
      <c r="F309" s="33" t="inlineStr">
        <is>
          <t>Eadsv5</t>
        </is>
      </c>
      <c r="G309" s="34" t="n">
        <v>32</v>
      </c>
      <c r="H309" s="32" t="inlineStr">
        <is>
          <t>crg-dr-sac-reg</t>
        </is>
      </c>
      <c r="I309" s="23" t="n">
        <v>0</v>
      </c>
      <c r="J309" s="23" t="n">
        <v>0</v>
      </c>
      <c r="K309" s="24">
        <f>I309+J309</f>
        <v/>
      </c>
      <c r="L309" s="24">
        <f>K309-I309</f>
        <v/>
      </c>
      <c r="M309" s="33" t="inlineStr">
        <is>
          <t>Standard</t>
        </is>
      </c>
      <c r="N309" s="32" t="inlineStr">
        <is>
          <t>Synthetic. Local DR is 0 — DR is placed in Europe (DR-020).</t>
        </is>
      </c>
    </row>
    <row r="310">
      <c r="A310" s="32" t="inlineStr">
        <is>
          <t>Saudi Arabia Central</t>
        </is>
      </c>
      <c r="B310" s="32" t="inlineStr">
        <is>
          <t>saudicentral</t>
        </is>
      </c>
      <c r="C310" s="33" t="inlineStr">
        <is>
          <t>Middle East</t>
        </is>
      </c>
      <c r="D310" s="33" t="inlineStr">
        <is>
          <t>DR</t>
        </is>
      </c>
      <c r="E310" s="32" t="inlineStr">
        <is>
          <t>Standard_E64ads_v5</t>
        </is>
      </c>
      <c r="F310" s="33" t="inlineStr">
        <is>
          <t>Eadsv5</t>
        </is>
      </c>
      <c r="G310" s="34" t="n">
        <v>64</v>
      </c>
      <c r="H310" s="32" t="inlineStr">
        <is>
          <t>crg-dr-sac-reg</t>
        </is>
      </c>
      <c r="I310" s="23" t="n">
        <v>0</v>
      </c>
      <c r="J310" s="23" t="n">
        <v>0</v>
      </c>
      <c r="K310" s="24">
        <f>I310+J310</f>
        <v/>
      </c>
      <c r="L310" s="24">
        <f>K310-I310</f>
        <v/>
      </c>
      <c r="M310" s="33" t="inlineStr">
        <is>
          <t>Standard</t>
        </is>
      </c>
      <c r="N310" s="32" t="inlineStr">
        <is>
          <t>Synthetic. Local DR is 0 — DR is placed in Europe (DR-020).</t>
        </is>
      </c>
    </row>
    <row r="311">
      <c r="A311" s="32" t="inlineStr">
        <is>
          <t>Saudi Arabia Central</t>
        </is>
      </c>
      <c r="B311" s="32" t="inlineStr">
        <is>
          <t>saudicentral</t>
        </is>
      </c>
      <c r="C311" s="33" t="inlineStr">
        <is>
          <t>Middle East</t>
        </is>
      </c>
      <c r="D311" s="33" t="inlineStr">
        <is>
          <t>DR</t>
        </is>
      </c>
      <c r="E311" s="32" t="inlineStr">
        <is>
          <t>Standard_E16ads_v5</t>
        </is>
      </c>
      <c r="F311" s="33" t="inlineStr">
        <is>
          <t>Eadsv5</t>
        </is>
      </c>
      <c r="G311" s="34" t="n">
        <v>16</v>
      </c>
      <c r="H311" s="32" t="inlineStr">
        <is>
          <t>crg-dr-sac-reg</t>
        </is>
      </c>
      <c r="I311" s="23" t="n">
        <v>0</v>
      </c>
      <c r="J311" s="23" t="n">
        <v>0</v>
      </c>
      <c r="K311" s="24">
        <f>I311+J311</f>
        <v/>
      </c>
      <c r="L311" s="24">
        <f>K311-I311</f>
        <v/>
      </c>
      <c r="M311" s="33" t="inlineStr">
        <is>
          <t>Standard</t>
        </is>
      </c>
      <c r="N311" s="32" t="inlineStr">
        <is>
          <t>Synthetic. Local DR is 0 — DR is placed in Europe (DR-020).</t>
        </is>
      </c>
    </row>
    <row r="312">
      <c r="A312" s="32" t="inlineStr">
        <is>
          <t>Saudi Arabia Central</t>
        </is>
      </c>
      <c r="B312" s="32" t="inlineStr">
        <is>
          <t>saudicentral</t>
        </is>
      </c>
      <c r="C312" s="33" t="inlineStr">
        <is>
          <t>Middle East</t>
        </is>
      </c>
      <c r="D312" s="33" t="inlineStr">
        <is>
          <t>DR</t>
        </is>
      </c>
      <c r="E312" s="32" t="inlineStr">
        <is>
          <t>Standard_E32ads_v6</t>
        </is>
      </c>
      <c r="F312" s="33" t="inlineStr">
        <is>
          <t>Eadsv6</t>
        </is>
      </c>
      <c r="G312" s="34" t="n">
        <v>32</v>
      </c>
      <c r="H312" s="32" t="inlineStr">
        <is>
          <t>crg-dr-sac-reg</t>
        </is>
      </c>
      <c r="I312" s="23" t="n">
        <v>0</v>
      </c>
      <c r="J312" s="23" t="n">
        <v>0</v>
      </c>
      <c r="K312" s="24">
        <f>I312+J312</f>
        <v/>
      </c>
      <c r="L312" s="24">
        <f>K312-I312</f>
        <v/>
      </c>
      <c r="M312" s="33" t="inlineStr">
        <is>
          <t>Standard</t>
        </is>
      </c>
      <c r="N312" s="32" t="inlineStr">
        <is>
          <t>Synthetic. Local DR is 0 — DR is placed in Europe (DR-020).</t>
        </is>
      </c>
    </row>
    <row r="313">
      <c r="A313" s="32" t="inlineStr">
        <is>
          <t>Saudi Arabia Central</t>
        </is>
      </c>
      <c r="B313" s="32" t="inlineStr">
        <is>
          <t>saudicentral</t>
        </is>
      </c>
      <c r="C313" s="33" t="inlineStr">
        <is>
          <t>Middle East</t>
        </is>
      </c>
      <c r="D313" s="33" t="inlineStr">
        <is>
          <t>DR</t>
        </is>
      </c>
      <c r="E313" s="32" t="inlineStr">
        <is>
          <t>Standard_D8ads_v5</t>
        </is>
      </c>
      <c r="F313" s="33" t="inlineStr">
        <is>
          <t>Dadsv5</t>
        </is>
      </c>
      <c r="G313" s="34" t="n">
        <v>8</v>
      </c>
      <c r="H313" s="32" t="inlineStr">
        <is>
          <t>crg-dr-sac-reg</t>
        </is>
      </c>
      <c r="I313" s="23" t="n">
        <v>0</v>
      </c>
      <c r="J313" s="23" t="n">
        <v>0</v>
      </c>
      <c r="K313" s="24">
        <f>I313+J313</f>
        <v/>
      </c>
      <c r="L313" s="24">
        <f>K313-I313</f>
        <v/>
      </c>
      <c r="M313" s="33" t="inlineStr">
        <is>
          <t>Standard</t>
        </is>
      </c>
      <c r="N313" s="32" t="inlineStr">
        <is>
          <t>Synthetic. Local DR is 0 — DR is placed in Europe (DR-020).</t>
        </is>
      </c>
    </row>
    <row r="314">
      <c r="A314" s="32" t="inlineStr">
        <is>
          <t>Saudi Arabia Central</t>
        </is>
      </c>
      <c r="B314" s="32" t="inlineStr">
        <is>
          <t>saudicentral</t>
        </is>
      </c>
      <c r="C314" s="33" t="inlineStr">
        <is>
          <t>Middle East</t>
        </is>
      </c>
      <c r="D314" s="33" t="inlineStr">
        <is>
          <t>DR</t>
        </is>
      </c>
      <c r="E314" s="32" t="inlineStr">
        <is>
          <t>Standard_D16ads_v5</t>
        </is>
      </c>
      <c r="F314" s="33" t="inlineStr">
        <is>
          <t>Dadsv5</t>
        </is>
      </c>
      <c r="G314" s="34" t="n">
        <v>16</v>
      </c>
      <c r="H314" s="32" t="inlineStr">
        <is>
          <t>crg-dr-sac-reg</t>
        </is>
      </c>
      <c r="I314" s="23" t="n">
        <v>0</v>
      </c>
      <c r="J314" s="23" t="n">
        <v>0</v>
      </c>
      <c r="K314" s="24">
        <f>I314+J314</f>
        <v/>
      </c>
      <c r="L314" s="24">
        <f>K314-I314</f>
        <v/>
      </c>
      <c r="M314" s="33" t="inlineStr">
        <is>
          <t>Standard</t>
        </is>
      </c>
      <c r="N314" s="32" t="inlineStr">
        <is>
          <t>Synthetic. Local DR is 0 — DR is placed in Europe (DR-020).</t>
        </is>
      </c>
    </row>
    <row r="315">
      <c r="A315" s="32" t="inlineStr">
        <is>
          <t>Saudi Arabia Central</t>
        </is>
      </c>
      <c r="B315" s="32" t="inlineStr">
        <is>
          <t>saudicentral</t>
        </is>
      </c>
      <c r="C315" s="33" t="inlineStr">
        <is>
          <t>Middle East</t>
        </is>
      </c>
      <c r="D315" s="33" t="inlineStr">
        <is>
          <t>DR</t>
        </is>
      </c>
      <c r="E315" s="32" t="inlineStr">
        <is>
          <t>Standard_D8as_v5</t>
        </is>
      </c>
      <c r="F315" s="33" t="inlineStr">
        <is>
          <t>Dasv5</t>
        </is>
      </c>
      <c r="G315" s="34" t="n">
        <v>8</v>
      </c>
      <c r="H315" s="32" t="inlineStr">
        <is>
          <t>crg-dr-sac-reg</t>
        </is>
      </c>
      <c r="I315" s="23" t="n">
        <v>0</v>
      </c>
      <c r="J315" s="23" t="n">
        <v>0</v>
      </c>
      <c r="K315" s="24">
        <f>I315+J315</f>
        <v/>
      </c>
      <c r="L315" s="24">
        <f>K315-I315</f>
        <v/>
      </c>
      <c r="M315" s="33" t="inlineStr">
        <is>
          <t>Standard</t>
        </is>
      </c>
      <c r="N315" s="32" t="inlineStr">
        <is>
          <t>Synthetic. Local DR is 0 — DR is placed in Europe (DR-020).</t>
        </is>
      </c>
    </row>
    <row r="316">
      <c r="A316" s="32" t="inlineStr">
        <is>
          <t>Saudi Arabia Central</t>
        </is>
      </c>
      <c r="B316" s="32" t="inlineStr">
        <is>
          <t>saudicentral</t>
        </is>
      </c>
      <c r="C316" s="33" t="inlineStr">
        <is>
          <t>Middle East</t>
        </is>
      </c>
      <c r="D316" s="33" t="inlineStr">
        <is>
          <t>DR</t>
        </is>
      </c>
      <c r="E316" s="32" t="inlineStr">
        <is>
          <t>Standard_D16as_v5</t>
        </is>
      </c>
      <c r="F316" s="33" t="inlineStr">
        <is>
          <t>Dasv5</t>
        </is>
      </c>
      <c r="G316" s="34" t="n">
        <v>16</v>
      </c>
      <c r="H316" s="32" t="inlineStr">
        <is>
          <t>crg-dr-sac-reg</t>
        </is>
      </c>
      <c r="I316" s="23" t="n">
        <v>0</v>
      </c>
      <c r="J316" s="23" t="n">
        <v>0</v>
      </c>
      <c r="K316" s="24">
        <f>I316+J316</f>
        <v/>
      </c>
      <c r="L316" s="24">
        <f>K316-I316</f>
        <v/>
      </c>
      <c r="M316" s="33" t="inlineStr">
        <is>
          <t>Standard</t>
        </is>
      </c>
      <c r="N316" s="32" t="inlineStr">
        <is>
          <t>Synthetic. Local DR is 0 — DR is placed in Europe (DR-020).</t>
        </is>
      </c>
    </row>
    <row r="317">
      <c r="A317" s="32" t="inlineStr">
        <is>
          <t>UAE North</t>
        </is>
      </c>
      <c r="B317" s="32" t="inlineStr">
        <is>
          <t>uaenorth</t>
        </is>
      </c>
      <c r="C317" s="33" t="inlineStr">
        <is>
          <t>Middle East</t>
        </is>
      </c>
      <c r="D317" s="33" t="inlineStr">
        <is>
          <t>Prod</t>
        </is>
      </c>
      <c r="E317" s="32" t="inlineStr">
        <is>
          <t>Standard_E32ads_v5</t>
        </is>
      </c>
      <c r="F317" s="33" t="inlineStr">
        <is>
          <t>Eadsv5</t>
        </is>
      </c>
      <c r="G317" s="34" t="n">
        <v>32</v>
      </c>
      <c r="H317" s="32" t="inlineStr">
        <is>
          <t>crg-pr-uaen-reg</t>
        </is>
      </c>
      <c r="I317" s="23" t="n">
        <v>100</v>
      </c>
      <c r="J317" s="23" t="n">
        <v>200</v>
      </c>
      <c r="K317" s="24">
        <f>I317+J317</f>
        <v/>
      </c>
      <c r="L317" s="24">
        <f>K317-I317</f>
        <v/>
      </c>
      <c r="M317" s="33" t="inlineStr">
        <is>
          <t>Standard</t>
        </is>
      </c>
      <c r="N317" s="32" t="inlineStr">
        <is>
          <t>Synthetic. Local DR is 0 — DR is placed in Europe (DR-020).</t>
        </is>
      </c>
    </row>
    <row r="318">
      <c r="A318" s="32" t="inlineStr">
        <is>
          <t>UAE North</t>
        </is>
      </c>
      <c r="B318" s="32" t="inlineStr">
        <is>
          <t>uaenorth</t>
        </is>
      </c>
      <c r="C318" s="33" t="inlineStr">
        <is>
          <t>Middle East</t>
        </is>
      </c>
      <c r="D318" s="33" t="inlineStr">
        <is>
          <t>Prod</t>
        </is>
      </c>
      <c r="E318" s="32" t="inlineStr">
        <is>
          <t>Standard_E64ads_v5</t>
        </is>
      </c>
      <c r="F318" s="33" t="inlineStr">
        <is>
          <t>Eadsv5</t>
        </is>
      </c>
      <c r="G318" s="34" t="n">
        <v>64</v>
      </c>
      <c r="H318" s="32" t="inlineStr">
        <is>
          <t>crg-pr-uaen-reg</t>
        </is>
      </c>
      <c r="I318" s="23" t="n">
        <v>200</v>
      </c>
      <c r="J318" s="23" t="n">
        <v>400</v>
      </c>
      <c r="K318" s="24">
        <f>I318+J318</f>
        <v/>
      </c>
      <c r="L318" s="24">
        <f>K318-I318</f>
        <v/>
      </c>
      <c r="M318" s="33" t="inlineStr">
        <is>
          <t>Standard</t>
        </is>
      </c>
      <c r="N318" s="32" t="inlineStr">
        <is>
          <t>Synthetic. Local DR is 0 — DR is placed in Europe (DR-020).</t>
        </is>
      </c>
    </row>
    <row r="319">
      <c r="A319" s="32" t="inlineStr">
        <is>
          <t>UAE North</t>
        </is>
      </c>
      <c r="B319" s="32" t="inlineStr">
        <is>
          <t>uaenorth</t>
        </is>
      </c>
      <c r="C319" s="33" t="inlineStr">
        <is>
          <t>Middle East</t>
        </is>
      </c>
      <c r="D319" s="33" t="inlineStr">
        <is>
          <t>Prod</t>
        </is>
      </c>
      <c r="E319" s="32" t="inlineStr">
        <is>
          <t>Standard_E16ads_v5</t>
        </is>
      </c>
      <c r="F319" s="33" t="inlineStr">
        <is>
          <t>Eadsv5</t>
        </is>
      </c>
      <c r="G319" s="34" t="n">
        <v>16</v>
      </c>
      <c r="H319" s="32" t="inlineStr">
        <is>
          <t>crg-pr-uaen-reg</t>
        </is>
      </c>
      <c r="I319" s="23" t="n">
        <v>50</v>
      </c>
      <c r="J319" s="23" t="n">
        <v>100</v>
      </c>
      <c r="K319" s="24">
        <f>I319+J319</f>
        <v/>
      </c>
      <c r="L319" s="24">
        <f>K319-I319</f>
        <v/>
      </c>
      <c r="M319" s="33" t="inlineStr">
        <is>
          <t>Standard</t>
        </is>
      </c>
      <c r="N319" s="32" t="inlineStr">
        <is>
          <t>Synthetic. Local DR is 0 — DR is placed in Europe (DR-020).</t>
        </is>
      </c>
    </row>
    <row r="320">
      <c r="A320" s="32" t="inlineStr">
        <is>
          <t>UAE North</t>
        </is>
      </c>
      <c r="B320" s="32" t="inlineStr">
        <is>
          <t>uaenorth</t>
        </is>
      </c>
      <c r="C320" s="33" t="inlineStr">
        <is>
          <t>Middle East</t>
        </is>
      </c>
      <c r="D320" s="33" t="inlineStr">
        <is>
          <t>Prod</t>
        </is>
      </c>
      <c r="E320" s="32" t="inlineStr">
        <is>
          <t>Standard_E32ads_v6</t>
        </is>
      </c>
      <c r="F320" s="33" t="inlineStr">
        <is>
          <t>Eadsv6</t>
        </is>
      </c>
      <c r="G320" s="34" t="n">
        <v>32</v>
      </c>
      <c r="H320" s="32" t="inlineStr">
        <is>
          <t>crg-pr-uaen-reg</t>
        </is>
      </c>
      <c r="I320" s="23" t="n">
        <v>100</v>
      </c>
      <c r="J320" s="23" t="n">
        <v>200</v>
      </c>
      <c r="K320" s="24">
        <f>I320+J320</f>
        <v/>
      </c>
      <c r="L320" s="24">
        <f>K320-I320</f>
        <v/>
      </c>
      <c r="M320" s="33" t="inlineStr">
        <is>
          <t>Standard</t>
        </is>
      </c>
      <c r="N320" s="32" t="inlineStr">
        <is>
          <t>Synthetic. Local DR is 0 — DR is placed in Europe (DR-020).</t>
        </is>
      </c>
    </row>
    <row r="321">
      <c r="A321" s="32" t="inlineStr">
        <is>
          <t>UAE North</t>
        </is>
      </c>
      <c r="B321" s="32" t="inlineStr">
        <is>
          <t>uaenorth</t>
        </is>
      </c>
      <c r="C321" s="33" t="inlineStr">
        <is>
          <t>Middle East</t>
        </is>
      </c>
      <c r="D321" s="33" t="inlineStr">
        <is>
          <t>Prod</t>
        </is>
      </c>
      <c r="E321" s="32" t="inlineStr">
        <is>
          <t>Standard_D8ads_v5</t>
        </is>
      </c>
      <c r="F321" s="33" t="inlineStr">
        <is>
          <t>Dadsv5</t>
        </is>
      </c>
      <c r="G321" s="34" t="n">
        <v>8</v>
      </c>
      <c r="H321" s="32" t="inlineStr">
        <is>
          <t>crg-pr-uaen-reg</t>
        </is>
      </c>
      <c r="I321" s="23" t="n">
        <v>25</v>
      </c>
      <c r="J321" s="23" t="n">
        <v>50</v>
      </c>
      <c r="K321" s="24">
        <f>I321+J321</f>
        <v/>
      </c>
      <c r="L321" s="24">
        <f>K321-I321</f>
        <v/>
      </c>
      <c r="M321" s="33" t="inlineStr">
        <is>
          <t>Standard</t>
        </is>
      </c>
      <c r="N321" s="32" t="inlineStr">
        <is>
          <t>Synthetic. Local DR is 0 — DR is placed in Europe (DR-020).</t>
        </is>
      </c>
    </row>
    <row r="322">
      <c r="A322" s="32" t="inlineStr">
        <is>
          <t>UAE North</t>
        </is>
      </c>
      <c r="B322" s="32" t="inlineStr">
        <is>
          <t>uaenorth</t>
        </is>
      </c>
      <c r="C322" s="33" t="inlineStr">
        <is>
          <t>Middle East</t>
        </is>
      </c>
      <c r="D322" s="33" t="inlineStr">
        <is>
          <t>Prod</t>
        </is>
      </c>
      <c r="E322" s="32" t="inlineStr">
        <is>
          <t>Standard_D16ads_v5</t>
        </is>
      </c>
      <c r="F322" s="33" t="inlineStr">
        <is>
          <t>Dadsv5</t>
        </is>
      </c>
      <c r="G322" s="34" t="n">
        <v>16</v>
      </c>
      <c r="H322" s="32" t="inlineStr">
        <is>
          <t>crg-pr-uaen-reg</t>
        </is>
      </c>
      <c r="I322" s="23" t="n">
        <v>50</v>
      </c>
      <c r="J322" s="23" t="n">
        <v>100</v>
      </c>
      <c r="K322" s="24">
        <f>I322+J322</f>
        <v/>
      </c>
      <c r="L322" s="24">
        <f>K322-I322</f>
        <v/>
      </c>
      <c r="M322" s="33" t="inlineStr">
        <is>
          <t>Standard</t>
        </is>
      </c>
      <c r="N322" s="32" t="inlineStr">
        <is>
          <t>Synthetic. Local DR is 0 — DR is placed in Europe (DR-020).</t>
        </is>
      </c>
    </row>
    <row r="323">
      <c r="A323" s="32" t="inlineStr">
        <is>
          <t>UAE North</t>
        </is>
      </c>
      <c r="B323" s="32" t="inlineStr">
        <is>
          <t>uaenorth</t>
        </is>
      </c>
      <c r="C323" s="33" t="inlineStr">
        <is>
          <t>Middle East</t>
        </is>
      </c>
      <c r="D323" s="33" t="inlineStr">
        <is>
          <t>Prod</t>
        </is>
      </c>
      <c r="E323" s="32" t="inlineStr">
        <is>
          <t>Standard_D8as_v5</t>
        </is>
      </c>
      <c r="F323" s="33" t="inlineStr">
        <is>
          <t>Dasv5</t>
        </is>
      </c>
      <c r="G323" s="34" t="n">
        <v>8</v>
      </c>
      <c r="H323" s="32" t="inlineStr">
        <is>
          <t>crg-pr-uaen-reg</t>
        </is>
      </c>
      <c r="I323" s="23" t="n">
        <v>25</v>
      </c>
      <c r="J323" s="23" t="n">
        <v>50</v>
      </c>
      <c r="K323" s="24">
        <f>I323+J323</f>
        <v/>
      </c>
      <c r="L323" s="24">
        <f>K323-I323</f>
        <v/>
      </c>
      <c r="M323" s="33" t="inlineStr">
        <is>
          <t>Standard</t>
        </is>
      </c>
      <c r="N323" s="32" t="inlineStr">
        <is>
          <t>Synthetic. Local DR is 0 — DR is placed in Europe (DR-020).</t>
        </is>
      </c>
    </row>
    <row r="324">
      <c r="A324" s="32" t="inlineStr">
        <is>
          <t>UAE North</t>
        </is>
      </c>
      <c r="B324" s="32" t="inlineStr">
        <is>
          <t>uaenorth</t>
        </is>
      </c>
      <c r="C324" s="33" t="inlineStr">
        <is>
          <t>Middle East</t>
        </is>
      </c>
      <c r="D324" s="33" t="inlineStr">
        <is>
          <t>Prod</t>
        </is>
      </c>
      <c r="E324" s="32" t="inlineStr">
        <is>
          <t>Standard_D16as_v5</t>
        </is>
      </c>
      <c r="F324" s="33" t="inlineStr">
        <is>
          <t>Dasv5</t>
        </is>
      </c>
      <c r="G324" s="34" t="n">
        <v>16</v>
      </c>
      <c r="H324" s="32" t="inlineStr">
        <is>
          <t>crg-pr-uaen-reg</t>
        </is>
      </c>
      <c r="I324" s="23" t="n">
        <v>50</v>
      </c>
      <c r="J324" s="23" t="n">
        <v>100</v>
      </c>
      <c r="K324" s="24">
        <f>I324+J324</f>
        <v/>
      </c>
      <c r="L324" s="24">
        <f>K324-I324</f>
        <v/>
      </c>
      <c r="M324" s="33" t="inlineStr">
        <is>
          <t>Standard</t>
        </is>
      </c>
      <c r="N324" s="32" t="inlineStr">
        <is>
          <t>Synthetic. Local DR is 0 — DR is placed in Europe (DR-020).</t>
        </is>
      </c>
    </row>
    <row r="325">
      <c r="A325" s="32" t="inlineStr">
        <is>
          <t>UAE North</t>
        </is>
      </c>
      <c r="B325" s="32" t="inlineStr">
        <is>
          <t>uaenorth</t>
        </is>
      </c>
      <c r="C325" s="33" t="inlineStr">
        <is>
          <t>Middle East</t>
        </is>
      </c>
      <c r="D325" s="33" t="inlineStr">
        <is>
          <t>NonProd</t>
        </is>
      </c>
      <c r="E325" s="32" t="inlineStr">
        <is>
          <t>Standard_E32ads_v5</t>
        </is>
      </c>
      <c r="F325" s="33" t="inlineStr">
        <is>
          <t>Eadsv5</t>
        </is>
      </c>
      <c r="G325" s="34" t="n">
        <v>32</v>
      </c>
      <c r="H325" s="32" t="inlineStr">
        <is>
          <t>crg-np-uaen-reg</t>
        </is>
      </c>
      <c r="I325" s="23" t="n">
        <v>70</v>
      </c>
      <c r="J325" s="23" t="n">
        <v>220</v>
      </c>
      <c r="K325" s="24">
        <f>I325+J325</f>
        <v/>
      </c>
      <c r="L325" s="24">
        <f>K325-I325</f>
        <v/>
      </c>
      <c r="M325" s="33" t="inlineStr">
        <is>
          <t>Standard</t>
        </is>
      </c>
      <c r="N325" s="32" t="inlineStr">
        <is>
          <t>Synthetic. Local DR is 0 — DR is placed in Europe (DR-020).</t>
        </is>
      </c>
    </row>
    <row r="326">
      <c r="A326" s="32" t="inlineStr">
        <is>
          <t>UAE North</t>
        </is>
      </c>
      <c r="B326" s="32" t="inlineStr">
        <is>
          <t>uaenorth</t>
        </is>
      </c>
      <c r="C326" s="33" t="inlineStr">
        <is>
          <t>Middle East</t>
        </is>
      </c>
      <c r="D326" s="33" t="inlineStr">
        <is>
          <t>NonProd</t>
        </is>
      </c>
      <c r="E326" s="32" t="inlineStr">
        <is>
          <t>Standard_E64ads_v5</t>
        </is>
      </c>
      <c r="F326" s="33" t="inlineStr">
        <is>
          <t>Eadsv5</t>
        </is>
      </c>
      <c r="G326" s="34" t="n">
        <v>64</v>
      </c>
      <c r="H326" s="32" t="inlineStr">
        <is>
          <t>crg-np-uaen-reg</t>
        </is>
      </c>
      <c r="I326" s="23" t="n">
        <v>140</v>
      </c>
      <c r="J326" s="23" t="n">
        <v>440</v>
      </c>
      <c r="K326" s="24">
        <f>I326+J326</f>
        <v/>
      </c>
      <c r="L326" s="24">
        <f>K326-I326</f>
        <v/>
      </c>
      <c r="M326" s="33" t="inlineStr">
        <is>
          <t>Standard</t>
        </is>
      </c>
      <c r="N326" s="32" t="inlineStr">
        <is>
          <t>Synthetic. Local DR is 0 — DR is placed in Europe (DR-020).</t>
        </is>
      </c>
    </row>
    <row r="327">
      <c r="A327" s="32" t="inlineStr">
        <is>
          <t>UAE North</t>
        </is>
      </c>
      <c r="B327" s="32" t="inlineStr">
        <is>
          <t>uaenorth</t>
        </is>
      </c>
      <c r="C327" s="33" t="inlineStr">
        <is>
          <t>Middle East</t>
        </is>
      </c>
      <c r="D327" s="33" t="inlineStr">
        <is>
          <t>NonProd</t>
        </is>
      </c>
      <c r="E327" s="32" t="inlineStr">
        <is>
          <t>Standard_E16ads_v5</t>
        </is>
      </c>
      <c r="F327" s="33" t="inlineStr">
        <is>
          <t>Eadsv5</t>
        </is>
      </c>
      <c r="G327" s="34" t="n">
        <v>16</v>
      </c>
      <c r="H327" s="32" t="inlineStr">
        <is>
          <t>crg-np-uaen-reg</t>
        </is>
      </c>
      <c r="I327" s="23" t="n">
        <v>35</v>
      </c>
      <c r="J327" s="23" t="n">
        <v>110</v>
      </c>
      <c r="K327" s="24">
        <f>I327+J327</f>
        <v/>
      </c>
      <c r="L327" s="24">
        <f>K327-I327</f>
        <v/>
      </c>
      <c r="M327" s="33" t="inlineStr">
        <is>
          <t>Standard</t>
        </is>
      </c>
      <c r="N327" s="32" t="inlineStr">
        <is>
          <t>Synthetic. Local DR is 0 — DR is placed in Europe (DR-020).</t>
        </is>
      </c>
    </row>
    <row r="328">
      <c r="A328" s="32" t="inlineStr">
        <is>
          <t>UAE North</t>
        </is>
      </c>
      <c r="B328" s="32" t="inlineStr">
        <is>
          <t>uaenorth</t>
        </is>
      </c>
      <c r="C328" s="33" t="inlineStr">
        <is>
          <t>Middle East</t>
        </is>
      </c>
      <c r="D328" s="33" t="inlineStr">
        <is>
          <t>NonProd</t>
        </is>
      </c>
      <c r="E328" s="32" t="inlineStr">
        <is>
          <t>Standard_E32ads_v6</t>
        </is>
      </c>
      <c r="F328" s="33" t="inlineStr">
        <is>
          <t>Eadsv6</t>
        </is>
      </c>
      <c r="G328" s="34" t="n">
        <v>32</v>
      </c>
      <c r="H328" s="32" t="inlineStr">
        <is>
          <t>crg-np-uaen-reg</t>
        </is>
      </c>
      <c r="I328" s="23" t="n">
        <v>70</v>
      </c>
      <c r="J328" s="23" t="n">
        <v>220</v>
      </c>
      <c r="K328" s="24">
        <f>I328+J328</f>
        <v/>
      </c>
      <c r="L328" s="24">
        <f>K328-I328</f>
        <v/>
      </c>
      <c r="M328" s="33" t="inlineStr">
        <is>
          <t>Standard</t>
        </is>
      </c>
      <c r="N328" s="32" t="inlineStr">
        <is>
          <t>Synthetic. Local DR is 0 — DR is placed in Europe (DR-020).</t>
        </is>
      </c>
    </row>
    <row r="329">
      <c r="A329" s="32" t="inlineStr">
        <is>
          <t>UAE North</t>
        </is>
      </c>
      <c r="B329" s="32" t="inlineStr">
        <is>
          <t>uaenorth</t>
        </is>
      </c>
      <c r="C329" s="33" t="inlineStr">
        <is>
          <t>Middle East</t>
        </is>
      </c>
      <c r="D329" s="33" t="inlineStr">
        <is>
          <t>NonProd</t>
        </is>
      </c>
      <c r="E329" s="32" t="inlineStr">
        <is>
          <t>Standard_D8ads_v5</t>
        </is>
      </c>
      <c r="F329" s="33" t="inlineStr">
        <is>
          <t>Dadsv5</t>
        </is>
      </c>
      <c r="G329" s="34" t="n">
        <v>8</v>
      </c>
      <c r="H329" s="32" t="inlineStr">
        <is>
          <t>crg-np-uaen-reg</t>
        </is>
      </c>
      <c r="I329" s="23" t="n">
        <v>18</v>
      </c>
      <c r="J329" s="23" t="n">
        <v>55</v>
      </c>
      <c r="K329" s="24">
        <f>I329+J329</f>
        <v/>
      </c>
      <c r="L329" s="24">
        <f>K329-I329</f>
        <v/>
      </c>
      <c r="M329" s="33" t="inlineStr">
        <is>
          <t>Standard</t>
        </is>
      </c>
      <c r="N329" s="32" t="inlineStr">
        <is>
          <t>Synthetic. Local DR is 0 — DR is placed in Europe (DR-020).</t>
        </is>
      </c>
    </row>
    <row r="330">
      <c r="A330" s="32" t="inlineStr">
        <is>
          <t>UAE North</t>
        </is>
      </c>
      <c r="B330" s="32" t="inlineStr">
        <is>
          <t>uaenorth</t>
        </is>
      </c>
      <c r="C330" s="33" t="inlineStr">
        <is>
          <t>Middle East</t>
        </is>
      </c>
      <c r="D330" s="33" t="inlineStr">
        <is>
          <t>NonProd</t>
        </is>
      </c>
      <c r="E330" s="32" t="inlineStr">
        <is>
          <t>Standard_D16ads_v5</t>
        </is>
      </c>
      <c r="F330" s="33" t="inlineStr">
        <is>
          <t>Dadsv5</t>
        </is>
      </c>
      <c r="G330" s="34" t="n">
        <v>16</v>
      </c>
      <c r="H330" s="32" t="inlineStr">
        <is>
          <t>crg-np-uaen-reg</t>
        </is>
      </c>
      <c r="I330" s="23" t="n">
        <v>35</v>
      </c>
      <c r="J330" s="23" t="n">
        <v>110</v>
      </c>
      <c r="K330" s="24">
        <f>I330+J330</f>
        <v/>
      </c>
      <c r="L330" s="24">
        <f>K330-I330</f>
        <v/>
      </c>
      <c r="M330" s="33" t="inlineStr">
        <is>
          <t>Standard</t>
        </is>
      </c>
      <c r="N330" s="32" t="inlineStr">
        <is>
          <t>Synthetic. Local DR is 0 — DR is placed in Europe (DR-020).</t>
        </is>
      </c>
    </row>
    <row r="331">
      <c r="A331" s="32" t="inlineStr">
        <is>
          <t>UAE North</t>
        </is>
      </c>
      <c r="B331" s="32" t="inlineStr">
        <is>
          <t>uaenorth</t>
        </is>
      </c>
      <c r="C331" s="33" t="inlineStr">
        <is>
          <t>Middle East</t>
        </is>
      </c>
      <c r="D331" s="33" t="inlineStr">
        <is>
          <t>NonProd</t>
        </is>
      </c>
      <c r="E331" s="32" t="inlineStr">
        <is>
          <t>Standard_D8as_v5</t>
        </is>
      </c>
      <c r="F331" s="33" t="inlineStr">
        <is>
          <t>Dasv5</t>
        </is>
      </c>
      <c r="G331" s="34" t="n">
        <v>8</v>
      </c>
      <c r="H331" s="32" t="inlineStr">
        <is>
          <t>crg-np-uaen-reg</t>
        </is>
      </c>
      <c r="I331" s="23" t="n">
        <v>18</v>
      </c>
      <c r="J331" s="23" t="n">
        <v>55</v>
      </c>
      <c r="K331" s="24">
        <f>I331+J331</f>
        <v/>
      </c>
      <c r="L331" s="24">
        <f>K331-I331</f>
        <v/>
      </c>
      <c r="M331" s="33" t="inlineStr">
        <is>
          <t>Standard</t>
        </is>
      </c>
      <c r="N331" s="32" t="inlineStr">
        <is>
          <t>Synthetic. Local DR is 0 — DR is placed in Europe (DR-020).</t>
        </is>
      </c>
    </row>
    <row r="332">
      <c r="A332" s="32" t="inlineStr">
        <is>
          <t>UAE North</t>
        </is>
      </c>
      <c r="B332" s="32" t="inlineStr">
        <is>
          <t>uaenorth</t>
        </is>
      </c>
      <c r="C332" s="33" t="inlineStr">
        <is>
          <t>Middle East</t>
        </is>
      </c>
      <c r="D332" s="33" t="inlineStr">
        <is>
          <t>NonProd</t>
        </is>
      </c>
      <c r="E332" s="32" t="inlineStr">
        <is>
          <t>Standard_D16as_v5</t>
        </is>
      </c>
      <c r="F332" s="33" t="inlineStr">
        <is>
          <t>Dasv5</t>
        </is>
      </c>
      <c r="G332" s="34" t="n">
        <v>16</v>
      </c>
      <c r="H332" s="32" t="inlineStr">
        <is>
          <t>crg-np-uaen-reg</t>
        </is>
      </c>
      <c r="I332" s="23" t="n">
        <v>35</v>
      </c>
      <c r="J332" s="23" t="n">
        <v>110</v>
      </c>
      <c r="K332" s="24">
        <f>I332+J332</f>
        <v/>
      </c>
      <c r="L332" s="24">
        <f>K332-I332</f>
        <v/>
      </c>
      <c r="M332" s="33" t="inlineStr">
        <is>
          <t>Standard</t>
        </is>
      </c>
      <c r="N332" s="32" t="inlineStr">
        <is>
          <t>Synthetic. Local DR is 0 — DR is placed in Europe (DR-020).</t>
        </is>
      </c>
    </row>
    <row r="333">
      <c r="A333" s="32" t="inlineStr">
        <is>
          <t>UAE North</t>
        </is>
      </c>
      <c r="B333" s="32" t="inlineStr">
        <is>
          <t>uaenorth</t>
        </is>
      </c>
      <c r="C333" s="33" t="inlineStr">
        <is>
          <t>Middle East</t>
        </is>
      </c>
      <c r="D333" s="33" t="inlineStr">
        <is>
          <t>DR</t>
        </is>
      </c>
      <c r="E333" s="32" t="inlineStr">
        <is>
          <t>Standard_E32ads_v5</t>
        </is>
      </c>
      <c r="F333" s="33" t="inlineStr">
        <is>
          <t>Eadsv5</t>
        </is>
      </c>
      <c r="G333" s="34" t="n">
        <v>32</v>
      </c>
      <c r="H333" s="32" t="inlineStr">
        <is>
          <t>crg-dr-uaen-reg</t>
        </is>
      </c>
      <c r="I333" s="23" t="n">
        <v>0</v>
      </c>
      <c r="J333" s="23" t="n">
        <v>0</v>
      </c>
      <c r="K333" s="24">
        <f>I333+J333</f>
        <v/>
      </c>
      <c r="L333" s="24">
        <f>K333-I333</f>
        <v/>
      </c>
      <c r="M333" s="33" t="inlineStr">
        <is>
          <t>Standard</t>
        </is>
      </c>
      <c r="N333" s="32" t="inlineStr">
        <is>
          <t>Synthetic. Local DR is 0 — DR is placed in Europe (DR-020).</t>
        </is>
      </c>
    </row>
    <row r="334">
      <c r="A334" s="32" t="inlineStr">
        <is>
          <t>UAE North</t>
        </is>
      </c>
      <c r="B334" s="32" t="inlineStr">
        <is>
          <t>uaenorth</t>
        </is>
      </c>
      <c r="C334" s="33" t="inlineStr">
        <is>
          <t>Middle East</t>
        </is>
      </c>
      <c r="D334" s="33" t="inlineStr">
        <is>
          <t>DR</t>
        </is>
      </c>
      <c r="E334" s="32" t="inlineStr">
        <is>
          <t>Standard_E64ads_v5</t>
        </is>
      </c>
      <c r="F334" s="33" t="inlineStr">
        <is>
          <t>Eadsv5</t>
        </is>
      </c>
      <c r="G334" s="34" t="n">
        <v>64</v>
      </c>
      <c r="H334" s="32" t="inlineStr">
        <is>
          <t>crg-dr-uaen-reg</t>
        </is>
      </c>
      <c r="I334" s="23" t="n">
        <v>0</v>
      </c>
      <c r="J334" s="23" t="n">
        <v>0</v>
      </c>
      <c r="K334" s="24">
        <f>I334+J334</f>
        <v/>
      </c>
      <c r="L334" s="24">
        <f>K334-I334</f>
        <v/>
      </c>
      <c r="M334" s="33" t="inlineStr">
        <is>
          <t>Standard</t>
        </is>
      </c>
      <c r="N334" s="32" t="inlineStr">
        <is>
          <t>Synthetic. Local DR is 0 — DR is placed in Europe (DR-020).</t>
        </is>
      </c>
    </row>
    <row r="335">
      <c r="A335" s="32" t="inlineStr">
        <is>
          <t>UAE North</t>
        </is>
      </c>
      <c r="B335" s="32" t="inlineStr">
        <is>
          <t>uaenorth</t>
        </is>
      </c>
      <c r="C335" s="33" t="inlineStr">
        <is>
          <t>Middle East</t>
        </is>
      </c>
      <c r="D335" s="33" t="inlineStr">
        <is>
          <t>DR</t>
        </is>
      </c>
      <c r="E335" s="32" t="inlineStr">
        <is>
          <t>Standard_E16ads_v5</t>
        </is>
      </c>
      <c r="F335" s="33" t="inlineStr">
        <is>
          <t>Eadsv5</t>
        </is>
      </c>
      <c r="G335" s="34" t="n">
        <v>16</v>
      </c>
      <c r="H335" s="32" t="inlineStr">
        <is>
          <t>crg-dr-uaen-reg</t>
        </is>
      </c>
      <c r="I335" s="23" t="n">
        <v>0</v>
      </c>
      <c r="J335" s="23" t="n">
        <v>0</v>
      </c>
      <c r="K335" s="24">
        <f>I335+J335</f>
        <v/>
      </c>
      <c r="L335" s="24">
        <f>K335-I335</f>
        <v/>
      </c>
      <c r="M335" s="33" t="inlineStr">
        <is>
          <t>Standard</t>
        </is>
      </c>
      <c r="N335" s="32" t="inlineStr">
        <is>
          <t>Synthetic. Local DR is 0 — DR is placed in Europe (DR-020).</t>
        </is>
      </c>
    </row>
    <row r="336">
      <c r="A336" s="32" t="inlineStr">
        <is>
          <t>UAE North</t>
        </is>
      </c>
      <c r="B336" s="32" t="inlineStr">
        <is>
          <t>uaenorth</t>
        </is>
      </c>
      <c r="C336" s="33" t="inlineStr">
        <is>
          <t>Middle East</t>
        </is>
      </c>
      <c r="D336" s="33" t="inlineStr">
        <is>
          <t>DR</t>
        </is>
      </c>
      <c r="E336" s="32" t="inlineStr">
        <is>
          <t>Standard_E32ads_v6</t>
        </is>
      </c>
      <c r="F336" s="33" t="inlineStr">
        <is>
          <t>Eadsv6</t>
        </is>
      </c>
      <c r="G336" s="34" t="n">
        <v>32</v>
      </c>
      <c r="H336" s="32" t="inlineStr">
        <is>
          <t>crg-dr-uaen-reg</t>
        </is>
      </c>
      <c r="I336" s="23" t="n">
        <v>0</v>
      </c>
      <c r="J336" s="23" t="n">
        <v>0</v>
      </c>
      <c r="K336" s="24">
        <f>I336+J336</f>
        <v/>
      </c>
      <c r="L336" s="24">
        <f>K336-I336</f>
        <v/>
      </c>
      <c r="M336" s="33" t="inlineStr">
        <is>
          <t>Standard</t>
        </is>
      </c>
      <c r="N336" s="32" t="inlineStr">
        <is>
          <t>Synthetic. Local DR is 0 — DR is placed in Europe (DR-020).</t>
        </is>
      </c>
    </row>
    <row r="337">
      <c r="A337" s="32" t="inlineStr">
        <is>
          <t>UAE North</t>
        </is>
      </c>
      <c r="B337" s="32" t="inlineStr">
        <is>
          <t>uaenorth</t>
        </is>
      </c>
      <c r="C337" s="33" t="inlineStr">
        <is>
          <t>Middle East</t>
        </is>
      </c>
      <c r="D337" s="33" t="inlineStr">
        <is>
          <t>DR</t>
        </is>
      </c>
      <c r="E337" s="32" t="inlineStr">
        <is>
          <t>Standard_D8ads_v5</t>
        </is>
      </c>
      <c r="F337" s="33" t="inlineStr">
        <is>
          <t>Dadsv5</t>
        </is>
      </c>
      <c r="G337" s="34" t="n">
        <v>8</v>
      </c>
      <c r="H337" s="32" t="inlineStr">
        <is>
          <t>crg-dr-uaen-reg</t>
        </is>
      </c>
      <c r="I337" s="23" t="n">
        <v>0</v>
      </c>
      <c r="J337" s="23" t="n">
        <v>0</v>
      </c>
      <c r="K337" s="24">
        <f>I337+J337</f>
        <v/>
      </c>
      <c r="L337" s="24">
        <f>K337-I337</f>
        <v/>
      </c>
      <c r="M337" s="33" t="inlineStr">
        <is>
          <t>Standard</t>
        </is>
      </c>
      <c r="N337" s="32" t="inlineStr">
        <is>
          <t>Synthetic. Local DR is 0 — DR is placed in Europe (DR-020).</t>
        </is>
      </c>
    </row>
    <row r="338">
      <c r="A338" s="32" t="inlineStr">
        <is>
          <t>UAE North</t>
        </is>
      </c>
      <c r="B338" s="32" t="inlineStr">
        <is>
          <t>uaenorth</t>
        </is>
      </c>
      <c r="C338" s="33" t="inlineStr">
        <is>
          <t>Middle East</t>
        </is>
      </c>
      <c r="D338" s="33" t="inlineStr">
        <is>
          <t>DR</t>
        </is>
      </c>
      <c r="E338" s="32" t="inlineStr">
        <is>
          <t>Standard_D16ads_v5</t>
        </is>
      </c>
      <c r="F338" s="33" t="inlineStr">
        <is>
          <t>Dadsv5</t>
        </is>
      </c>
      <c r="G338" s="34" t="n">
        <v>16</v>
      </c>
      <c r="H338" s="32" t="inlineStr">
        <is>
          <t>crg-dr-uaen-reg</t>
        </is>
      </c>
      <c r="I338" s="23" t="n">
        <v>0</v>
      </c>
      <c r="J338" s="23" t="n">
        <v>0</v>
      </c>
      <c r="K338" s="24">
        <f>I338+J338</f>
        <v/>
      </c>
      <c r="L338" s="24">
        <f>K338-I338</f>
        <v/>
      </c>
      <c r="M338" s="33" t="inlineStr">
        <is>
          <t>Standard</t>
        </is>
      </c>
      <c r="N338" s="32" t="inlineStr">
        <is>
          <t>Synthetic. Local DR is 0 — DR is placed in Europe (DR-020).</t>
        </is>
      </c>
    </row>
    <row r="339">
      <c r="A339" s="32" t="inlineStr">
        <is>
          <t>UAE North</t>
        </is>
      </c>
      <c r="B339" s="32" t="inlineStr">
        <is>
          <t>uaenorth</t>
        </is>
      </c>
      <c r="C339" s="33" t="inlineStr">
        <is>
          <t>Middle East</t>
        </is>
      </c>
      <c r="D339" s="33" t="inlineStr">
        <is>
          <t>DR</t>
        </is>
      </c>
      <c r="E339" s="32" t="inlineStr">
        <is>
          <t>Standard_D8as_v5</t>
        </is>
      </c>
      <c r="F339" s="33" t="inlineStr">
        <is>
          <t>Dasv5</t>
        </is>
      </c>
      <c r="G339" s="34" t="n">
        <v>8</v>
      </c>
      <c r="H339" s="32" t="inlineStr">
        <is>
          <t>crg-dr-uaen-reg</t>
        </is>
      </c>
      <c r="I339" s="23" t="n">
        <v>0</v>
      </c>
      <c r="J339" s="23" t="n">
        <v>0</v>
      </c>
      <c r="K339" s="24">
        <f>I339+J339</f>
        <v/>
      </c>
      <c r="L339" s="24">
        <f>K339-I339</f>
        <v/>
      </c>
      <c r="M339" s="33" t="inlineStr">
        <is>
          <t>Standard</t>
        </is>
      </c>
      <c r="N339" s="32" t="inlineStr">
        <is>
          <t>Synthetic. Local DR is 0 — DR is placed in Europe (DR-020).</t>
        </is>
      </c>
    </row>
    <row r="340">
      <c r="A340" s="32" t="inlineStr">
        <is>
          <t>UAE North</t>
        </is>
      </c>
      <c r="B340" s="32" t="inlineStr">
        <is>
          <t>uaenorth</t>
        </is>
      </c>
      <c r="C340" s="33" t="inlineStr">
        <is>
          <t>Middle East</t>
        </is>
      </c>
      <c r="D340" s="33" t="inlineStr">
        <is>
          <t>DR</t>
        </is>
      </c>
      <c r="E340" s="32" t="inlineStr">
        <is>
          <t>Standard_D16as_v5</t>
        </is>
      </c>
      <c r="F340" s="33" t="inlineStr">
        <is>
          <t>Dasv5</t>
        </is>
      </c>
      <c r="G340" s="34" t="n">
        <v>16</v>
      </c>
      <c r="H340" s="32" t="inlineStr">
        <is>
          <t>crg-dr-uaen-reg</t>
        </is>
      </c>
      <c r="I340" s="23" t="n">
        <v>0</v>
      </c>
      <c r="J340" s="23" t="n">
        <v>0</v>
      </c>
      <c r="K340" s="24">
        <f>I340+J340</f>
        <v/>
      </c>
      <c r="L340" s="24">
        <f>K340-I340</f>
        <v/>
      </c>
      <c r="M340" s="33" t="inlineStr">
        <is>
          <t>Standard</t>
        </is>
      </c>
      <c r="N340" s="32" t="inlineStr">
        <is>
          <t>Synthetic. Local DR is 0 — DR is placed in Europe (DR-020).</t>
        </is>
      </c>
    </row>
  </sheetData>
  <autoFilter ref="A4:N340"/>
  <mergeCells count="1">
    <mergeCell ref="A2:N2"/>
  </mergeCells>
  <conditionalFormatting sqref="M5:M340">
    <cfRule type="cellIs" priority="1" operator="equal" dxfId="0">
      <formula>"Restricted"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4" customWidth="1" min="10" max="10"/>
    <col width="16" customWidth="1" min="11" max="11"/>
    <col width="24" customWidth="1" min="12" max="12"/>
    <col width="20" customWidth="1" min="13" max="13"/>
    <col width="22" customWidth="1" min="14" max="14"/>
    <col width="20" customWidth="1" min="15" max="15"/>
    <col width="26" customWidth="1" min="16" max="16"/>
  </cols>
  <sheetData>
    <row r="1">
      <c r="A1" s="1" t="inlineStr">
        <is>
          <t>Mock quota — family cells plus the regional vCPU cap</t>
        </is>
      </c>
    </row>
    <row r="2" ht="48" customHeight="1">
      <c r="A2" s="9" t="inlineStr">
        <is>
          <t>Family rows are the QUA-004 accounting cell (Prod, NonProd, and DR together). Yellow Limit is synthetic. Used sums Allocated on Capacity_Reservations. Prod earmark and DR earmark are the reserved cores of those environments, so CVAL cannot spend them (HC-7). Columns N–P are the total regional vCPU cap (QUA-002), filled on the Eadsv5 row of each region. HC-3 uses the lesser of family available and that regional available. The group limit is not what a deployment checks; these numbers stand in for subscription quota after transfer.</t>
        </is>
      </c>
    </row>
    <row r="4" ht="32" customHeight="1">
      <c r="A4" s="12" t="inlineStr">
        <is>
          <t>Quota group</t>
        </is>
      </c>
      <c r="B4" s="12" t="inlineStr">
        <is>
          <t>Region</t>
        </is>
      </c>
      <c r="C4" s="12" t="inlineStr">
        <is>
          <t>Region id</t>
        </is>
      </c>
      <c r="D4" s="12" t="inlineStr">
        <is>
          <t>Geography</t>
        </is>
      </c>
      <c r="E4" s="12" t="inlineStr">
        <is>
          <t>Family</t>
        </is>
      </c>
      <c r="F4" s="12" t="inlineStr">
        <is>
          <t>Limit</t>
        </is>
      </c>
      <c r="G4" s="12" t="inlineStr">
        <is>
          <t>Used</t>
        </is>
      </c>
      <c r="H4" s="12" t="inlineStr">
        <is>
          <t>Available</t>
        </is>
      </c>
      <c r="I4" s="12" t="inlineStr">
        <is>
          <t>Prod earmark</t>
        </is>
      </c>
      <c r="J4" s="12" t="inlineStr">
        <is>
          <t>DR earmark</t>
        </is>
      </c>
      <c r="K4" s="12" t="inlineStr">
        <is>
          <t>NonProd used</t>
        </is>
      </c>
      <c r="L4" s="12" t="inlineStr">
        <is>
          <t>Allocatable to NonProd</t>
        </is>
      </c>
      <c r="M4" s="12" t="inlineStr">
        <is>
          <t>NonProd headroom</t>
        </is>
      </c>
      <c r="N4" s="12" t="inlineStr">
        <is>
          <t>Regional vCPU limit</t>
        </is>
      </c>
      <c r="O4" s="12" t="inlineStr">
        <is>
          <t>Regional vCPU used</t>
        </is>
      </c>
      <c r="P4" s="12" t="inlineStr">
        <is>
          <t>Regional vCPU available</t>
        </is>
      </c>
    </row>
    <row r="5">
      <c r="A5" s="32" t="inlineStr">
        <is>
          <t>qg-wus3-Eadsv5</t>
        </is>
      </c>
      <c r="B5" s="32" t="inlineStr">
        <is>
          <t>West US 3</t>
        </is>
      </c>
      <c r="C5" s="32" t="inlineStr">
        <is>
          <t>westus3</t>
        </is>
      </c>
      <c r="D5" s="33" t="inlineStr">
        <is>
          <t>US</t>
        </is>
      </c>
      <c r="E5" s="32" t="inlineStr">
        <is>
          <t>Eadsv5</t>
        </is>
      </c>
      <c r="F5" s="31" t="n">
        <v>8780</v>
      </c>
      <c r="G5" s="24">
        <f>SUMIFS(Capacity_Reservations!$I$5:$I$340,Capacity_Reservations!$B$5:$B$340,C5,Capacity_Reservations!$F$5:$F$340,E5)</f>
        <v/>
      </c>
      <c r="H5" s="24">
        <f>F5-G5</f>
        <v/>
      </c>
      <c r="I5" s="24">
        <f>SUMIFS(Capacity_Reservations!$K$5:$K$340,Capacity_Reservations!$B$5:$B$340,C5,Capacity_Reservations!$D$5:$D$340,"Prod",Capacity_Reservations!$F$5:$F$340,E5)</f>
        <v/>
      </c>
      <c r="J5" s="24">
        <f>SUMIFS(Capacity_Reservations!$K$5:$K$340,Capacity_Reservations!$B$5:$B$340,C5,Capacity_Reservations!$D$5:$D$340,"DR",Capacity_Reservations!$F$5:$F$340,E5)</f>
        <v/>
      </c>
      <c r="K5" s="24">
        <f>SUMIFS(Capacity_Reservations!$I$5:$I$340,Capacity_Reservations!$B$5:$B$340,C5,Capacity_Reservations!$D$5:$D$340,"NonProd",Capacity_Reservations!$F$5:$F$340,E5)</f>
        <v/>
      </c>
      <c r="L5" s="24">
        <f>MAX(0,F5-I5-J5)</f>
        <v/>
      </c>
      <c r="M5" s="24">
        <f>L5-K5</f>
        <v/>
      </c>
      <c r="N5" s="31" t="n">
        <v>50000</v>
      </c>
      <c r="O5" s="24">
        <f>SUMIFS(Capacity_Reservations!$I$5:$I$340,Capacity_Reservations!$B$5:$B$340,C5)</f>
        <v/>
      </c>
      <c r="P5" s="24">
        <f>N5-O5</f>
        <v/>
      </c>
    </row>
    <row r="6">
      <c r="A6" s="32" t="inlineStr">
        <is>
          <t>qg-wus3-Eadsv6</t>
        </is>
      </c>
      <c r="B6" s="32" t="inlineStr">
        <is>
          <t>West US 3</t>
        </is>
      </c>
      <c r="C6" s="32" t="inlineStr">
        <is>
          <t>westus3</t>
        </is>
      </c>
      <c r="D6" s="33" t="inlineStr">
        <is>
          <t>US</t>
        </is>
      </c>
      <c r="E6" s="32" t="inlineStr">
        <is>
          <t>Eadsv6</t>
        </is>
      </c>
      <c r="F6" s="31" t="n">
        <v>6080</v>
      </c>
      <c r="G6" s="24">
        <f>SUMIFS(Capacity_Reservations!$I$5:$I$340,Capacity_Reservations!$B$5:$B$340,C6,Capacity_Reservations!$F$5:$F$340,E6)</f>
        <v/>
      </c>
      <c r="H6" s="24">
        <f>F6-G6</f>
        <v/>
      </c>
      <c r="I6" s="24">
        <f>SUMIFS(Capacity_Reservations!$K$5:$K$340,Capacity_Reservations!$B$5:$B$340,C6,Capacity_Reservations!$D$5:$D$340,"Prod",Capacity_Reservations!$F$5:$F$340,E6)</f>
        <v/>
      </c>
      <c r="J6" s="24">
        <f>SUMIFS(Capacity_Reservations!$K$5:$K$340,Capacity_Reservations!$B$5:$B$340,C6,Capacity_Reservations!$D$5:$D$340,"DR",Capacity_Reservations!$F$5:$F$340,E6)</f>
        <v/>
      </c>
      <c r="K6" s="24">
        <f>SUMIFS(Capacity_Reservations!$I$5:$I$340,Capacity_Reservations!$B$5:$B$340,C6,Capacity_Reservations!$D$5:$D$340,"NonProd",Capacity_Reservations!$F$5:$F$340,E6)</f>
        <v/>
      </c>
      <c r="L6" s="24">
        <f>MAX(0,F6-I6-J6)</f>
        <v/>
      </c>
      <c r="M6" s="24">
        <f>L6-K6</f>
        <v/>
      </c>
    </row>
    <row r="7">
      <c r="A7" s="32" t="inlineStr">
        <is>
          <t>qg-wus3-Dadsv5</t>
        </is>
      </c>
      <c r="B7" s="32" t="inlineStr">
        <is>
          <t>West US 3</t>
        </is>
      </c>
      <c r="C7" s="32" t="inlineStr">
        <is>
          <t>westus3</t>
        </is>
      </c>
      <c r="D7" s="33" t="inlineStr">
        <is>
          <t>US</t>
        </is>
      </c>
      <c r="E7" s="32" t="inlineStr">
        <is>
          <t>Dadsv5</t>
        </is>
      </c>
      <c r="F7" s="31" t="n">
        <v>5810</v>
      </c>
      <c r="G7" s="24">
        <f>SUMIFS(Capacity_Reservations!$I$5:$I$340,Capacity_Reservations!$B$5:$B$340,C7,Capacity_Reservations!$F$5:$F$340,E7)</f>
        <v/>
      </c>
      <c r="H7" s="24">
        <f>F7-G7</f>
        <v/>
      </c>
      <c r="I7" s="24">
        <f>SUMIFS(Capacity_Reservations!$K$5:$K$340,Capacity_Reservations!$B$5:$B$340,C7,Capacity_Reservations!$D$5:$D$340,"Prod",Capacity_Reservations!$F$5:$F$340,E7)</f>
        <v/>
      </c>
      <c r="J7" s="24">
        <f>SUMIFS(Capacity_Reservations!$K$5:$K$340,Capacity_Reservations!$B$5:$B$340,C7,Capacity_Reservations!$D$5:$D$340,"DR",Capacity_Reservations!$F$5:$F$340,E7)</f>
        <v/>
      </c>
      <c r="K7" s="24">
        <f>SUMIFS(Capacity_Reservations!$I$5:$I$340,Capacity_Reservations!$B$5:$B$340,C7,Capacity_Reservations!$D$5:$D$340,"NonProd",Capacity_Reservations!$F$5:$F$340,E7)</f>
        <v/>
      </c>
      <c r="L7" s="24">
        <f>MAX(0,F7-I7-J7)</f>
        <v/>
      </c>
      <c r="M7" s="24">
        <f>L7-K7</f>
        <v/>
      </c>
    </row>
    <row r="8">
      <c r="A8" s="32" t="inlineStr">
        <is>
          <t>qg-wus3-Dasv5</t>
        </is>
      </c>
      <c r="B8" s="32" t="inlineStr">
        <is>
          <t>West US 3</t>
        </is>
      </c>
      <c r="C8" s="32" t="inlineStr">
        <is>
          <t>westus3</t>
        </is>
      </c>
      <c r="D8" s="33" t="inlineStr">
        <is>
          <t>US</t>
        </is>
      </c>
      <c r="E8" s="32" t="inlineStr">
        <is>
          <t>Dasv5</t>
        </is>
      </c>
      <c r="F8" s="31" t="n">
        <v>5810</v>
      </c>
      <c r="G8" s="24">
        <f>SUMIFS(Capacity_Reservations!$I$5:$I$340,Capacity_Reservations!$B$5:$B$340,C8,Capacity_Reservations!$F$5:$F$340,E8)</f>
        <v/>
      </c>
      <c r="H8" s="24">
        <f>F8-G8</f>
        <v/>
      </c>
      <c r="I8" s="24">
        <f>SUMIFS(Capacity_Reservations!$K$5:$K$340,Capacity_Reservations!$B$5:$B$340,C8,Capacity_Reservations!$D$5:$D$340,"Prod",Capacity_Reservations!$F$5:$F$340,E8)</f>
        <v/>
      </c>
      <c r="J8" s="24">
        <f>SUMIFS(Capacity_Reservations!$K$5:$K$340,Capacity_Reservations!$B$5:$B$340,C8,Capacity_Reservations!$D$5:$D$340,"DR",Capacity_Reservations!$F$5:$F$340,E8)</f>
        <v/>
      </c>
      <c r="K8" s="24">
        <f>SUMIFS(Capacity_Reservations!$I$5:$I$340,Capacity_Reservations!$B$5:$B$340,C8,Capacity_Reservations!$D$5:$D$340,"NonProd",Capacity_Reservations!$F$5:$F$340,E8)</f>
        <v/>
      </c>
      <c r="L8" s="24">
        <f>MAX(0,F8-I8-J8)</f>
        <v/>
      </c>
      <c r="M8" s="24">
        <f>L8-K8</f>
        <v/>
      </c>
    </row>
    <row r="9">
      <c r="A9" s="32" t="inlineStr">
        <is>
          <t>qg-cus-Eadsv5</t>
        </is>
      </c>
      <c r="B9" s="32" t="inlineStr">
        <is>
          <t>Central US</t>
        </is>
      </c>
      <c r="C9" s="32" t="inlineStr">
        <is>
          <t>centralus</t>
        </is>
      </c>
      <c r="D9" s="33" t="inlineStr">
        <is>
          <t>US</t>
        </is>
      </c>
      <c r="E9" s="32" t="inlineStr">
        <is>
          <t>Eadsv5</t>
        </is>
      </c>
      <c r="F9" s="31" t="n">
        <v>9060</v>
      </c>
      <c r="G9" s="24">
        <f>SUMIFS(Capacity_Reservations!$I$5:$I$340,Capacity_Reservations!$B$5:$B$340,C9,Capacity_Reservations!$F$5:$F$340,E9)</f>
        <v/>
      </c>
      <c r="H9" s="24">
        <f>F9-G9</f>
        <v/>
      </c>
      <c r="I9" s="24">
        <f>SUMIFS(Capacity_Reservations!$K$5:$K$340,Capacity_Reservations!$B$5:$B$340,C9,Capacity_Reservations!$D$5:$D$340,"Prod",Capacity_Reservations!$F$5:$F$340,E9)</f>
        <v/>
      </c>
      <c r="J9" s="24">
        <f>SUMIFS(Capacity_Reservations!$K$5:$K$340,Capacity_Reservations!$B$5:$B$340,C9,Capacity_Reservations!$D$5:$D$340,"DR",Capacity_Reservations!$F$5:$F$340,E9)</f>
        <v/>
      </c>
      <c r="K9" s="24">
        <f>SUMIFS(Capacity_Reservations!$I$5:$I$340,Capacity_Reservations!$B$5:$B$340,C9,Capacity_Reservations!$D$5:$D$340,"NonProd",Capacity_Reservations!$F$5:$F$340,E9)</f>
        <v/>
      </c>
      <c r="L9" s="24">
        <f>MAX(0,F9-I9-J9)</f>
        <v/>
      </c>
      <c r="M9" s="24">
        <f>L9-K9</f>
        <v/>
      </c>
      <c r="N9" s="31" t="n">
        <v>50000</v>
      </c>
      <c r="O9" s="24">
        <f>SUMIFS(Capacity_Reservations!$I$5:$I$340,Capacity_Reservations!$B$5:$B$340,C9)</f>
        <v/>
      </c>
      <c r="P9" s="24">
        <f>N9-O9</f>
        <v/>
      </c>
    </row>
    <row r="10">
      <c r="A10" s="32" t="inlineStr">
        <is>
          <t>qg-cus-Eadsv6</t>
        </is>
      </c>
      <c r="B10" s="32" t="inlineStr">
        <is>
          <t>Central US</t>
        </is>
      </c>
      <c r="C10" s="32" t="inlineStr">
        <is>
          <t>centralus</t>
        </is>
      </c>
      <c r="D10" s="33" t="inlineStr">
        <is>
          <t>US</t>
        </is>
      </c>
      <c r="E10" s="32" t="inlineStr">
        <is>
          <t>Eadsv6</t>
        </is>
      </c>
      <c r="F10" s="31" t="n">
        <v>6160</v>
      </c>
      <c r="G10" s="24">
        <f>SUMIFS(Capacity_Reservations!$I$5:$I$340,Capacity_Reservations!$B$5:$B$340,C10,Capacity_Reservations!$F$5:$F$340,E10)</f>
        <v/>
      </c>
      <c r="H10" s="24">
        <f>F10-G10</f>
        <v/>
      </c>
      <c r="I10" s="24">
        <f>SUMIFS(Capacity_Reservations!$K$5:$K$340,Capacity_Reservations!$B$5:$B$340,C10,Capacity_Reservations!$D$5:$D$340,"Prod",Capacity_Reservations!$F$5:$F$340,E10)</f>
        <v/>
      </c>
      <c r="J10" s="24">
        <f>SUMIFS(Capacity_Reservations!$K$5:$K$340,Capacity_Reservations!$B$5:$B$340,C10,Capacity_Reservations!$D$5:$D$340,"DR",Capacity_Reservations!$F$5:$F$340,E10)</f>
        <v/>
      </c>
      <c r="K10" s="24">
        <f>SUMIFS(Capacity_Reservations!$I$5:$I$340,Capacity_Reservations!$B$5:$B$340,C10,Capacity_Reservations!$D$5:$D$340,"NonProd",Capacity_Reservations!$F$5:$F$340,E10)</f>
        <v/>
      </c>
      <c r="L10" s="24">
        <f>MAX(0,F10-I10-J10)</f>
        <v/>
      </c>
      <c r="M10" s="24">
        <f>L10-K10</f>
        <v/>
      </c>
    </row>
    <row r="11">
      <c r="A11" s="32" t="inlineStr">
        <is>
          <t>qg-cus-Dadsv5</t>
        </is>
      </c>
      <c r="B11" s="32" t="inlineStr">
        <is>
          <t>Central US</t>
        </is>
      </c>
      <c r="C11" s="32" t="inlineStr">
        <is>
          <t>centralus</t>
        </is>
      </c>
      <c r="D11" s="33" t="inlineStr">
        <is>
          <t>US</t>
        </is>
      </c>
      <c r="E11" s="32" t="inlineStr">
        <is>
          <t>Dadsv5</t>
        </is>
      </c>
      <c r="F11" s="31" t="n">
        <v>5870</v>
      </c>
      <c r="G11" s="24">
        <f>SUMIFS(Capacity_Reservations!$I$5:$I$340,Capacity_Reservations!$B$5:$B$340,C11,Capacity_Reservations!$F$5:$F$340,E11)</f>
        <v/>
      </c>
      <c r="H11" s="24">
        <f>F11-G11</f>
        <v/>
      </c>
      <c r="I11" s="24">
        <f>SUMIFS(Capacity_Reservations!$K$5:$K$340,Capacity_Reservations!$B$5:$B$340,C11,Capacity_Reservations!$D$5:$D$340,"Prod",Capacity_Reservations!$F$5:$F$340,E11)</f>
        <v/>
      </c>
      <c r="J11" s="24">
        <f>SUMIFS(Capacity_Reservations!$K$5:$K$340,Capacity_Reservations!$B$5:$B$340,C11,Capacity_Reservations!$D$5:$D$340,"DR",Capacity_Reservations!$F$5:$F$340,E11)</f>
        <v/>
      </c>
      <c r="K11" s="24">
        <f>SUMIFS(Capacity_Reservations!$I$5:$I$340,Capacity_Reservations!$B$5:$B$340,C11,Capacity_Reservations!$D$5:$D$340,"NonProd",Capacity_Reservations!$F$5:$F$340,E11)</f>
        <v/>
      </c>
      <c r="L11" s="24">
        <f>MAX(0,F11-I11-J11)</f>
        <v/>
      </c>
      <c r="M11" s="24">
        <f>L11-K11</f>
        <v/>
      </c>
    </row>
    <row r="12">
      <c r="A12" s="32" t="inlineStr">
        <is>
          <t>qg-cus-Dasv5</t>
        </is>
      </c>
      <c r="B12" s="32" t="inlineStr">
        <is>
          <t>Central US</t>
        </is>
      </c>
      <c r="C12" s="32" t="inlineStr">
        <is>
          <t>centralus</t>
        </is>
      </c>
      <c r="D12" s="33" t="inlineStr">
        <is>
          <t>US</t>
        </is>
      </c>
      <c r="E12" s="32" t="inlineStr">
        <is>
          <t>Dasv5</t>
        </is>
      </c>
      <c r="F12" s="31" t="n">
        <v>5870</v>
      </c>
      <c r="G12" s="24">
        <f>SUMIFS(Capacity_Reservations!$I$5:$I$340,Capacity_Reservations!$B$5:$B$340,C12,Capacity_Reservations!$F$5:$F$340,E12)</f>
        <v/>
      </c>
      <c r="H12" s="24">
        <f>F12-G12</f>
        <v/>
      </c>
      <c r="I12" s="24">
        <f>SUMIFS(Capacity_Reservations!$K$5:$K$340,Capacity_Reservations!$B$5:$B$340,C12,Capacity_Reservations!$D$5:$D$340,"Prod",Capacity_Reservations!$F$5:$F$340,E12)</f>
        <v/>
      </c>
      <c r="J12" s="24">
        <f>SUMIFS(Capacity_Reservations!$K$5:$K$340,Capacity_Reservations!$B$5:$B$340,C12,Capacity_Reservations!$D$5:$D$340,"DR",Capacity_Reservations!$F$5:$F$340,E12)</f>
        <v/>
      </c>
      <c r="K12" s="24">
        <f>SUMIFS(Capacity_Reservations!$I$5:$I$340,Capacity_Reservations!$B$5:$B$340,C12,Capacity_Reservations!$D$5:$D$340,"NonProd",Capacity_Reservations!$F$5:$F$340,E12)</f>
        <v/>
      </c>
      <c r="L12" s="24">
        <f>MAX(0,F12-I12-J12)</f>
        <v/>
      </c>
      <c r="M12" s="24">
        <f>L12-K12</f>
        <v/>
      </c>
    </row>
    <row r="13">
      <c r="A13" s="32" t="inlineStr">
        <is>
          <t>qg-cac-Eadsv5</t>
        </is>
      </c>
      <c r="B13" s="32" t="inlineStr">
        <is>
          <t>Canada Central</t>
        </is>
      </c>
      <c r="C13" s="32" t="inlineStr">
        <is>
          <t>canadacentral</t>
        </is>
      </c>
      <c r="D13" s="33" t="inlineStr">
        <is>
          <t>US</t>
        </is>
      </c>
      <c r="E13" s="32" t="inlineStr">
        <is>
          <t>Eadsv5</t>
        </is>
      </c>
      <c r="F13" s="31" t="n">
        <v>7940</v>
      </c>
      <c r="G13" s="24">
        <f>SUMIFS(Capacity_Reservations!$I$5:$I$340,Capacity_Reservations!$B$5:$B$340,C13,Capacity_Reservations!$F$5:$F$340,E13)</f>
        <v/>
      </c>
      <c r="H13" s="24">
        <f>F13-G13</f>
        <v/>
      </c>
      <c r="I13" s="24">
        <f>SUMIFS(Capacity_Reservations!$K$5:$K$340,Capacity_Reservations!$B$5:$B$340,C13,Capacity_Reservations!$D$5:$D$340,"Prod",Capacity_Reservations!$F$5:$F$340,E13)</f>
        <v/>
      </c>
      <c r="J13" s="24">
        <f>SUMIFS(Capacity_Reservations!$K$5:$K$340,Capacity_Reservations!$B$5:$B$340,C13,Capacity_Reservations!$D$5:$D$340,"DR",Capacity_Reservations!$F$5:$F$340,E13)</f>
        <v/>
      </c>
      <c r="K13" s="24">
        <f>SUMIFS(Capacity_Reservations!$I$5:$I$340,Capacity_Reservations!$B$5:$B$340,C13,Capacity_Reservations!$D$5:$D$340,"NonProd",Capacity_Reservations!$F$5:$F$340,E13)</f>
        <v/>
      </c>
      <c r="L13" s="24">
        <f>MAX(0,F13-I13-J13)</f>
        <v/>
      </c>
      <c r="M13" s="24">
        <f>L13-K13</f>
        <v/>
      </c>
      <c r="N13" s="31" t="n">
        <v>50000</v>
      </c>
      <c r="O13" s="24">
        <f>SUMIFS(Capacity_Reservations!$I$5:$I$340,Capacity_Reservations!$B$5:$B$340,C13)</f>
        <v/>
      </c>
      <c r="P13" s="24">
        <f>N13-O13</f>
        <v/>
      </c>
    </row>
    <row r="14">
      <c r="A14" s="32" t="inlineStr">
        <is>
          <t>qg-cac-Eadsv6</t>
        </is>
      </c>
      <c r="B14" s="32" t="inlineStr">
        <is>
          <t>Canada Central</t>
        </is>
      </c>
      <c r="C14" s="32" t="inlineStr">
        <is>
          <t>canadacentral</t>
        </is>
      </c>
      <c r="D14" s="33" t="inlineStr">
        <is>
          <t>US</t>
        </is>
      </c>
      <c r="E14" s="32" t="inlineStr">
        <is>
          <t>Eadsv6</t>
        </is>
      </c>
      <c r="F14" s="31" t="n">
        <v>5840</v>
      </c>
      <c r="G14" s="24">
        <f>SUMIFS(Capacity_Reservations!$I$5:$I$340,Capacity_Reservations!$B$5:$B$340,C14,Capacity_Reservations!$F$5:$F$340,E14)</f>
        <v/>
      </c>
      <c r="H14" s="24">
        <f>F14-G14</f>
        <v/>
      </c>
      <c r="I14" s="24">
        <f>SUMIFS(Capacity_Reservations!$K$5:$K$340,Capacity_Reservations!$B$5:$B$340,C14,Capacity_Reservations!$D$5:$D$340,"Prod",Capacity_Reservations!$F$5:$F$340,E14)</f>
        <v/>
      </c>
      <c r="J14" s="24">
        <f>SUMIFS(Capacity_Reservations!$K$5:$K$340,Capacity_Reservations!$B$5:$B$340,C14,Capacity_Reservations!$D$5:$D$340,"DR",Capacity_Reservations!$F$5:$F$340,E14)</f>
        <v/>
      </c>
      <c r="K14" s="24">
        <f>SUMIFS(Capacity_Reservations!$I$5:$I$340,Capacity_Reservations!$B$5:$B$340,C14,Capacity_Reservations!$D$5:$D$340,"NonProd",Capacity_Reservations!$F$5:$F$340,E14)</f>
        <v/>
      </c>
      <c r="L14" s="24">
        <f>MAX(0,F14-I14-J14)</f>
        <v/>
      </c>
      <c r="M14" s="24">
        <f>L14-K14</f>
        <v/>
      </c>
    </row>
    <row r="15">
      <c r="A15" s="32" t="inlineStr">
        <is>
          <t>qg-cac-Dadsv5</t>
        </is>
      </c>
      <c r="B15" s="32" t="inlineStr">
        <is>
          <t>Canada Central</t>
        </is>
      </c>
      <c r="C15" s="32" t="inlineStr">
        <is>
          <t>canadacentral</t>
        </is>
      </c>
      <c r="D15" s="33" t="inlineStr">
        <is>
          <t>US</t>
        </is>
      </c>
      <c r="E15" s="32" t="inlineStr">
        <is>
          <t>Dadsv5</t>
        </is>
      </c>
      <c r="F15" s="31" t="n">
        <v>5630</v>
      </c>
      <c r="G15" s="24">
        <f>SUMIFS(Capacity_Reservations!$I$5:$I$340,Capacity_Reservations!$B$5:$B$340,C15,Capacity_Reservations!$F$5:$F$340,E15)</f>
        <v/>
      </c>
      <c r="H15" s="24">
        <f>F15-G15</f>
        <v/>
      </c>
      <c r="I15" s="24">
        <f>SUMIFS(Capacity_Reservations!$K$5:$K$340,Capacity_Reservations!$B$5:$B$340,C15,Capacity_Reservations!$D$5:$D$340,"Prod",Capacity_Reservations!$F$5:$F$340,E15)</f>
        <v/>
      </c>
      <c r="J15" s="24">
        <f>SUMIFS(Capacity_Reservations!$K$5:$K$340,Capacity_Reservations!$B$5:$B$340,C15,Capacity_Reservations!$D$5:$D$340,"DR",Capacity_Reservations!$F$5:$F$340,E15)</f>
        <v/>
      </c>
      <c r="K15" s="24">
        <f>SUMIFS(Capacity_Reservations!$I$5:$I$340,Capacity_Reservations!$B$5:$B$340,C15,Capacity_Reservations!$D$5:$D$340,"NonProd",Capacity_Reservations!$F$5:$F$340,E15)</f>
        <v/>
      </c>
      <c r="L15" s="24">
        <f>MAX(0,F15-I15-J15)</f>
        <v/>
      </c>
      <c r="M15" s="24">
        <f>L15-K15</f>
        <v/>
      </c>
    </row>
    <row r="16">
      <c r="A16" s="32" t="inlineStr">
        <is>
          <t>qg-cac-Dasv5</t>
        </is>
      </c>
      <c r="B16" s="32" t="inlineStr">
        <is>
          <t>Canada Central</t>
        </is>
      </c>
      <c r="C16" s="32" t="inlineStr">
        <is>
          <t>canadacentral</t>
        </is>
      </c>
      <c r="D16" s="33" t="inlineStr">
        <is>
          <t>US</t>
        </is>
      </c>
      <c r="E16" s="32" t="inlineStr">
        <is>
          <t>Dasv5</t>
        </is>
      </c>
      <c r="F16" s="31" t="n">
        <v>5630</v>
      </c>
      <c r="G16" s="24">
        <f>SUMIFS(Capacity_Reservations!$I$5:$I$340,Capacity_Reservations!$B$5:$B$340,C16,Capacity_Reservations!$F$5:$F$340,E16)</f>
        <v/>
      </c>
      <c r="H16" s="24">
        <f>F16-G16</f>
        <v/>
      </c>
      <c r="I16" s="24">
        <f>SUMIFS(Capacity_Reservations!$K$5:$K$340,Capacity_Reservations!$B$5:$B$340,C16,Capacity_Reservations!$D$5:$D$340,"Prod",Capacity_Reservations!$F$5:$F$340,E16)</f>
        <v/>
      </c>
      <c r="J16" s="24">
        <f>SUMIFS(Capacity_Reservations!$K$5:$K$340,Capacity_Reservations!$B$5:$B$340,C16,Capacity_Reservations!$D$5:$D$340,"DR",Capacity_Reservations!$F$5:$F$340,E16)</f>
        <v/>
      </c>
      <c r="K16" s="24">
        <f>SUMIFS(Capacity_Reservations!$I$5:$I$340,Capacity_Reservations!$B$5:$B$340,C16,Capacity_Reservations!$D$5:$D$340,"NonProd",Capacity_Reservations!$F$5:$F$340,E16)</f>
        <v/>
      </c>
      <c r="L16" s="24">
        <f>MAX(0,F16-I16-J16)</f>
        <v/>
      </c>
      <c r="M16" s="24">
        <f>L16-K16</f>
        <v/>
      </c>
    </row>
    <row r="17">
      <c r="A17" s="32" t="inlineStr">
        <is>
          <t>qg-eus2-Eadsv5</t>
        </is>
      </c>
      <c r="B17" s="32" t="inlineStr">
        <is>
          <t>East US 2</t>
        </is>
      </c>
      <c r="C17" s="32" t="inlineStr">
        <is>
          <t>eastus2</t>
        </is>
      </c>
      <c r="D17" s="33" t="inlineStr">
        <is>
          <t>US</t>
        </is>
      </c>
      <c r="E17" s="32" t="inlineStr">
        <is>
          <t>Eadsv5</t>
        </is>
      </c>
      <c r="F17" s="31" t="n">
        <v>8745</v>
      </c>
      <c r="G17" s="24">
        <f>SUMIFS(Capacity_Reservations!$I$5:$I$340,Capacity_Reservations!$B$5:$B$340,C17,Capacity_Reservations!$F$5:$F$340,E17)</f>
        <v/>
      </c>
      <c r="H17" s="24">
        <f>F17-G17</f>
        <v/>
      </c>
      <c r="I17" s="24">
        <f>SUMIFS(Capacity_Reservations!$K$5:$K$340,Capacity_Reservations!$B$5:$B$340,C17,Capacity_Reservations!$D$5:$D$340,"Prod",Capacity_Reservations!$F$5:$F$340,E17)</f>
        <v/>
      </c>
      <c r="J17" s="24">
        <f>SUMIFS(Capacity_Reservations!$K$5:$K$340,Capacity_Reservations!$B$5:$B$340,C17,Capacity_Reservations!$D$5:$D$340,"DR",Capacity_Reservations!$F$5:$F$340,E17)</f>
        <v/>
      </c>
      <c r="K17" s="24">
        <f>SUMIFS(Capacity_Reservations!$I$5:$I$340,Capacity_Reservations!$B$5:$B$340,C17,Capacity_Reservations!$D$5:$D$340,"NonProd",Capacity_Reservations!$F$5:$F$340,E17)</f>
        <v/>
      </c>
      <c r="L17" s="24">
        <f>MAX(0,F17-I17-J17)</f>
        <v/>
      </c>
      <c r="M17" s="24">
        <f>L17-K17</f>
        <v/>
      </c>
      <c r="N17" s="31" t="n">
        <v>50000</v>
      </c>
      <c r="O17" s="24">
        <f>SUMIFS(Capacity_Reservations!$I$5:$I$340,Capacity_Reservations!$B$5:$B$340,C17)</f>
        <v/>
      </c>
      <c r="P17" s="24">
        <f>N17-O17</f>
        <v/>
      </c>
    </row>
    <row r="18">
      <c r="A18" s="32" t="inlineStr">
        <is>
          <t>qg-eus2-Eadsv6</t>
        </is>
      </c>
      <c r="B18" s="32" t="inlineStr">
        <is>
          <t>East US 2</t>
        </is>
      </c>
      <c r="C18" s="32" t="inlineStr">
        <is>
          <t>eastus2</t>
        </is>
      </c>
      <c r="D18" s="33" t="inlineStr">
        <is>
          <t>US</t>
        </is>
      </c>
      <c r="E18" s="32" t="inlineStr">
        <is>
          <t>Eadsv6</t>
        </is>
      </c>
      <c r="F18" s="31" t="n">
        <v>6070</v>
      </c>
      <c r="G18" s="24">
        <f>SUMIFS(Capacity_Reservations!$I$5:$I$340,Capacity_Reservations!$B$5:$B$340,C18,Capacity_Reservations!$F$5:$F$340,E18)</f>
        <v/>
      </c>
      <c r="H18" s="24">
        <f>F18-G18</f>
        <v/>
      </c>
      <c r="I18" s="24">
        <f>SUMIFS(Capacity_Reservations!$K$5:$K$340,Capacity_Reservations!$B$5:$B$340,C18,Capacity_Reservations!$D$5:$D$340,"Prod",Capacity_Reservations!$F$5:$F$340,E18)</f>
        <v/>
      </c>
      <c r="J18" s="24">
        <f>SUMIFS(Capacity_Reservations!$K$5:$K$340,Capacity_Reservations!$B$5:$B$340,C18,Capacity_Reservations!$D$5:$D$340,"DR",Capacity_Reservations!$F$5:$F$340,E18)</f>
        <v/>
      </c>
      <c r="K18" s="24">
        <f>SUMIFS(Capacity_Reservations!$I$5:$I$340,Capacity_Reservations!$B$5:$B$340,C18,Capacity_Reservations!$D$5:$D$340,"NonProd",Capacity_Reservations!$F$5:$F$340,E18)</f>
        <v/>
      </c>
      <c r="L18" s="24">
        <f>MAX(0,F18-I18-J18)</f>
        <v/>
      </c>
      <c r="M18" s="24">
        <f>L18-K18</f>
        <v/>
      </c>
    </row>
    <row r="19">
      <c r="A19" s="32" t="inlineStr">
        <is>
          <t>qg-eus2-Dadsv5</t>
        </is>
      </c>
      <c r="B19" s="32" t="inlineStr">
        <is>
          <t>East US 2</t>
        </is>
      </c>
      <c r="C19" s="32" t="inlineStr">
        <is>
          <t>eastus2</t>
        </is>
      </c>
      <c r="D19" s="33" t="inlineStr">
        <is>
          <t>US</t>
        </is>
      </c>
      <c r="E19" s="32" t="inlineStr">
        <is>
          <t>Dadsv5</t>
        </is>
      </c>
      <c r="F19" s="31" t="n">
        <v>5803</v>
      </c>
      <c r="G19" s="24">
        <f>SUMIFS(Capacity_Reservations!$I$5:$I$340,Capacity_Reservations!$B$5:$B$340,C19,Capacity_Reservations!$F$5:$F$340,E19)</f>
        <v/>
      </c>
      <c r="H19" s="24">
        <f>F19-G19</f>
        <v/>
      </c>
      <c r="I19" s="24">
        <f>SUMIFS(Capacity_Reservations!$K$5:$K$340,Capacity_Reservations!$B$5:$B$340,C19,Capacity_Reservations!$D$5:$D$340,"Prod",Capacity_Reservations!$F$5:$F$340,E19)</f>
        <v/>
      </c>
      <c r="J19" s="24">
        <f>SUMIFS(Capacity_Reservations!$K$5:$K$340,Capacity_Reservations!$B$5:$B$340,C19,Capacity_Reservations!$D$5:$D$340,"DR",Capacity_Reservations!$F$5:$F$340,E19)</f>
        <v/>
      </c>
      <c r="K19" s="24">
        <f>SUMIFS(Capacity_Reservations!$I$5:$I$340,Capacity_Reservations!$B$5:$B$340,C19,Capacity_Reservations!$D$5:$D$340,"NonProd",Capacity_Reservations!$F$5:$F$340,E19)</f>
        <v/>
      </c>
      <c r="L19" s="24">
        <f>MAX(0,F19-I19-J19)</f>
        <v/>
      </c>
      <c r="M19" s="24">
        <f>L19-K19</f>
        <v/>
      </c>
    </row>
    <row r="20">
      <c r="A20" s="32" t="inlineStr">
        <is>
          <t>qg-eus2-Dasv5</t>
        </is>
      </c>
      <c r="B20" s="32" t="inlineStr">
        <is>
          <t>East US 2</t>
        </is>
      </c>
      <c r="C20" s="32" t="inlineStr">
        <is>
          <t>eastus2</t>
        </is>
      </c>
      <c r="D20" s="33" t="inlineStr">
        <is>
          <t>US</t>
        </is>
      </c>
      <c r="E20" s="32" t="inlineStr">
        <is>
          <t>Dasv5</t>
        </is>
      </c>
      <c r="F20" s="31" t="n">
        <v>5803</v>
      </c>
      <c r="G20" s="24">
        <f>SUMIFS(Capacity_Reservations!$I$5:$I$340,Capacity_Reservations!$B$5:$B$340,C20,Capacity_Reservations!$F$5:$F$340,E20)</f>
        <v/>
      </c>
      <c r="H20" s="24">
        <f>F20-G20</f>
        <v/>
      </c>
      <c r="I20" s="24">
        <f>SUMIFS(Capacity_Reservations!$K$5:$K$340,Capacity_Reservations!$B$5:$B$340,C20,Capacity_Reservations!$D$5:$D$340,"Prod",Capacity_Reservations!$F$5:$F$340,E20)</f>
        <v/>
      </c>
      <c r="J20" s="24">
        <f>SUMIFS(Capacity_Reservations!$K$5:$K$340,Capacity_Reservations!$B$5:$B$340,C20,Capacity_Reservations!$D$5:$D$340,"DR",Capacity_Reservations!$F$5:$F$340,E20)</f>
        <v/>
      </c>
      <c r="K20" s="24">
        <f>SUMIFS(Capacity_Reservations!$I$5:$I$340,Capacity_Reservations!$B$5:$B$340,C20,Capacity_Reservations!$D$5:$D$340,"NonProd",Capacity_Reservations!$F$5:$F$340,E20)</f>
        <v/>
      </c>
      <c r="L20" s="24">
        <f>MAX(0,F20-I20-J20)</f>
        <v/>
      </c>
      <c r="M20" s="24">
        <f>L20-K20</f>
        <v/>
      </c>
    </row>
    <row r="21">
      <c r="A21" s="32" t="inlineStr">
        <is>
          <t>qg-chn-Eadsv5</t>
        </is>
      </c>
      <c r="B21" s="32" t="inlineStr">
        <is>
          <t>Switzerland North</t>
        </is>
      </c>
      <c r="C21" s="32" t="inlineStr">
        <is>
          <t>switzerlandnorth</t>
        </is>
      </c>
      <c r="D21" s="33" t="inlineStr">
        <is>
          <t>EU</t>
        </is>
      </c>
      <c r="E21" s="32" t="inlineStr">
        <is>
          <t>Eadsv5</t>
        </is>
      </c>
      <c r="F21" s="31" t="n">
        <v>7905</v>
      </c>
      <c r="G21" s="24">
        <f>SUMIFS(Capacity_Reservations!$I$5:$I$340,Capacity_Reservations!$B$5:$B$340,C21,Capacity_Reservations!$F$5:$F$340,E21)</f>
        <v/>
      </c>
      <c r="H21" s="24">
        <f>F21-G21</f>
        <v/>
      </c>
      <c r="I21" s="24">
        <f>SUMIFS(Capacity_Reservations!$K$5:$K$340,Capacity_Reservations!$B$5:$B$340,C21,Capacity_Reservations!$D$5:$D$340,"Prod",Capacity_Reservations!$F$5:$F$340,E21)</f>
        <v/>
      </c>
      <c r="J21" s="24">
        <f>SUMIFS(Capacity_Reservations!$K$5:$K$340,Capacity_Reservations!$B$5:$B$340,C21,Capacity_Reservations!$D$5:$D$340,"DR",Capacity_Reservations!$F$5:$F$340,E21)</f>
        <v/>
      </c>
      <c r="K21" s="24">
        <f>SUMIFS(Capacity_Reservations!$I$5:$I$340,Capacity_Reservations!$B$5:$B$340,C21,Capacity_Reservations!$D$5:$D$340,"NonProd",Capacity_Reservations!$F$5:$F$340,E21)</f>
        <v/>
      </c>
      <c r="L21" s="24">
        <f>MAX(0,F21-I21-J21)</f>
        <v/>
      </c>
      <c r="M21" s="24">
        <f>L21-K21</f>
        <v/>
      </c>
      <c r="N21" s="31" t="n">
        <v>50000</v>
      </c>
      <c r="O21" s="24">
        <f>SUMIFS(Capacity_Reservations!$I$5:$I$340,Capacity_Reservations!$B$5:$B$340,C21)</f>
        <v/>
      </c>
      <c r="P21" s="24">
        <f>N21-O21</f>
        <v/>
      </c>
    </row>
    <row r="22">
      <c r="A22" s="32" t="inlineStr">
        <is>
          <t>qg-chn-Eadsv6</t>
        </is>
      </c>
      <c r="B22" s="32" t="inlineStr">
        <is>
          <t>Switzerland North</t>
        </is>
      </c>
      <c r="C22" s="32" t="inlineStr">
        <is>
          <t>switzerlandnorth</t>
        </is>
      </c>
      <c r="D22" s="33" t="inlineStr">
        <is>
          <t>EU</t>
        </is>
      </c>
      <c r="E22" s="32" t="inlineStr">
        <is>
          <t>Eadsv6</t>
        </is>
      </c>
      <c r="F22" s="31" t="n">
        <v>5830</v>
      </c>
      <c r="G22" s="24">
        <f>SUMIFS(Capacity_Reservations!$I$5:$I$340,Capacity_Reservations!$B$5:$B$340,C22,Capacity_Reservations!$F$5:$F$340,E22)</f>
        <v/>
      </c>
      <c r="H22" s="24">
        <f>F22-G22</f>
        <v/>
      </c>
      <c r="I22" s="24">
        <f>SUMIFS(Capacity_Reservations!$K$5:$K$340,Capacity_Reservations!$B$5:$B$340,C22,Capacity_Reservations!$D$5:$D$340,"Prod",Capacity_Reservations!$F$5:$F$340,E22)</f>
        <v/>
      </c>
      <c r="J22" s="24">
        <f>SUMIFS(Capacity_Reservations!$K$5:$K$340,Capacity_Reservations!$B$5:$B$340,C22,Capacity_Reservations!$D$5:$D$340,"DR",Capacity_Reservations!$F$5:$F$340,E22)</f>
        <v/>
      </c>
      <c r="K22" s="24">
        <f>SUMIFS(Capacity_Reservations!$I$5:$I$340,Capacity_Reservations!$B$5:$B$340,C22,Capacity_Reservations!$D$5:$D$340,"NonProd",Capacity_Reservations!$F$5:$F$340,E22)</f>
        <v/>
      </c>
      <c r="L22" s="24">
        <f>MAX(0,F22-I22-J22)</f>
        <v/>
      </c>
      <c r="M22" s="24">
        <f>L22-K22</f>
        <v/>
      </c>
    </row>
    <row r="23">
      <c r="A23" s="32" t="inlineStr">
        <is>
          <t>qg-chn-Dadsv5</t>
        </is>
      </c>
      <c r="B23" s="32" t="inlineStr">
        <is>
          <t>Switzerland North</t>
        </is>
      </c>
      <c r="C23" s="32" t="inlineStr">
        <is>
          <t>switzerlandnorth</t>
        </is>
      </c>
      <c r="D23" s="33" t="inlineStr">
        <is>
          <t>EU</t>
        </is>
      </c>
      <c r="E23" s="32" t="inlineStr">
        <is>
          <t>Dadsv5</t>
        </is>
      </c>
      <c r="F23" s="31" t="n">
        <v>5622</v>
      </c>
      <c r="G23" s="24">
        <f>SUMIFS(Capacity_Reservations!$I$5:$I$340,Capacity_Reservations!$B$5:$B$340,C23,Capacity_Reservations!$F$5:$F$340,E23)</f>
        <v/>
      </c>
      <c r="H23" s="24">
        <f>F23-G23</f>
        <v/>
      </c>
      <c r="I23" s="24">
        <f>SUMIFS(Capacity_Reservations!$K$5:$K$340,Capacity_Reservations!$B$5:$B$340,C23,Capacity_Reservations!$D$5:$D$340,"Prod",Capacity_Reservations!$F$5:$F$340,E23)</f>
        <v/>
      </c>
      <c r="J23" s="24">
        <f>SUMIFS(Capacity_Reservations!$K$5:$K$340,Capacity_Reservations!$B$5:$B$340,C23,Capacity_Reservations!$D$5:$D$340,"DR",Capacity_Reservations!$F$5:$F$340,E23)</f>
        <v/>
      </c>
      <c r="K23" s="24">
        <f>SUMIFS(Capacity_Reservations!$I$5:$I$340,Capacity_Reservations!$B$5:$B$340,C23,Capacity_Reservations!$D$5:$D$340,"NonProd",Capacity_Reservations!$F$5:$F$340,E23)</f>
        <v/>
      </c>
      <c r="L23" s="24">
        <f>MAX(0,F23-I23-J23)</f>
        <v/>
      </c>
      <c r="M23" s="24">
        <f>L23-K23</f>
        <v/>
      </c>
    </row>
    <row r="24">
      <c r="A24" s="32" t="inlineStr">
        <is>
          <t>qg-chn-Dasv5</t>
        </is>
      </c>
      <c r="B24" s="32" t="inlineStr">
        <is>
          <t>Switzerland North</t>
        </is>
      </c>
      <c r="C24" s="32" t="inlineStr">
        <is>
          <t>switzerlandnorth</t>
        </is>
      </c>
      <c r="D24" s="33" t="inlineStr">
        <is>
          <t>EU</t>
        </is>
      </c>
      <c r="E24" s="32" t="inlineStr">
        <is>
          <t>Dasv5</t>
        </is>
      </c>
      <c r="F24" s="31" t="n">
        <v>5622</v>
      </c>
      <c r="G24" s="24">
        <f>SUMIFS(Capacity_Reservations!$I$5:$I$340,Capacity_Reservations!$B$5:$B$340,C24,Capacity_Reservations!$F$5:$F$340,E24)</f>
        <v/>
      </c>
      <c r="H24" s="24">
        <f>F24-G24</f>
        <v/>
      </c>
      <c r="I24" s="24">
        <f>SUMIFS(Capacity_Reservations!$K$5:$K$340,Capacity_Reservations!$B$5:$B$340,C24,Capacity_Reservations!$D$5:$D$340,"Prod",Capacity_Reservations!$F$5:$F$340,E24)</f>
        <v/>
      </c>
      <c r="J24" s="24">
        <f>SUMIFS(Capacity_Reservations!$K$5:$K$340,Capacity_Reservations!$B$5:$B$340,C24,Capacity_Reservations!$D$5:$D$340,"DR",Capacity_Reservations!$F$5:$F$340,E24)</f>
        <v/>
      </c>
      <c r="K24" s="24">
        <f>SUMIFS(Capacity_Reservations!$I$5:$I$340,Capacity_Reservations!$B$5:$B$340,C24,Capacity_Reservations!$D$5:$D$340,"NonProd",Capacity_Reservations!$F$5:$F$340,E24)</f>
        <v/>
      </c>
      <c r="L24" s="24">
        <f>MAX(0,F24-I24-J24)</f>
        <v/>
      </c>
      <c r="M24" s="24">
        <f>L24-K24</f>
        <v/>
      </c>
    </row>
    <row r="25">
      <c r="A25" s="32" t="inlineStr">
        <is>
          <t>qg-sec-Eadsv5</t>
        </is>
      </c>
      <c r="B25" s="32" t="inlineStr">
        <is>
          <t>Sweden Central</t>
        </is>
      </c>
      <c r="C25" s="32" t="inlineStr">
        <is>
          <t>swedencentral</t>
        </is>
      </c>
      <c r="D25" s="33" t="inlineStr">
        <is>
          <t>EU</t>
        </is>
      </c>
      <c r="E25" s="32" t="inlineStr">
        <is>
          <t>Eadsv5</t>
        </is>
      </c>
      <c r="F25" s="31" t="n">
        <v>7450</v>
      </c>
      <c r="G25" s="24">
        <f>SUMIFS(Capacity_Reservations!$I$5:$I$340,Capacity_Reservations!$B$5:$B$340,C25,Capacity_Reservations!$F$5:$F$340,E25)</f>
        <v/>
      </c>
      <c r="H25" s="24">
        <f>F25-G25</f>
        <v/>
      </c>
      <c r="I25" s="24">
        <f>SUMIFS(Capacity_Reservations!$K$5:$K$340,Capacity_Reservations!$B$5:$B$340,C25,Capacity_Reservations!$D$5:$D$340,"Prod",Capacity_Reservations!$F$5:$F$340,E25)</f>
        <v/>
      </c>
      <c r="J25" s="24">
        <f>SUMIFS(Capacity_Reservations!$K$5:$K$340,Capacity_Reservations!$B$5:$B$340,C25,Capacity_Reservations!$D$5:$D$340,"DR",Capacity_Reservations!$F$5:$F$340,E25)</f>
        <v/>
      </c>
      <c r="K25" s="24">
        <f>SUMIFS(Capacity_Reservations!$I$5:$I$340,Capacity_Reservations!$B$5:$B$340,C25,Capacity_Reservations!$D$5:$D$340,"NonProd",Capacity_Reservations!$F$5:$F$340,E25)</f>
        <v/>
      </c>
      <c r="L25" s="24">
        <f>MAX(0,F25-I25-J25)</f>
        <v/>
      </c>
      <c r="M25" s="24">
        <f>L25-K25</f>
        <v/>
      </c>
      <c r="N25" s="31" t="n">
        <v>50000</v>
      </c>
      <c r="O25" s="24">
        <f>SUMIFS(Capacity_Reservations!$I$5:$I$340,Capacity_Reservations!$B$5:$B$340,C25)</f>
        <v/>
      </c>
      <c r="P25" s="24">
        <f>N25-O25</f>
        <v/>
      </c>
    </row>
    <row r="26">
      <c r="A26" s="32" t="inlineStr">
        <is>
          <t>qg-sec-Eadsv6</t>
        </is>
      </c>
      <c r="B26" s="32" t="inlineStr">
        <is>
          <t>Sweden Central</t>
        </is>
      </c>
      <c r="C26" s="32" t="inlineStr">
        <is>
          <t>swedencentral</t>
        </is>
      </c>
      <c r="D26" s="33" t="inlineStr">
        <is>
          <t>EU</t>
        </is>
      </c>
      <c r="E26" s="32" t="inlineStr">
        <is>
          <t>Eadsv6</t>
        </is>
      </c>
      <c r="F26" s="31" t="n">
        <v>5700</v>
      </c>
      <c r="G26" s="24">
        <f>SUMIFS(Capacity_Reservations!$I$5:$I$340,Capacity_Reservations!$B$5:$B$340,C26,Capacity_Reservations!$F$5:$F$340,E26)</f>
        <v/>
      </c>
      <c r="H26" s="24">
        <f>F26-G26</f>
        <v/>
      </c>
      <c r="I26" s="24">
        <f>SUMIFS(Capacity_Reservations!$K$5:$K$340,Capacity_Reservations!$B$5:$B$340,C26,Capacity_Reservations!$D$5:$D$340,"Prod",Capacity_Reservations!$F$5:$F$340,E26)</f>
        <v/>
      </c>
      <c r="J26" s="24">
        <f>SUMIFS(Capacity_Reservations!$K$5:$K$340,Capacity_Reservations!$B$5:$B$340,C26,Capacity_Reservations!$D$5:$D$340,"DR",Capacity_Reservations!$F$5:$F$340,E26)</f>
        <v/>
      </c>
      <c r="K26" s="24">
        <f>SUMIFS(Capacity_Reservations!$I$5:$I$340,Capacity_Reservations!$B$5:$B$340,C26,Capacity_Reservations!$D$5:$D$340,"NonProd",Capacity_Reservations!$F$5:$F$340,E26)</f>
        <v/>
      </c>
      <c r="L26" s="24">
        <f>MAX(0,F26-I26-J26)</f>
        <v/>
      </c>
      <c r="M26" s="24">
        <f>L26-K26</f>
        <v/>
      </c>
    </row>
    <row r="27">
      <c r="A27" s="32" t="inlineStr">
        <is>
          <t>qg-sec-Dadsv5</t>
        </is>
      </c>
      <c r="B27" s="32" t="inlineStr">
        <is>
          <t>Sweden Central</t>
        </is>
      </c>
      <c r="C27" s="32" t="inlineStr">
        <is>
          <t>swedencentral</t>
        </is>
      </c>
      <c r="D27" s="33" t="inlineStr">
        <is>
          <t>EU</t>
        </is>
      </c>
      <c r="E27" s="32" t="inlineStr">
        <is>
          <t>Dadsv5</t>
        </is>
      </c>
      <c r="F27" s="31" t="n">
        <v>5525</v>
      </c>
      <c r="G27" s="24">
        <f>SUMIFS(Capacity_Reservations!$I$5:$I$340,Capacity_Reservations!$B$5:$B$340,C27,Capacity_Reservations!$F$5:$F$340,E27)</f>
        <v/>
      </c>
      <c r="H27" s="24">
        <f>F27-G27</f>
        <v/>
      </c>
      <c r="I27" s="24">
        <f>SUMIFS(Capacity_Reservations!$K$5:$K$340,Capacity_Reservations!$B$5:$B$340,C27,Capacity_Reservations!$D$5:$D$340,"Prod",Capacity_Reservations!$F$5:$F$340,E27)</f>
        <v/>
      </c>
      <c r="J27" s="24">
        <f>SUMIFS(Capacity_Reservations!$K$5:$K$340,Capacity_Reservations!$B$5:$B$340,C27,Capacity_Reservations!$D$5:$D$340,"DR",Capacity_Reservations!$F$5:$F$340,E27)</f>
        <v/>
      </c>
      <c r="K27" s="24">
        <f>SUMIFS(Capacity_Reservations!$I$5:$I$340,Capacity_Reservations!$B$5:$B$340,C27,Capacity_Reservations!$D$5:$D$340,"NonProd",Capacity_Reservations!$F$5:$F$340,E27)</f>
        <v/>
      </c>
      <c r="L27" s="24">
        <f>MAX(0,F27-I27-J27)</f>
        <v/>
      </c>
      <c r="M27" s="24">
        <f>L27-K27</f>
        <v/>
      </c>
    </row>
    <row r="28">
      <c r="A28" s="32" t="inlineStr">
        <is>
          <t>qg-sec-Dasv5</t>
        </is>
      </c>
      <c r="B28" s="32" t="inlineStr">
        <is>
          <t>Sweden Central</t>
        </is>
      </c>
      <c r="C28" s="32" t="inlineStr">
        <is>
          <t>swedencentral</t>
        </is>
      </c>
      <c r="D28" s="33" t="inlineStr">
        <is>
          <t>EU</t>
        </is>
      </c>
      <c r="E28" s="32" t="inlineStr">
        <is>
          <t>Dasv5</t>
        </is>
      </c>
      <c r="F28" s="31" t="n">
        <v>5525</v>
      </c>
      <c r="G28" s="24">
        <f>SUMIFS(Capacity_Reservations!$I$5:$I$340,Capacity_Reservations!$B$5:$B$340,C28,Capacity_Reservations!$F$5:$F$340,E28)</f>
        <v/>
      </c>
      <c r="H28" s="24">
        <f>F28-G28</f>
        <v/>
      </c>
      <c r="I28" s="24">
        <f>SUMIFS(Capacity_Reservations!$K$5:$K$340,Capacity_Reservations!$B$5:$B$340,C28,Capacity_Reservations!$D$5:$D$340,"Prod",Capacity_Reservations!$F$5:$F$340,E28)</f>
        <v/>
      </c>
      <c r="J28" s="24">
        <f>SUMIFS(Capacity_Reservations!$K$5:$K$340,Capacity_Reservations!$B$5:$B$340,C28,Capacity_Reservations!$D$5:$D$340,"DR",Capacity_Reservations!$F$5:$F$340,E28)</f>
        <v/>
      </c>
      <c r="K28" s="24">
        <f>SUMIFS(Capacity_Reservations!$I$5:$I$340,Capacity_Reservations!$B$5:$B$340,C28,Capacity_Reservations!$D$5:$D$340,"NonProd",Capacity_Reservations!$F$5:$F$340,E28)</f>
        <v/>
      </c>
      <c r="L28" s="24">
        <f>MAX(0,F28-I28-J28)</f>
        <v/>
      </c>
      <c r="M28" s="24">
        <f>L28-K28</f>
        <v/>
      </c>
    </row>
    <row r="29">
      <c r="A29" s="32" t="inlineStr">
        <is>
          <t>qg-neu-Eadsv5</t>
        </is>
      </c>
      <c r="B29" s="32" t="inlineStr">
        <is>
          <t>North Europe</t>
        </is>
      </c>
      <c r="C29" s="32" t="inlineStr">
        <is>
          <t>northeurope</t>
        </is>
      </c>
      <c r="D29" s="33" t="inlineStr">
        <is>
          <t>EU</t>
        </is>
      </c>
      <c r="E29" s="32" t="inlineStr">
        <is>
          <t>Eadsv5</t>
        </is>
      </c>
      <c r="F29" s="31" t="n">
        <v>7135</v>
      </c>
      <c r="G29" s="24">
        <f>SUMIFS(Capacity_Reservations!$I$5:$I$340,Capacity_Reservations!$B$5:$B$340,C29,Capacity_Reservations!$F$5:$F$340,E29)</f>
        <v/>
      </c>
      <c r="H29" s="24">
        <f>F29-G29</f>
        <v/>
      </c>
      <c r="I29" s="24">
        <f>SUMIFS(Capacity_Reservations!$K$5:$K$340,Capacity_Reservations!$B$5:$B$340,C29,Capacity_Reservations!$D$5:$D$340,"Prod",Capacity_Reservations!$F$5:$F$340,E29)</f>
        <v/>
      </c>
      <c r="J29" s="24">
        <f>SUMIFS(Capacity_Reservations!$K$5:$K$340,Capacity_Reservations!$B$5:$B$340,C29,Capacity_Reservations!$D$5:$D$340,"DR",Capacity_Reservations!$F$5:$F$340,E29)</f>
        <v/>
      </c>
      <c r="K29" s="24">
        <f>SUMIFS(Capacity_Reservations!$I$5:$I$340,Capacity_Reservations!$B$5:$B$340,C29,Capacity_Reservations!$D$5:$D$340,"NonProd",Capacity_Reservations!$F$5:$F$340,E29)</f>
        <v/>
      </c>
      <c r="L29" s="24">
        <f>MAX(0,F29-I29-J29)</f>
        <v/>
      </c>
      <c r="M29" s="24">
        <f>L29-K29</f>
        <v/>
      </c>
      <c r="N29" s="31" t="n">
        <v>50000</v>
      </c>
      <c r="O29" s="24">
        <f>SUMIFS(Capacity_Reservations!$I$5:$I$340,Capacity_Reservations!$B$5:$B$340,C29)</f>
        <v/>
      </c>
      <c r="P29" s="24">
        <f>N29-O29</f>
        <v/>
      </c>
    </row>
    <row r="30">
      <c r="A30" s="32" t="inlineStr">
        <is>
          <t>qg-neu-Eadsv6</t>
        </is>
      </c>
      <c r="B30" s="32" t="inlineStr">
        <is>
          <t>North Europe</t>
        </is>
      </c>
      <c r="C30" s="32" t="inlineStr">
        <is>
          <t>northeurope</t>
        </is>
      </c>
      <c r="D30" s="33" t="inlineStr">
        <is>
          <t>EU</t>
        </is>
      </c>
      <c r="E30" s="32" t="inlineStr">
        <is>
          <t>Eadsv6</t>
        </is>
      </c>
      <c r="F30" s="31" t="n">
        <v>5610</v>
      </c>
      <c r="G30" s="24">
        <f>SUMIFS(Capacity_Reservations!$I$5:$I$340,Capacity_Reservations!$B$5:$B$340,C30,Capacity_Reservations!$F$5:$F$340,E30)</f>
        <v/>
      </c>
      <c r="H30" s="24">
        <f>F30-G30</f>
        <v/>
      </c>
      <c r="I30" s="24">
        <f>SUMIFS(Capacity_Reservations!$K$5:$K$340,Capacity_Reservations!$B$5:$B$340,C30,Capacity_Reservations!$D$5:$D$340,"Prod",Capacity_Reservations!$F$5:$F$340,E30)</f>
        <v/>
      </c>
      <c r="J30" s="24">
        <f>SUMIFS(Capacity_Reservations!$K$5:$K$340,Capacity_Reservations!$B$5:$B$340,C30,Capacity_Reservations!$D$5:$D$340,"DR",Capacity_Reservations!$F$5:$F$340,E30)</f>
        <v/>
      </c>
      <c r="K30" s="24">
        <f>SUMIFS(Capacity_Reservations!$I$5:$I$340,Capacity_Reservations!$B$5:$B$340,C30,Capacity_Reservations!$D$5:$D$340,"NonProd",Capacity_Reservations!$F$5:$F$340,E30)</f>
        <v/>
      </c>
      <c r="L30" s="24">
        <f>MAX(0,F30-I30-J30)</f>
        <v/>
      </c>
      <c r="M30" s="24">
        <f>L30-K30</f>
        <v/>
      </c>
    </row>
    <row r="31">
      <c r="A31" s="32" t="inlineStr">
        <is>
          <t>qg-neu-Dadsv5</t>
        </is>
      </c>
      <c r="B31" s="32" t="inlineStr">
        <is>
          <t>North Europe</t>
        </is>
      </c>
      <c r="C31" s="32" t="inlineStr">
        <is>
          <t>northeurope</t>
        </is>
      </c>
      <c r="D31" s="33" t="inlineStr">
        <is>
          <t>EU</t>
        </is>
      </c>
      <c r="E31" s="32" t="inlineStr">
        <is>
          <t>Dadsv5</t>
        </is>
      </c>
      <c r="F31" s="31" t="n">
        <v>5458</v>
      </c>
      <c r="G31" s="24">
        <f>SUMIFS(Capacity_Reservations!$I$5:$I$340,Capacity_Reservations!$B$5:$B$340,C31,Capacity_Reservations!$F$5:$F$340,E31)</f>
        <v/>
      </c>
      <c r="H31" s="24">
        <f>F31-G31</f>
        <v/>
      </c>
      <c r="I31" s="24">
        <f>SUMIFS(Capacity_Reservations!$K$5:$K$340,Capacity_Reservations!$B$5:$B$340,C31,Capacity_Reservations!$D$5:$D$340,"Prod",Capacity_Reservations!$F$5:$F$340,E31)</f>
        <v/>
      </c>
      <c r="J31" s="24">
        <f>SUMIFS(Capacity_Reservations!$K$5:$K$340,Capacity_Reservations!$B$5:$B$340,C31,Capacity_Reservations!$D$5:$D$340,"DR",Capacity_Reservations!$F$5:$F$340,E31)</f>
        <v/>
      </c>
      <c r="K31" s="24">
        <f>SUMIFS(Capacity_Reservations!$I$5:$I$340,Capacity_Reservations!$B$5:$B$340,C31,Capacity_Reservations!$D$5:$D$340,"NonProd",Capacity_Reservations!$F$5:$F$340,E31)</f>
        <v/>
      </c>
      <c r="L31" s="24">
        <f>MAX(0,F31-I31-J31)</f>
        <v/>
      </c>
      <c r="M31" s="24">
        <f>L31-K31</f>
        <v/>
      </c>
    </row>
    <row r="32">
      <c r="A32" s="32" t="inlineStr">
        <is>
          <t>qg-neu-Dasv5</t>
        </is>
      </c>
      <c r="B32" s="32" t="inlineStr">
        <is>
          <t>North Europe</t>
        </is>
      </c>
      <c r="C32" s="32" t="inlineStr">
        <is>
          <t>northeurope</t>
        </is>
      </c>
      <c r="D32" s="33" t="inlineStr">
        <is>
          <t>EU</t>
        </is>
      </c>
      <c r="E32" s="32" t="inlineStr">
        <is>
          <t>Dasv5</t>
        </is>
      </c>
      <c r="F32" s="31" t="n">
        <v>5458</v>
      </c>
      <c r="G32" s="24">
        <f>SUMIFS(Capacity_Reservations!$I$5:$I$340,Capacity_Reservations!$B$5:$B$340,C32,Capacity_Reservations!$F$5:$F$340,E32)</f>
        <v/>
      </c>
      <c r="H32" s="24">
        <f>F32-G32</f>
        <v/>
      </c>
      <c r="I32" s="24">
        <f>SUMIFS(Capacity_Reservations!$K$5:$K$340,Capacity_Reservations!$B$5:$B$340,C32,Capacity_Reservations!$D$5:$D$340,"Prod",Capacity_Reservations!$F$5:$F$340,E32)</f>
        <v/>
      </c>
      <c r="J32" s="24">
        <f>SUMIFS(Capacity_Reservations!$K$5:$K$340,Capacity_Reservations!$B$5:$B$340,C32,Capacity_Reservations!$D$5:$D$340,"DR",Capacity_Reservations!$F$5:$F$340,E32)</f>
        <v/>
      </c>
      <c r="K32" s="24">
        <f>SUMIFS(Capacity_Reservations!$I$5:$I$340,Capacity_Reservations!$B$5:$B$340,C32,Capacity_Reservations!$D$5:$D$340,"NonProd",Capacity_Reservations!$F$5:$F$340,E32)</f>
        <v/>
      </c>
      <c r="L32" s="24">
        <f>MAX(0,F32-I32-J32)</f>
        <v/>
      </c>
      <c r="M32" s="24">
        <f>L32-K32</f>
        <v/>
      </c>
    </row>
    <row r="33">
      <c r="A33" s="32" t="inlineStr">
        <is>
          <t>qg-weu-Eadsv5</t>
        </is>
      </c>
      <c r="B33" s="32" t="inlineStr">
        <is>
          <t>West Europe</t>
        </is>
      </c>
      <c r="C33" s="32" t="inlineStr">
        <is>
          <t>westeurope</t>
        </is>
      </c>
      <c r="D33" s="33" t="inlineStr">
        <is>
          <t>EU</t>
        </is>
      </c>
      <c r="E33" s="32" t="inlineStr">
        <is>
          <t>Eadsv5</t>
        </is>
      </c>
      <c r="F33" s="31" t="n">
        <v>7506</v>
      </c>
      <c r="G33" s="24">
        <f>SUMIFS(Capacity_Reservations!$I$5:$I$340,Capacity_Reservations!$B$5:$B$340,C33,Capacity_Reservations!$F$5:$F$340,E33)</f>
        <v/>
      </c>
      <c r="H33" s="24">
        <f>F33-G33</f>
        <v/>
      </c>
      <c r="I33" s="24">
        <f>SUMIFS(Capacity_Reservations!$K$5:$K$340,Capacity_Reservations!$B$5:$B$340,C33,Capacity_Reservations!$D$5:$D$340,"Prod",Capacity_Reservations!$F$5:$F$340,E33)</f>
        <v/>
      </c>
      <c r="J33" s="24">
        <f>SUMIFS(Capacity_Reservations!$K$5:$K$340,Capacity_Reservations!$B$5:$B$340,C33,Capacity_Reservations!$D$5:$D$340,"DR",Capacity_Reservations!$F$5:$F$340,E33)</f>
        <v/>
      </c>
      <c r="K33" s="24">
        <f>SUMIFS(Capacity_Reservations!$I$5:$I$340,Capacity_Reservations!$B$5:$B$340,C33,Capacity_Reservations!$D$5:$D$340,"NonProd",Capacity_Reservations!$F$5:$F$340,E33)</f>
        <v/>
      </c>
      <c r="L33" s="24">
        <f>MAX(0,F33-I33-J33)</f>
        <v/>
      </c>
      <c r="M33" s="24">
        <f>L33-K33</f>
        <v/>
      </c>
      <c r="N33" s="31" t="n">
        <v>50000</v>
      </c>
      <c r="O33" s="24">
        <f>SUMIFS(Capacity_Reservations!$I$5:$I$340,Capacity_Reservations!$B$5:$B$340,C33)</f>
        <v/>
      </c>
      <c r="P33" s="24">
        <f>N33-O33</f>
        <v/>
      </c>
    </row>
    <row r="34">
      <c r="A34" s="32" t="inlineStr">
        <is>
          <t>qg-weu-Eadsv6</t>
        </is>
      </c>
      <c r="B34" s="32" t="inlineStr">
        <is>
          <t>West Europe</t>
        </is>
      </c>
      <c r="C34" s="32" t="inlineStr">
        <is>
          <t>westeurope</t>
        </is>
      </c>
      <c r="D34" s="33" t="inlineStr">
        <is>
          <t>EU</t>
        </is>
      </c>
      <c r="E34" s="32" t="inlineStr">
        <is>
          <t>Eadsv6</t>
        </is>
      </c>
      <c r="F34" s="31" t="n">
        <v>5716</v>
      </c>
      <c r="G34" s="24">
        <f>SUMIFS(Capacity_Reservations!$I$5:$I$340,Capacity_Reservations!$B$5:$B$340,C34,Capacity_Reservations!$F$5:$F$340,E34)</f>
        <v/>
      </c>
      <c r="H34" s="24">
        <f>F34-G34</f>
        <v/>
      </c>
      <c r="I34" s="24">
        <f>SUMIFS(Capacity_Reservations!$K$5:$K$340,Capacity_Reservations!$B$5:$B$340,C34,Capacity_Reservations!$D$5:$D$340,"Prod",Capacity_Reservations!$F$5:$F$340,E34)</f>
        <v/>
      </c>
      <c r="J34" s="24">
        <f>SUMIFS(Capacity_Reservations!$K$5:$K$340,Capacity_Reservations!$B$5:$B$340,C34,Capacity_Reservations!$D$5:$D$340,"DR",Capacity_Reservations!$F$5:$F$340,E34)</f>
        <v/>
      </c>
      <c r="K34" s="24">
        <f>SUMIFS(Capacity_Reservations!$I$5:$I$340,Capacity_Reservations!$B$5:$B$340,C34,Capacity_Reservations!$D$5:$D$340,"NonProd",Capacity_Reservations!$F$5:$F$340,E34)</f>
        <v/>
      </c>
      <c r="L34" s="24">
        <f>MAX(0,F34-I34-J34)</f>
        <v/>
      </c>
      <c r="M34" s="24">
        <f>L34-K34</f>
        <v/>
      </c>
    </row>
    <row r="35">
      <c r="A35" s="32" t="inlineStr">
        <is>
          <t>qg-weu-Dadsv5</t>
        </is>
      </c>
      <c r="B35" s="32" t="inlineStr">
        <is>
          <t>West Europe</t>
        </is>
      </c>
      <c r="C35" s="32" t="inlineStr">
        <is>
          <t>westeurope</t>
        </is>
      </c>
      <c r="D35" s="33" t="inlineStr">
        <is>
          <t>EU</t>
        </is>
      </c>
      <c r="E35" s="32" t="inlineStr">
        <is>
          <t>Dadsv5</t>
        </is>
      </c>
      <c r="F35" s="31" t="n">
        <v>5537</v>
      </c>
      <c r="G35" s="24">
        <f>SUMIFS(Capacity_Reservations!$I$5:$I$340,Capacity_Reservations!$B$5:$B$340,C35,Capacity_Reservations!$F$5:$F$340,E35)</f>
        <v/>
      </c>
      <c r="H35" s="24">
        <f>F35-G35</f>
        <v/>
      </c>
      <c r="I35" s="24">
        <f>SUMIFS(Capacity_Reservations!$K$5:$K$340,Capacity_Reservations!$B$5:$B$340,C35,Capacity_Reservations!$D$5:$D$340,"Prod",Capacity_Reservations!$F$5:$F$340,E35)</f>
        <v/>
      </c>
      <c r="J35" s="24">
        <f>SUMIFS(Capacity_Reservations!$K$5:$K$340,Capacity_Reservations!$B$5:$B$340,C35,Capacity_Reservations!$D$5:$D$340,"DR",Capacity_Reservations!$F$5:$F$340,E35)</f>
        <v/>
      </c>
      <c r="K35" s="24">
        <f>SUMIFS(Capacity_Reservations!$I$5:$I$340,Capacity_Reservations!$B$5:$B$340,C35,Capacity_Reservations!$D$5:$D$340,"NonProd",Capacity_Reservations!$F$5:$F$340,E35)</f>
        <v/>
      </c>
      <c r="L35" s="24">
        <f>MAX(0,F35-I35-J35)</f>
        <v/>
      </c>
      <c r="M35" s="24">
        <f>L35-K35</f>
        <v/>
      </c>
    </row>
    <row r="36">
      <c r="A36" s="32" t="inlineStr">
        <is>
          <t>qg-weu-Dasv5</t>
        </is>
      </c>
      <c r="B36" s="32" t="inlineStr">
        <is>
          <t>West Europe</t>
        </is>
      </c>
      <c r="C36" s="32" t="inlineStr">
        <is>
          <t>westeurope</t>
        </is>
      </c>
      <c r="D36" s="33" t="inlineStr">
        <is>
          <t>EU</t>
        </is>
      </c>
      <c r="E36" s="32" t="inlineStr">
        <is>
          <t>Dasv5</t>
        </is>
      </c>
      <c r="F36" s="31" t="n">
        <v>5537</v>
      </c>
      <c r="G36" s="24">
        <f>SUMIFS(Capacity_Reservations!$I$5:$I$340,Capacity_Reservations!$B$5:$B$340,C36,Capacity_Reservations!$F$5:$F$340,E36)</f>
        <v/>
      </c>
      <c r="H36" s="24">
        <f>F36-G36</f>
        <v/>
      </c>
      <c r="I36" s="24">
        <f>SUMIFS(Capacity_Reservations!$K$5:$K$340,Capacity_Reservations!$B$5:$B$340,C36,Capacity_Reservations!$D$5:$D$340,"Prod",Capacity_Reservations!$F$5:$F$340,E36)</f>
        <v/>
      </c>
      <c r="J36" s="24">
        <f>SUMIFS(Capacity_Reservations!$K$5:$K$340,Capacity_Reservations!$B$5:$B$340,C36,Capacity_Reservations!$D$5:$D$340,"DR",Capacity_Reservations!$F$5:$F$340,E36)</f>
        <v/>
      </c>
      <c r="K36" s="24">
        <f>SUMIFS(Capacity_Reservations!$I$5:$I$340,Capacity_Reservations!$B$5:$B$340,C36,Capacity_Reservations!$D$5:$D$340,"NonProd",Capacity_Reservations!$F$5:$F$340,E36)</f>
        <v/>
      </c>
      <c r="L36" s="24">
        <f>MAX(0,F36-I36-J36)</f>
        <v/>
      </c>
      <c r="M36" s="24">
        <f>L36-K36</f>
        <v/>
      </c>
    </row>
    <row r="37">
      <c r="A37" s="32" t="inlineStr">
        <is>
          <t>qg-aue-Eadsv5</t>
        </is>
      </c>
      <c r="B37" s="32" t="inlineStr">
        <is>
          <t>Australia East</t>
        </is>
      </c>
      <c r="C37" s="32" t="inlineStr">
        <is>
          <t>australiaeast</t>
        </is>
      </c>
      <c r="D37" s="33" t="inlineStr">
        <is>
          <t>Australia</t>
        </is>
      </c>
      <c r="E37" s="32" t="inlineStr">
        <is>
          <t>Eadsv5</t>
        </is>
      </c>
      <c r="F37" s="31" t="n">
        <v>6764</v>
      </c>
      <c r="G37" s="24">
        <f>SUMIFS(Capacity_Reservations!$I$5:$I$340,Capacity_Reservations!$B$5:$B$340,C37,Capacity_Reservations!$F$5:$F$340,E37)</f>
        <v/>
      </c>
      <c r="H37" s="24">
        <f>F37-G37</f>
        <v/>
      </c>
      <c r="I37" s="24">
        <f>SUMIFS(Capacity_Reservations!$K$5:$K$340,Capacity_Reservations!$B$5:$B$340,C37,Capacity_Reservations!$D$5:$D$340,"Prod",Capacity_Reservations!$F$5:$F$340,E37)</f>
        <v/>
      </c>
      <c r="J37" s="24">
        <f>SUMIFS(Capacity_Reservations!$K$5:$K$340,Capacity_Reservations!$B$5:$B$340,C37,Capacity_Reservations!$D$5:$D$340,"DR",Capacity_Reservations!$F$5:$F$340,E37)</f>
        <v/>
      </c>
      <c r="K37" s="24">
        <f>SUMIFS(Capacity_Reservations!$I$5:$I$340,Capacity_Reservations!$B$5:$B$340,C37,Capacity_Reservations!$D$5:$D$340,"NonProd",Capacity_Reservations!$F$5:$F$340,E37)</f>
        <v/>
      </c>
      <c r="L37" s="24">
        <f>MAX(0,F37-I37-J37)</f>
        <v/>
      </c>
      <c r="M37" s="24">
        <f>L37-K37</f>
        <v/>
      </c>
      <c r="N37" s="31" t="n">
        <v>50000</v>
      </c>
      <c r="O37" s="24">
        <f>SUMIFS(Capacity_Reservations!$I$5:$I$340,Capacity_Reservations!$B$5:$B$340,C37)</f>
        <v/>
      </c>
      <c r="P37" s="24">
        <f>N37-O37</f>
        <v/>
      </c>
    </row>
    <row r="38">
      <c r="A38" s="32" t="inlineStr">
        <is>
          <t>qg-aue-Eadsv6</t>
        </is>
      </c>
      <c r="B38" s="32" t="inlineStr">
        <is>
          <t>Australia East</t>
        </is>
      </c>
      <c r="C38" s="32" t="inlineStr">
        <is>
          <t>australiaeast</t>
        </is>
      </c>
      <c r="D38" s="33" t="inlineStr">
        <is>
          <t>Australia</t>
        </is>
      </c>
      <c r="E38" s="32" t="inlineStr">
        <is>
          <t>Eadsv6</t>
        </is>
      </c>
      <c r="F38" s="31" t="n">
        <v>5504</v>
      </c>
      <c r="G38" s="24">
        <f>SUMIFS(Capacity_Reservations!$I$5:$I$340,Capacity_Reservations!$B$5:$B$340,C38,Capacity_Reservations!$F$5:$F$340,E38)</f>
        <v/>
      </c>
      <c r="H38" s="24">
        <f>F38-G38</f>
        <v/>
      </c>
      <c r="I38" s="24">
        <f>SUMIFS(Capacity_Reservations!$K$5:$K$340,Capacity_Reservations!$B$5:$B$340,C38,Capacity_Reservations!$D$5:$D$340,"Prod",Capacity_Reservations!$F$5:$F$340,E38)</f>
        <v/>
      </c>
      <c r="J38" s="24">
        <f>SUMIFS(Capacity_Reservations!$K$5:$K$340,Capacity_Reservations!$B$5:$B$340,C38,Capacity_Reservations!$D$5:$D$340,"DR",Capacity_Reservations!$F$5:$F$340,E38)</f>
        <v/>
      </c>
      <c r="K38" s="24">
        <f>SUMIFS(Capacity_Reservations!$I$5:$I$340,Capacity_Reservations!$B$5:$B$340,C38,Capacity_Reservations!$D$5:$D$340,"NonProd",Capacity_Reservations!$F$5:$F$340,E38)</f>
        <v/>
      </c>
      <c r="L38" s="24">
        <f>MAX(0,F38-I38-J38)</f>
        <v/>
      </c>
      <c r="M38" s="24">
        <f>L38-K38</f>
        <v/>
      </c>
    </row>
    <row r="39">
      <c r="A39" s="32" t="inlineStr">
        <is>
          <t>qg-aue-Dadsv5</t>
        </is>
      </c>
      <c r="B39" s="32" t="inlineStr">
        <is>
          <t>Australia East</t>
        </is>
      </c>
      <c r="C39" s="32" t="inlineStr">
        <is>
          <t>australiaeast</t>
        </is>
      </c>
      <c r="D39" s="33" t="inlineStr">
        <is>
          <t>Australia</t>
        </is>
      </c>
      <c r="E39" s="32" t="inlineStr">
        <is>
          <t>Dadsv5</t>
        </is>
      </c>
      <c r="F39" s="31" t="n">
        <v>5378</v>
      </c>
      <c r="G39" s="24">
        <f>SUMIFS(Capacity_Reservations!$I$5:$I$340,Capacity_Reservations!$B$5:$B$340,C39,Capacity_Reservations!$F$5:$F$340,E39)</f>
        <v/>
      </c>
      <c r="H39" s="24">
        <f>F39-G39</f>
        <v/>
      </c>
      <c r="I39" s="24">
        <f>SUMIFS(Capacity_Reservations!$K$5:$K$340,Capacity_Reservations!$B$5:$B$340,C39,Capacity_Reservations!$D$5:$D$340,"Prod",Capacity_Reservations!$F$5:$F$340,E39)</f>
        <v/>
      </c>
      <c r="J39" s="24">
        <f>SUMIFS(Capacity_Reservations!$K$5:$K$340,Capacity_Reservations!$B$5:$B$340,C39,Capacity_Reservations!$D$5:$D$340,"DR",Capacity_Reservations!$F$5:$F$340,E39)</f>
        <v/>
      </c>
      <c r="K39" s="24">
        <f>SUMIFS(Capacity_Reservations!$I$5:$I$340,Capacity_Reservations!$B$5:$B$340,C39,Capacity_Reservations!$D$5:$D$340,"NonProd",Capacity_Reservations!$F$5:$F$340,E39)</f>
        <v/>
      </c>
      <c r="L39" s="24">
        <f>MAX(0,F39-I39-J39)</f>
        <v/>
      </c>
      <c r="M39" s="24">
        <f>L39-K39</f>
        <v/>
      </c>
    </row>
    <row r="40">
      <c r="A40" s="32" t="inlineStr">
        <is>
          <t>qg-aue-Dasv5</t>
        </is>
      </c>
      <c r="B40" s="32" t="inlineStr">
        <is>
          <t>Australia East</t>
        </is>
      </c>
      <c r="C40" s="32" t="inlineStr">
        <is>
          <t>australiaeast</t>
        </is>
      </c>
      <c r="D40" s="33" t="inlineStr">
        <is>
          <t>Australia</t>
        </is>
      </c>
      <c r="E40" s="32" t="inlineStr">
        <is>
          <t>Dasv5</t>
        </is>
      </c>
      <c r="F40" s="31" t="n">
        <v>5378</v>
      </c>
      <c r="G40" s="24">
        <f>SUMIFS(Capacity_Reservations!$I$5:$I$340,Capacity_Reservations!$B$5:$B$340,C40,Capacity_Reservations!$F$5:$F$340,E40)</f>
        <v/>
      </c>
      <c r="H40" s="24">
        <f>F40-G40</f>
        <v/>
      </c>
      <c r="I40" s="24">
        <f>SUMIFS(Capacity_Reservations!$K$5:$K$340,Capacity_Reservations!$B$5:$B$340,C40,Capacity_Reservations!$D$5:$D$340,"Prod",Capacity_Reservations!$F$5:$F$340,E40)</f>
        <v/>
      </c>
      <c r="J40" s="24">
        <f>SUMIFS(Capacity_Reservations!$K$5:$K$340,Capacity_Reservations!$B$5:$B$340,C40,Capacity_Reservations!$D$5:$D$340,"DR",Capacity_Reservations!$F$5:$F$340,E40)</f>
        <v/>
      </c>
      <c r="K40" s="24">
        <f>SUMIFS(Capacity_Reservations!$I$5:$I$340,Capacity_Reservations!$B$5:$B$340,C40,Capacity_Reservations!$D$5:$D$340,"NonProd",Capacity_Reservations!$F$5:$F$340,E40)</f>
        <v/>
      </c>
      <c r="L40" s="24">
        <f>MAX(0,F40-I40-J40)</f>
        <v/>
      </c>
      <c r="M40" s="24">
        <f>L40-K40</f>
        <v/>
      </c>
    </row>
    <row r="41">
      <c r="A41" s="32" t="inlineStr">
        <is>
          <t>qg-aus-Eadsv5</t>
        </is>
      </c>
      <c r="B41" s="32" t="inlineStr">
        <is>
          <t>Australia Southeast</t>
        </is>
      </c>
      <c r="C41" s="32" t="inlineStr">
        <is>
          <t>australiasoutheast</t>
        </is>
      </c>
      <c r="D41" s="33" t="inlineStr">
        <is>
          <t>Australia</t>
        </is>
      </c>
      <c r="E41" s="32" t="inlineStr">
        <is>
          <t>Eadsv5</t>
        </is>
      </c>
      <c r="F41" s="31" t="n">
        <v>6330</v>
      </c>
      <c r="G41" s="24">
        <f>SUMIFS(Capacity_Reservations!$I$5:$I$340,Capacity_Reservations!$B$5:$B$340,C41,Capacity_Reservations!$F$5:$F$340,E41)</f>
        <v/>
      </c>
      <c r="H41" s="24">
        <f>F41-G41</f>
        <v/>
      </c>
      <c r="I41" s="24">
        <f>SUMIFS(Capacity_Reservations!$K$5:$K$340,Capacity_Reservations!$B$5:$B$340,C41,Capacity_Reservations!$D$5:$D$340,"Prod",Capacity_Reservations!$F$5:$F$340,E41)</f>
        <v/>
      </c>
      <c r="J41" s="24">
        <f>SUMIFS(Capacity_Reservations!$K$5:$K$340,Capacity_Reservations!$B$5:$B$340,C41,Capacity_Reservations!$D$5:$D$340,"DR",Capacity_Reservations!$F$5:$F$340,E41)</f>
        <v/>
      </c>
      <c r="K41" s="24">
        <f>SUMIFS(Capacity_Reservations!$I$5:$I$340,Capacity_Reservations!$B$5:$B$340,C41,Capacity_Reservations!$D$5:$D$340,"NonProd",Capacity_Reservations!$F$5:$F$340,E41)</f>
        <v/>
      </c>
      <c r="L41" s="24">
        <f>MAX(0,F41-I41-J41)</f>
        <v/>
      </c>
      <c r="M41" s="24">
        <f>L41-K41</f>
        <v/>
      </c>
      <c r="N41" s="31" t="n">
        <v>50000</v>
      </c>
      <c r="O41" s="24">
        <f>SUMIFS(Capacity_Reservations!$I$5:$I$340,Capacity_Reservations!$B$5:$B$340,C41)</f>
        <v/>
      </c>
      <c r="P41" s="24">
        <f>N41-O41</f>
        <v/>
      </c>
    </row>
    <row r="42">
      <c r="A42" s="32" t="inlineStr">
        <is>
          <t>qg-aus-Eadsv6</t>
        </is>
      </c>
      <c r="B42" s="32" t="inlineStr">
        <is>
          <t>Australia Southeast</t>
        </is>
      </c>
      <c r="C42" s="32" t="inlineStr">
        <is>
          <t>australiasoutheast</t>
        </is>
      </c>
      <c r="D42" s="33" t="inlineStr">
        <is>
          <t>Australia</t>
        </is>
      </c>
      <c r="E42" s="32" t="inlineStr">
        <is>
          <t>Eadsv6</t>
        </is>
      </c>
      <c r="F42" s="31" t="n">
        <v>5380</v>
      </c>
      <c r="G42" s="24">
        <f>SUMIFS(Capacity_Reservations!$I$5:$I$340,Capacity_Reservations!$B$5:$B$340,C42,Capacity_Reservations!$F$5:$F$340,E42)</f>
        <v/>
      </c>
      <c r="H42" s="24">
        <f>F42-G42</f>
        <v/>
      </c>
      <c r="I42" s="24">
        <f>SUMIFS(Capacity_Reservations!$K$5:$K$340,Capacity_Reservations!$B$5:$B$340,C42,Capacity_Reservations!$D$5:$D$340,"Prod",Capacity_Reservations!$F$5:$F$340,E42)</f>
        <v/>
      </c>
      <c r="J42" s="24">
        <f>SUMIFS(Capacity_Reservations!$K$5:$K$340,Capacity_Reservations!$B$5:$B$340,C42,Capacity_Reservations!$D$5:$D$340,"DR",Capacity_Reservations!$F$5:$F$340,E42)</f>
        <v/>
      </c>
      <c r="K42" s="24">
        <f>SUMIFS(Capacity_Reservations!$I$5:$I$340,Capacity_Reservations!$B$5:$B$340,C42,Capacity_Reservations!$D$5:$D$340,"NonProd",Capacity_Reservations!$F$5:$F$340,E42)</f>
        <v/>
      </c>
      <c r="L42" s="24">
        <f>MAX(0,F42-I42-J42)</f>
        <v/>
      </c>
      <c r="M42" s="24">
        <f>L42-K42</f>
        <v/>
      </c>
    </row>
    <row r="43">
      <c r="A43" s="32" t="inlineStr">
        <is>
          <t>qg-aus-Dadsv5</t>
        </is>
      </c>
      <c r="B43" s="32" t="inlineStr">
        <is>
          <t>Australia Southeast</t>
        </is>
      </c>
      <c r="C43" s="32" t="inlineStr">
        <is>
          <t>australiasoutheast</t>
        </is>
      </c>
      <c r="D43" s="33" t="inlineStr">
        <is>
          <t>Australia</t>
        </is>
      </c>
      <c r="E43" s="32" t="inlineStr">
        <is>
          <t>Dadsv5</t>
        </is>
      </c>
      <c r="F43" s="31" t="n">
        <v>5285</v>
      </c>
      <c r="G43" s="24">
        <f>SUMIFS(Capacity_Reservations!$I$5:$I$340,Capacity_Reservations!$B$5:$B$340,C43,Capacity_Reservations!$F$5:$F$340,E43)</f>
        <v/>
      </c>
      <c r="H43" s="24">
        <f>F43-G43</f>
        <v/>
      </c>
      <c r="I43" s="24">
        <f>SUMIFS(Capacity_Reservations!$K$5:$K$340,Capacity_Reservations!$B$5:$B$340,C43,Capacity_Reservations!$D$5:$D$340,"Prod",Capacity_Reservations!$F$5:$F$340,E43)</f>
        <v/>
      </c>
      <c r="J43" s="24">
        <f>SUMIFS(Capacity_Reservations!$K$5:$K$340,Capacity_Reservations!$B$5:$B$340,C43,Capacity_Reservations!$D$5:$D$340,"DR",Capacity_Reservations!$F$5:$F$340,E43)</f>
        <v/>
      </c>
      <c r="K43" s="24">
        <f>SUMIFS(Capacity_Reservations!$I$5:$I$340,Capacity_Reservations!$B$5:$B$340,C43,Capacity_Reservations!$D$5:$D$340,"NonProd",Capacity_Reservations!$F$5:$F$340,E43)</f>
        <v/>
      </c>
      <c r="L43" s="24">
        <f>MAX(0,F43-I43-J43)</f>
        <v/>
      </c>
      <c r="M43" s="24">
        <f>L43-K43</f>
        <v/>
      </c>
    </row>
    <row r="44">
      <c r="A44" s="32" t="inlineStr">
        <is>
          <t>qg-aus-Dasv5</t>
        </is>
      </c>
      <c r="B44" s="32" t="inlineStr">
        <is>
          <t>Australia Southeast</t>
        </is>
      </c>
      <c r="C44" s="32" t="inlineStr">
        <is>
          <t>australiasoutheast</t>
        </is>
      </c>
      <c r="D44" s="33" t="inlineStr">
        <is>
          <t>Australia</t>
        </is>
      </c>
      <c r="E44" s="32" t="inlineStr">
        <is>
          <t>Dasv5</t>
        </is>
      </c>
      <c r="F44" s="31" t="n">
        <v>5285</v>
      </c>
      <c r="G44" s="24">
        <f>SUMIFS(Capacity_Reservations!$I$5:$I$340,Capacity_Reservations!$B$5:$B$340,C44,Capacity_Reservations!$F$5:$F$340,E44)</f>
        <v/>
      </c>
      <c r="H44" s="24">
        <f>F44-G44</f>
        <v/>
      </c>
      <c r="I44" s="24">
        <f>SUMIFS(Capacity_Reservations!$K$5:$K$340,Capacity_Reservations!$B$5:$B$340,C44,Capacity_Reservations!$D$5:$D$340,"Prod",Capacity_Reservations!$F$5:$F$340,E44)</f>
        <v/>
      </c>
      <c r="J44" s="24">
        <f>SUMIFS(Capacity_Reservations!$K$5:$K$340,Capacity_Reservations!$B$5:$B$340,C44,Capacity_Reservations!$D$5:$D$340,"DR",Capacity_Reservations!$F$5:$F$340,E44)</f>
        <v/>
      </c>
      <c r="K44" s="24">
        <f>SUMIFS(Capacity_Reservations!$I$5:$I$340,Capacity_Reservations!$B$5:$B$340,C44,Capacity_Reservations!$D$5:$D$340,"NonProd",Capacity_Reservations!$F$5:$F$340,E44)</f>
        <v/>
      </c>
      <c r="L44" s="24">
        <f>MAX(0,F44-I44-J44)</f>
        <v/>
      </c>
      <c r="M44" s="24">
        <f>L44-K44</f>
        <v/>
      </c>
    </row>
    <row r="45">
      <c r="A45" s="32" t="inlineStr">
        <is>
          <t>qg-eas-Eadsv5</t>
        </is>
      </c>
      <c r="B45" s="32" t="inlineStr">
        <is>
          <t>East Asia</t>
        </is>
      </c>
      <c r="C45" s="32" t="inlineStr">
        <is>
          <t>eastasia</t>
        </is>
      </c>
      <c r="D45" s="33" t="inlineStr">
        <is>
          <t>Asia Pacific</t>
        </is>
      </c>
      <c r="E45" s="32" t="inlineStr">
        <is>
          <t>Eadsv5</t>
        </is>
      </c>
      <c r="F45" s="31" t="n">
        <v>6505</v>
      </c>
      <c r="G45" s="24">
        <f>SUMIFS(Capacity_Reservations!$I$5:$I$340,Capacity_Reservations!$B$5:$B$340,C45,Capacity_Reservations!$F$5:$F$340,E45)</f>
        <v/>
      </c>
      <c r="H45" s="24">
        <f>F45-G45</f>
        <v/>
      </c>
      <c r="I45" s="24">
        <f>SUMIFS(Capacity_Reservations!$K$5:$K$340,Capacity_Reservations!$B$5:$B$340,C45,Capacity_Reservations!$D$5:$D$340,"Prod",Capacity_Reservations!$F$5:$F$340,E45)</f>
        <v/>
      </c>
      <c r="J45" s="24">
        <f>SUMIFS(Capacity_Reservations!$K$5:$K$340,Capacity_Reservations!$B$5:$B$340,C45,Capacity_Reservations!$D$5:$D$340,"DR",Capacity_Reservations!$F$5:$F$340,E45)</f>
        <v/>
      </c>
      <c r="K45" s="24">
        <f>SUMIFS(Capacity_Reservations!$I$5:$I$340,Capacity_Reservations!$B$5:$B$340,C45,Capacity_Reservations!$D$5:$D$340,"NonProd",Capacity_Reservations!$F$5:$F$340,E45)</f>
        <v/>
      </c>
      <c r="L45" s="24">
        <f>MAX(0,F45-I45-J45)</f>
        <v/>
      </c>
      <c r="M45" s="24">
        <f>L45-K45</f>
        <v/>
      </c>
      <c r="N45" s="31" t="n">
        <v>50000</v>
      </c>
      <c r="O45" s="24">
        <f>SUMIFS(Capacity_Reservations!$I$5:$I$340,Capacity_Reservations!$B$5:$B$340,C45)</f>
        <v/>
      </c>
      <c r="P45" s="24">
        <f>N45-O45</f>
        <v/>
      </c>
    </row>
    <row r="46">
      <c r="A46" s="32" t="inlineStr">
        <is>
          <t>qg-eas-Eadsv6</t>
        </is>
      </c>
      <c r="B46" s="32" t="inlineStr">
        <is>
          <t>East Asia</t>
        </is>
      </c>
      <c r="C46" s="32" t="inlineStr">
        <is>
          <t>eastasia</t>
        </is>
      </c>
      <c r="D46" s="33" t="inlineStr">
        <is>
          <t>Asia Pacific</t>
        </is>
      </c>
      <c r="E46" s="32" t="inlineStr">
        <is>
          <t>Eadsv6</t>
        </is>
      </c>
      <c r="F46" s="31" t="n">
        <v>5430</v>
      </c>
      <c r="G46" s="24">
        <f>SUMIFS(Capacity_Reservations!$I$5:$I$340,Capacity_Reservations!$B$5:$B$340,C46,Capacity_Reservations!$F$5:$F$340,E46)</f>
        <v/>
      </c>
      <c r="H46" s="24">
        <f>F46-G46</f>
        <v/>
      </c>
      <c r="I46" s="24">
        <f>SUMIFS(Capacity_Reservations!$K$5:$K$340,Capacity_Reservations!$B$5:$B$340,C46,Capacity_Reservations!$D$5:$D$340,"Prod",Capacity_Reservations!$F$5:$F$340,E46)</f>
        <v/>
      </c>
      <c r="J46" s="24">
        <f>SUMIFS(Capacity_Reservations!$K$5:$K$340,Capacity_Reservations!$B$5:$B$340,C46,Capacity_Reservations!$D$5:$D$340,"DR",Capacity_Reservations!$F$5:$F$340,E46)</f>
        <v/>
      </c>
      <c r="K46" s="24">
        <f>SUMIFS(Capacity_Reservations!$I$5:$I$340,Capacity_Reservations!$B$5:$B$340,C46,Capacity_Reservations!$D$5:$D$340,"NonProd",Capacity_Reservations!$F$5:$F$340,E46)</f>
        <v/>
      </c>
      <c r="L46" s="24">
        <f>MAX(0,F46-I46-J46)</f>
        <v/>
      </c>
      <c r="M46" s="24">
        <f>L46-K46</f>
        <v/>
      </c>
    </row>
    <row r="47">
      <c r="A47" s="32" t="inlineStr">
        <is>
          <t>qg-eas-Dadsv5</t>
        </is>
      </c>
      <c r="B47" s="32" t="inlineStr">
        <is>
          <t>East Asia</t>
        </is>
      </c>
      <c r="C47" s="32" t="inlineStr">
        <is>
          <t>eastasia</t>
        </is>
      </c>
      <c r="D47" s="33" t="inlineStr">
        <is>
          <t>Asia Pacific</t>
        </is>
      </c>
      <c r="E47" s="32" t="inlineStr">
        <is>
          <t>Dadsv5</t>
        </is>
      </c>
      <c r="F47" s="31" t="n">
        <v>5323</v>
      </c>
      <c r="G47" s="24">
        <f>SUMIFS(Capacity_Reservations!$I$5:$I$340,Capacity_Reservations!$B$5:$B$340,C47,Capacity_Reservations!$F$5:$F$340,E47)</f>
        <v/>
      </c>
      <c r="H47" s="24">
        <f>F47-G47</f>
        <v/>
      </c>
      <c r="I47" s="24">
        <f>SUMIFS(Capacity_Reservations!$K$5:$K$340,Capacity_Reservations!$B$5:$B$340,C47,Capacity_Reservations!$D$5:$D$340,"Prod",Capacity_Reservations!$F$5:$F$340,E47)</f>
        <v/>
      </c>
      <c r="J47" s="24">
        <f>SUMIFS(Capacity_Reservations!$K$5:$K$340,Capacity_Reservations!$B$5:$B$340,C47,Capacity_Reservations!$D$5:$D$340,"DR",Capacity_Reservations!$F$5:$F$340,E47)</f>
        <v/>
      </c>
      <c r="K47" s="24">
        <f>SUMIFS(Capacity_Reservations!$I$5:$I$340,Capacity_Reservations!$B$5:$B$340,C47,Capacity_Reservations!$D$5:$D$340,"NonProd",Capacity_Reservations!$F$5:$F$340,E47)</f>
        <v/>
      </c>
      <c r="L47" s="24">
        <f>MAX(0,F47-I47-J47)</f>
        <v/>
      </c>
      <c r="M47" s="24">
        <f>L47-K47</f>
        <v/>
      </c>
    </row>
    <row r="48">
      <c r="A48" s="32" t="inlineStr">
        <is>
          <t>qg-eas-Dasv5</t>
        </is>
      </c>
      <c r="B48" s="32" t="inlineStr">
        <is>
          <t>East Asia</t>
        </is>
      </c>
      <c r="C48" s="32" t="inlineStr">
        <is>
          <t>eastasia</t>
        </is>
      </c>
      <c r="D48" s="33" t="inlineStr">
        <is>
          <t>Asia Pacific</t>
        </is>
      </c>
      <c r="E48" s="32" t="inlineStr">
        <is>
          <t>Dasv5</t>
        </is>
      </c>
      <c r="F48" s="31" t="n">
        <v>5323</v>
      </c>
      <c r="G48" s="24">
        <f>SUMIFS(Capacity_Reservations!$I$5:$I$340,Capacity_Reservations!$B$5:$B$340,C48,Capacity_Reservations!$F$5:$F$340,E48)</f>
        <v/>
      </c>
      <c r="H48" s="24">
        <f>F48-G48</f>
        <v/>
      </c>
      <c r="I48" s="24">
        <f>SUMIFS(Capacity_Reservations!$K$5:$K$340,Capacity_Reservations!$B$5:$B$340,C48,Capacity_Reservations!$D$5:$D$340,"Prod",Capacity_Reservations!$F$5:$F$340,E48)</f>
        <v/>
      </c>
      <c r="J48" s="24">
        <f>SUMIFS(Capacity_Reservations!$K$5:$K$340,Capacity_Reservations!$B$5:$B$340,C48,Capacity_Reservations!$D$5:$D$340,"DR",Capacity_Reservations!$F$5:$F$340,E48)</f>
        <v/>
      </c>
      <c r="K48" s="24">
        <f>SUMIFS(Capacity_Reservations!$I$5:$I$340,Capacity_Reservations!$B$5:$B$340,C48,Capacity_Reservations!$D$5:$D$340,"NonProd",Capacity_Reservations!$F$5:$F$340,E48)</f>
        <v/>
      </c>
      <c r="L48" s="24">
        <f>MAX(0,F48-I48-J48)</f>
        <v/>
      </c>
      <c r="M48" s="24">
        <f>L48-K48</f>
        <v/>
      </c>
    </row>
    <row r="49">
      <c r="A49" s="32" t="inlineStr">
        <is>
          <t>qg-sea-Eadsv5</t>
        </is>
      </c>
      <c r="B49" s="32" t="inlineStr">
        <is>
          <t>Southeast Asia</t>
        </is>
      </c>
      <c r="C49" s="32" t="inlineStr">
        <is>
          <t>southeastasia</t>
        </is>
      </c>
      <c r="D49" s="33" t="inlineStr">
        <is>
          <t>Asia Pacific</t>
        </is>
      </c>
      <c r="E49" s="32" t="inlineStr">
        <is>
          <t>Eadsv5</t>
        </is>
      </c>
      <c r="F49" s="31" t="n">
        <v>6918</v>
      </c>
      <c r="G49" s="24">
        <f>SUMIFS(Capacity_Reservations!$I$5:$I$340,Capacity_Reservations!$B$5:$B$340,C49,Capacity_Reservations!$F$5:$F$340,E49)</f>
        <v/>
      </c>
      <c r="H49" s="24">
        <f>F49-G49</f>
        <v/>
      </c>
      <c r="I49" s="24">
        <f>SUMIFS(Capacity_Reservations!$K$5:$K$340,Capacity_Reservations!$B$5:$B$340,C49,Capacity_Reservations!$D$5:$D$340,"Prod",Capacity_Reservations!$F$5:$F$340,E49)</f>
        <v/>
      </c>
      <c r="J49" s="24">
        <f>SUMIFS(Capacity_Reservations!$K$5:$K$340,Capacity_Reservations!$B$5:$B$340,C49,Capacity_Reservations!$D$5:$D$340,"DR",Capacity_Reservations!$F$5:$F$340,E49)</f>
        <v/>
      </c>
      <c r="K49" s="24">
        <f>SUMIFS(Capacity_Reservations!$I$5:$I$340,Capacity_Reservations!$B$5:$B$340,C49,Capacity_Reservations!$D$5:$D$340,"NonProd",Capacity_Reservations!$F$5:$F$340,E49)</f>
        <v/>
      </c>
      <c r="L49" s="24">
        <f>MAX(0,F49-I49-J49)</f>
        <v/>
      </c>
      <c r="M49" s="24">
        <f>L49-K49</f>
        <v/>
      </c>
      <c r="N49" s="31" t="n">
        <v>50000</v>
      </c>
      <c r="O49" s="24">
        <f>SUMIFS(Capacity_Reservations!$I$5:$I$340,Capacity_Reservations!$B$5:$B$340,C49)</f>
        <v/>
      </c>
      <c r="P49" s="24">
        <f>N49-O49</f>
        <v/>
      </c>
    </row>
    <row r="50">
      <c r="A50" s="32" t="inlineStr">
        <is>
          <t>qg-sea-Eadsv6</t>
        </is>
      </c>
      <c r="B50" s="32" t="inlineStr">
        <is>
          <t>Southeast Asia</t>
        </is>
      </c>
      <c r="C50" s="32" t="inlineStr">
        <is>
          <t>southeastasia</t>
        </is>
      </c>
      <c r="D50" s="33" t="inlineStr">
        <is>
          <t>Asia Pacific</t>
        </is>
      </c>
      <c r="E50" s="32" t="inlineStr">
        <is>
          <t>Eadsv6</t>
        </is>
      </c>
      <c r="F50" s="31" t="n">
        <v>5548</v>
      </c>
      <c r="G50" s="24">
        <f>SUMIFS(Capacity_Reservations!$I$5:$I$340,Capacity_Reservations!$B$5:$B$340,C50,Capacity_Reservations!$F$5:$F$340,E50)</f>
        <v/>
      </c>
      <c r="H50" s="24">
        <f>F50-G50</f>
        <v/>
      </c>
      <c r="I50" s="24">
        <f>SUMIFS(Capacity_Reservations!$K$5:$K$340,Capacity_Reservations!$B$5:$B$340,C50,Capacity_Reservations!$D$5:$D$340,"Prod",Capacity_Reservations!$F$5:$F$340,E50)</f>
        <v/>
      </c>
      <c r="J50" s="24">
        <f>SUMIFS(Capacity_Reservations!$K$5:$K$340,Capacity_Reservations!$B$5:$B$340,C50,Capacity_Reservations!$D$5:$D$340,"DR",Capacity_Reservations!$F$5:$F$340,E50)</f>
        <v/>
      </c>
      <c r="K50" s="24">
        <f>SUMIFS(Capacity_Reservations!$I$5:$I$340,Capacity_Reservations!$B$5:$B$340,C50,Capacity_Reservations!$D$5:$D$340,"NonProd",Capacity_Reservations!$F$5:$F$340,E50)</f>
        <v/>
      </c>
      <c r="L50" s="24">
        <f>MAX(0,F50-I50-J50)</f>
        <v/>
      </c>
      <c r="M50" s="24">
        <f>L50-K50</f>
        <v/>
      </c>
    </row>
    <row r="51">
      <c r="A51" s="32" t="inlineStr">
        <is>
          <t>qg-sea-Dadsv5</t>
        </is>
      </c>
      <c r="B51" s="32" t="inlineStr">
        <is>
          <t>Southeast Asia</t>
        </is>
      </c>
      <c r="C51" s="32" t="inlineStr">
        <is>
          <t>southeastasia</t>
        </is>
      </c>
      <c r="D51" s="33" t="inlineStr">
        <is>
          <t>Asia Pacific</t>
        </is>
      </c>
      <c r="E51" s="32" t="inlineStr">
        <is>
          <t>Dadsv5</t>
        </is>
      </c>
      <c r="F51" s="31" t="n">
        <v>5411</v>
      </c>
      <c r="G51" s="24">
        <f>SUMIFS(Capacity_Reservations!$I$5:$I$340,Capacity_Reservations!$B$5:$B$340,C51,Capacity_Reservations!$F$5:$F$340,E51)</f>
        <v/>
      </c>
      <c r="H51" s="24">
        <f>F51-G51</f>
        <v/>
      </c>
      <c r="I51" s="24">
        <f>SUMIFS(Capacity_Reservations!$K$5:$K$340,Capacity_Reservations!$B$5:$B$340,C51,Capacity_Reservations!$D$5:$D$340,"Prod",Capacity_Reservations!$F$5:$F$340,E51)</f>
        <v/>
      </c>
      <c r="J51" s="24">
        <f>SUMIFS(Capacity_Reservations!$K$5:$K$340,Capacity_Reservations!$B$5:$B$340,C51,Capacity_Reservations!$D$5:$D$340,"DR",Capacity_Reservations!$F$5:$F$340,E51)</f>
        <v/>
      </c>
      <c r="K51" s="24">
        <f>SUMIFS(Capacity_Reservations!$I$5:$I$340,Capacity_Reservations!$B$5:$B$340,C51,Capacity_Reservations!$D$5:$D$340,"NonProd",Capacity_Reservations!$F$5:$F$340,E51)</f>
        <v/>
      </c>
      <c r="L51" s="24">
        <f>MAX(0,F51-I51-J51)</f>
        <v/>
      </c>
      <c r="M51" s="24">
        <f>L51-K51</f>
        <v/>
      </c>
    </row>
    <row r="52">
      <c r="A52" s="32" t="inlineStr">
        <is>
          <t>qg-sea-Dasv5</t>
        </is>
      </c>
      <c r="B52" s="32" t="inlineStr">
        <is>
          <t>Southeast Asia</t>
        </is>
      </c>
      <c r="C52" s="32" t="inlineStr">
        <is>
          <t>southeastasia</t>
        </is>
      </c>
      <c r="D52" s="33" t="inlineStr">
        <is>
          <t>Asia Pacific</t>
        </is>
      </c>
      <c r="E52" s="32" t="inlineStr">
        <is>
          <t>Dasv5</t>
        </is>
      </c>
      <c r="F52" s="31" t="n">
        <v>5411</v>
      </c>
      <c r="G52" s="24">
        <f>SUMIFS(Capacity_Reservations!$I$5:$I$340,Capacity_Reservations!$B$5:$B$340,C52,Capacity_Reservations!$F$5:$F$340,E52)</f>
        <v/>
      </c>
      <c r="H52" s="24">
        <f>F52-G52</f>
        <v/>
      </c>
      <c r="I52" s="24">
        <f>SUMIFS(Capacity_Reservations!$K$5:$K$340,Capacity_Reservations!$B$5:$B$340,C52,Capacity_Reservations!$D$5:$D$340,"Prod",Capacity_Reservations!$F$5:$F$340,E52)</f>
        <v/>
      </c>
      <c r="J52" s="24">
        <f>SUMIFS(Capacity_Reservations!$K$5:$K$340,Capacity_Reservations!$B$5:$B$340,C52,Capacity_Reservations!$D$5:$D$340,"DR",Capacity_Reservations!$F$5:$F$340,E52)</f>
        <v/>
      </c>
      <c r="K52" s="24">
        <f>SUMIFS(Capacity_Reservations!$I$5:$I$340,Capacity_Reservations!$B$5:$B$340,C52,Capacity_Reservations!$D$5:$D$340,"NonProd",Capacity_Reservations!$F$5:$F$340,E52)</f>
        <v/>
      </c>
      <c r="L52" s="24">
        <f>MAX(0,F52-I52-J52)</f>
        <v/>
      </c>
      <c r="M52" s="24">
        <f>L52-K52</f>
        <v/>
      </c>
    </row>
    <row r="53">
      <c r="A53" s="32" t="inlineStr">
        <is>
          <t>qg-sac-Eadsv5</t>
        </is>
      </c>
      <c r="B53" s="32" t="inlineStr">
        <is>
          <t>Saudi Arabia Central</t>
        </is>
      </c>
      <c r="C53" s="32" t="inlineStr">
        <is>
          <t>saudicentral</t>
        </is>
      </c>
      <c r="D53" s="33" t="inlineStr">
        <is>
          <t>Middle East</t>
        </is>
      </c>
      <c r="E53" s="32" t="inlineStr">
        <is>
          <t>Eadsv5</t>
        </is>
      </c>
      <c r="F53" s="31" t="n">
        <v>5490</v>
      </c>
      <c r="G53" s="24">
        <f>SUMIFS(Capacity_Reservations!$I$5:$I$340,Capacity_Reservations!$B$5:$B$340,C53,Capacity_Reservations!$F$5:$F$340,E53)</f>
        <v/>
      </c>
      <c r="H53" s="24">
        <f>F53-G53</f>
        <v/>
      </c>
      <c r="I53" s="24">
        <f>SUMIFS(Capacity_Reservations!$K$5:$K$340,Capacity_Reservations!$B$5:$B$340,C53,Capacity_Reservations!$D$5:$D$340,"Prod",Capacity_Reservations!$F$5:$F$340,E53)</f>
        <v/>
      </c>
      <c r="J53" s="24">
        <f>SUMIFS(Capacity_Reservations!$K$5:$K$340,Capacity_Reservations!$B$5:$B$340,C53,Capacity_Reservations!$D$5:$D$340,"DR",Capacity_Reservations!$F$5:$F$340,E53)</f>
        <v/>
      </c>
      <c r="K53" s="24">
        <f>SUMIFS(Capacity_Reservations!$I$5:$I$340,Capacity_Reservations!$B$5:$B$340,C53,Capacity_Reservations!$D$5:$D$340,"NonProd",Capacity_Reservations!$F$5:$F$340,E53)</f>
        <v/>
      </c>
      <c r="L53" s="24">
        <f>MAX(0,F53-I53-J53)</f>
        <v/>
      </c>
      <c r="M53" s="24">
        <f>L53-K53</f>
        <v/>
      </c>
      <c r="N53" s="31" t="n">
        <v>50000</v>
      </c>
      <c r="O53" s="24">
        <f>SUMIFS(Capacity_Reservations!$I$5:$I$340,Capacity_Reservations!$B$5:$B$340,C53)</f>
        <v/>
      </c>
      <c r="P53" s="24">
        <f>N53-O53</f>
        <v/>
      </c>
    </row>
    <row r="54">
      <c r="A54" s="32" t="inlineStr">
        <is>
          <t>qg-sac-Eadsv6</t>
        </is>
      </c>
      <c r="B54" s="32" t="inlineStr">
        <is>
          <t>Saudi Arabia Central</t>
        </is>
      </c>
      <c r="C54" s="32" t="inlineStr">
        <is>
          <t>saudicentral</t>
        </is>
      </c>
      <c r="D54" s="33" t="inlineStr">
        <is>
          <t>Middle East</t>
        </is>
      </c>
      <c r="E54" s="32" t="inlineStr">
        <is>
          <t>Eadsv6</t>
        </is>
      </c>
      <c r="F54" s="31" t="n">
        <v>5140</v>
      </c>
      <c r="G54" s="24">
        <f>SUMIFS(Capacity_Reservations!$I$5:$I$340,Capacity_Reservations!$B$5:$B$340,C54,Capacity_Reservations!$F$5:$F$340,E54)</f>
        <v/>
      </c>
      <c r="H54" s="24">
        <f>F54-G54</f>
        <v/>
      </c>
      <c r="I54" s="24">
        <f>SUMIFS(Capacity_Reservations!$K$5:$K$340,Capacity_Reservations!$B$5:$B$340,C54,Capacity_Reservations!$D$5:$D$340,"Prod",Capacity_Reservations!$F$5:$F$340,E54)</f>
        <v/>
      </c>
      <c r="J54" s="24">
        <f>SUMIFS(Capacity_Reservations!$K$5:$K$340,Capacity_Reservations!$B$5:$B$340,C54,Capacity_Reservations!$D$5:$D$340,"DR",Capacity_Reservations!$F$5:$F$340,E54)</f>
        <v/>
      </c>
      <c r="K54" s="24">
        <f>SUMIFS(Capacity_Reservations!$I$5:$I$340,Capacity_Reservations!$B$5:$B$340,C54,Capacity_Reservations!$D$5:$D$340,"NonProd",Capacity_Reservations!$F$5:$F$340,E54)</f>
        <v/>
      </c>
      <c r="L54" s="24">
        <f>MAX(0,F54-I54-J54)</f>
        <v/>
      </c>
      <c r="M54" s="24">
        <f>L54-K54</f>
        <v/>
      </c>
    </row>
    <row r="55">
      <c r="A55" s="32" t="inlineStr">
        <is>
          <t>qg-sac-Dadsv5</t>
        </is>
      </c>
      <c r="B55" s="32" t="inlineStr">
        <is>
          <t>Saudi Arabia Central</t>
        </is>
      </c>
      <c r="C55" s="32" t="inlineStr">
        <is>
          <t>saudicentral</t>
        </is>
      </c>
      <c r="D55" s="33" t="inlineStr">
        <is>
          <t>Middle East</t>
        </is>
      </c>
      <c r="E55" s="32" t="inlineStr">
        <is>
          <t>Dadsv5</t>
        </is>
      </c>
      <c r="F55" s="31" t="n">
        <v>5105</v>
      </c>
      <c r="G55" s="24">
        <f>SUMIFS(Capacity_Reservations!$I$5:$I$340,Capacity_Reservations!$B$5:$B$340,C55,Capacity_Reservations!$F$5:$F$340,E55)</f>
        <v/>
      </c>
      <c r="H55" s="24">
        <f>F55-G55</f>
        <v/>
      </c>
      <c r="I55" s="24">
        <f>SUMIFS(Capacity_Reservations!$K$5:$K$340,Capacity_Reservations!$B$5:$B$340,C55,Capacity_Reservations!$D$5:$D$340,"Prod",Capacity_Reservations!$F$5:$F$340,E55)</f>
        <v/>
      </c>
      <c r="J55" s="24">
        <f>SUMIFS(Capacity_Reservations!$K$5:$K$340,Capacity_Reservations!$B$5:$B$340,C55,Capacity_Reservations!$D$5:$D$340,"DR",Capacity_Reservations!$F$5:$F$340,E55)</f>
        <v/>
      </c>
      <c r="K55" s="24">
        <f>SUMIFS(Capacity_Reservations!$I$5:$I$340,Capacity_Reservations!$B$5:$B$340,C55,Capacity_Reservations!$D$5:$D$340,"NonProd",Capacity_Reservations!$F$5:$F$340,E55)</f>
        <v/>
      </c>
      <c r="L55" s="24">
        <f>MAX(0,F55-I55-J55)</f>
        <v/>
      </c>
      <c r="M55" s="24">
        <f>L55-K55</f>
        <v/>
      </c>
    </row>
    <row r="56">
      <c r="A56" s="32" t="inlineStr">
        <is>
          <t>qg-sac-Dasv5</t>
        </is>
      </c>
      <c r="B56" s="32" t="inlineStr">
        <is>
          <t>Saudi Arabia Central</t>
        </is>
      </c>
      <c r="C56" s="32" t="inlineStr">
        <is>
          <t>saudicentral</t>
        </is>
      </c>
      <c r="D56" s="33" t="inlineStr">
        <is>
          <t>Middle East</t>
        </is>
      </c>
      <c r="E56" s="32" t="inlineStr">
        <is>
          <t>Dasv5</t>
        </is>
      </c>
      <c r="F56" s="31" t="n">
        <v>5105</v>
      </c>
      <c r="G56" s="24">
        <f>SUMIFS(Capacity_Reservations!$I$5:$I$340,Capacity_Reservations!$B$5:$B$340,C56,Capacity_Reservations!$F$5:$F$340,E56)</f>
        <v/>
      </c>
      <c r="H56" s="24">
        <f>F56-G56</f>
        <v/>
      </c>
      <c r="I56" s="24">
        <f>SUMIFS(Capacity_Reservations!$K$5:$K$340,Capacity_Reservations!$B$5:$B$340,C56,Capacity_Reservations!$D$5:$D$340,"Prod",Capacity_Reservations!$F$5:$F$340,E56)</f>
        <v/>
      </c>
      <c r="J56" s="24">
        <f>SUMIFS(Capacity_Reservations!$K$5:$K$340,Capacity_Reservations!$B$5:$B$340,C56,Capacity_Reservations!$D$5:$D$340,"DR",Capacity_Reservations!$F$5:$F$340,E56)</f>
        <v/>
      </c>
      <c r="K56" s="24">
        <f>SUMIFS(Capacity_Reservations!$I$5:$I$340,Capacity_Reservations!$B$5:$B$340,C56,Capacity_Reservations!$D$5:$D$340,"NonProd",Capacity_Reservations!$F$5:$F$340,E56)</f>
        <v/>
      </c>
      <c r="L56" s="24">
        <f>MAX(0,F56-I56-J56)</f>
        <v/>
      </c>
      <c r="M56" s="24">
        <f>L56-K56</f>
        <v/>
      </c>
    </row>
    <row r="57">
      <c r="A57" s="32" t="inlineStr">
        <is>
          <t>qg-uaen-Eadsv5</t>
        </is>
      </c>
      <c r="B57" s="32" t="inlineStr">
        <is>
          <t>UAE North</t>
        </is>
      </c>
      <c r="C57" s="32" t="inlineStr">
        <is>
          <t>uaenorth</t>
        </is>
      </c>
      <c r="D57" s="33" t="inlineStr">
        <is>
          <t>Middle East</t>
        </is>
      </c>
      <c r="E57" s="32" t="inlineStr">
        <is>
          <t>Eadsv5</t>
        </is>
      </c>
      <c r="F57" s="31" t="n">
        <v>5595</v>
      </c>
      <c r="G57" s="24">
        <f>SUMIFS(Capacity_Reservations!$I$5:$I$340,Capacity_Reservations!$B$5:$B$340,C57,Capacity_Reservations!$F$5:$F$340,E57)</f>
        <v/>
      </c>
      <c r="H57" s="24">
        <f>F57-G57</f>
        <v/>
      </c>
      <c r="I57" s="24">
        <f>SUMIFS(Capacity_Reservations!$K$5:$K$340,Capacity_Reservations!$B$5:$B$340,C57,Capacity_Reservations!$D$5:$D$340,"Prod",Capacity_Reservations!$F$5:$F$340,E57)</f>
        <v/>
      </c>
      <c r="J57" s="24">
        <f>SUMIFS(Capacity_Reservations!$K$5:$K$340,Capacity_Reservations!$B$5:$B$340,C57,Capacity_Reservations!$D$5:$D$340,"DR",Capacity_Reservations!$F$5:$F$340,E57)</f>
        <v/>
      </c>
      <c r="K57" s="24">
        <f>SUMIFS(Capacity_Reservations!$I$5:$I$340,Capacity_Reservations!$B$5:$B$340,C57,Capacity_Reservations!$D$5:$D$340,"NonProd",Capacity_Reservations!$F$5:$F$340,E57)</f>
        <v/>
      </c>
      <c r="L57" s="24">
        <f>MAX(0,F57-I57-J57)</f>
        <v/>
      </c>
      <c r="M57" s="24">
        <f>L57-K57</f>
        <v/>
      </c>
      <c r="N57" s="31" t="n">
        <v>50000</v>
      </c>
      <c r="O57" s="24">
        <f>SUMIFS(Capacity_Reservations!$I$5:$I$340,Capacity_Reservations!$B$5:$B$340,C57)</f>
        <v/>
      </c>
      <c r="P57" s="24">
        <f>N57-O57</f>
        <v/>
      </c>
    </row>
    <row r="58">
      <c r="A58" s="32" t="inlineStr">
        <is>
          <t>qg-uaen-Eadsv6</t>
        </is>
      </c>
      <c r="B58" s="32" t="inlineStr">
        <is>
          <t>UAE North</t>
        </is>
      </c>
      <c r="C58" s="32" t="inlineStr">
        <is>
          <t>uaenorth</t>
        </is>
      </c>
      <c r="D58" s="33" t="inlineStr">
        <is>
          <t>Middle East</t>
        </is>
      </c>
      <c r="E58" s="32" t="inlineStr">
        <is>
          <t>Eadsv6</t>
        </is>
      </c>
      <c r="F58" s="31" t="n">
        <v>5170</v>
      </c>
      <c r="G58" s="24">
        <f>SUMIFS(Capacity_Reservations!$I$5:$I$340,Capacity_Reservations!$B$5:$B$340,C58,Capacity_Reservations!$F$5:$F$340,E58)</f>
        <v/>
      </c>
      <c r="H58" s="24">
        <f>F58-G58</f>
        <v/>
      </c>
      <c r="I58" s="24">
        <f>SUMIFS(Capacity_Reservations!$K$5:$K$340,Capacity_Reservations!$B$5:$B$340,C58,Capacity_Reservations!$D$5:$D$340,"Prod",Capacity_Reservations!$F$5:$F$340,E58)</f>
        <v/>
      </c>
      <c r="J58" s="24">
        <f>SUMIFS(Capacity_Reservations!$K$5:$K$340,Capacity_Reservations!$B$5:$B$340,C58,Capacity_Reservations!$D$5:$D$340,"DR",Capacity_Reservations!$F$5:$F$340,E58)</f>
        <v/>
      </c>
      <c r="K58" s="24">
        <f>SUMIFS(Capacity_Reservations!$I$5:$I$340,Capacity_Reservations!$B$5:$B$340,C58,Capacity_Reservations!$D$5:$D$340,"NonProd",Capacity_Reservations!$F$5:$F$340,E58)</f>
        <v/>
      </c>
      <c r="L58" s="24">
        <f>MAX(0,F58-I58-J58)</f>
        <v/>
      </c>
      <c r="M58" s="24">
        <f>L58-K58</f>
        <v/>
      </c>
    </row>
    <row r="59">
      <c r="A59" s="32" t="inlineStr">
        <is>
          <t>qg-uaen-Dadsv5</t>
        </is>
      </c>
      <c r="B59" s="32" t="inlineStr">
        <is>
          <t>UAE North</t>
        </is>
      </c>
      <c r="C59" s="32" t="inlineStr">
        <is>
          <t>uaenorth</t>
        </is>
      </c>
      <c r="D59" s="33" t="inlineStr">
        <is>
          <t>Middle East</t>
        </is>
      </c>
      <c r="E59" s="32" t="inlineStr">
        <is>
          <t>Dadsv5</t>
        </is>
      </c>
      <c r="F59" s="31" t="n">
        <v>5128</v>
      </c>
      <c r="G59" s="24">
        <f>SUMIFS(Capacity_Reservations!$I$5:$I$340,Capacity_Reservations!$B$5:$B$340,C59,Capacity_Reservations!$F$5:$F$340,E59)</f>
        <v/>
      </c>
      <c r="H59" s="24">
        <f>F59-G59</f>
        <v/>
      </c>
      <c r="I59" s="24">
        <f>SUMIFS(Capacity_Reservations!$K$5:$K$340,Capacity_Reservations!$B$5:$B$340,C59,Capacity_Reservations!$D$5:$D$340,"Prod",Capacity_Reservations!$F$5:$F$340,E59)</f>
        <v/>
      </c>
      <c r="J59" s="24">
        <f>SUMIFS(Capacity_Reservations!$K$5:$K$340,Capacity_Reservations!$B$5:$B$340,C59,Capacity_Reservations!$D$5:$D$340,"DR",Capacity_Reservations!$F$5:$F$340,E59)</f>
        <v/>
      </c>
      <c r="K59" s="24">
        <f>SUMIFS(Capacity_Reservations!$I$5:$I$340,Capacity_Reservations!$B$5:$B$340,C59,Capacity_Reservations!$D$5:$D$340,"NonProd",Capacity_Reservations!$F$5:$F$340,E59)</f>
        <v/>
      </c>
      <c r="L59" s="24">
        <f>MAX(0,F59-I59-J59)</f>
        <v/>
      </c>
      <c r="M59" s="24">
        <f>L59-K59</f>
        <v/>
      </c>
    </row>
    <row r="60">
      <c r="A60" s="32" t="inlineStr">
        <is>
          <t>qg-uaen-Dasv5</t>
        </is>
      </c>
      <c r="B60" s="32" t="inlineStr">
        <is>
          <t>UAE North</t>
        </is>
      </c>
      <c r="C60" s="32" t="inlineStr">
        <is>
          <t>uaenorth</t>
        </is>
      </c>
      <c r="D60" s="33" t="inlineStr">
        <is>
          <t>Middle East</t>
        </is>
      </c>
      <c r="E60" s="32" t="inlineStr">
        <is>
          <t>Dasv5</t>
        </is>
      </c>
      <c r="F60" s="31" t="n">
        <v>5128</v>
      </c>
      <c r="G60" s="24">
        <f>SUMIFS(Capacity_Reservations!$I$5:$I$340,Capacity_Reservations!$B$5:$B$340,C60,Capacity_Reservations!$F$5:$F$340,E60)</f>
        <v/>
      </c>
      <c r="H60" s="24">
        <f>F60-G60</f>
        <v/>
      </c>
      <c r="I60" s="24">
        <f>SUMIFS(Capacity_Reservations!$K$5:$K$340,Capacity_Reservations!$B$5:$B$340,C60,Capacity_Reservations!$D$5:$D$340,"Prod",Capacity_Reservations!$F$5:$F$340,E60)</f>
        <v/>
      </c>
      <c r="J60" s="24">
        <f>SUMIFS(Capacity_Reservations!$K$5:$K$340,Capacity_Reservations!$B$5:$B$340,C60,Capacity_Reservations!$D$5:$D$340,"DR",Capacity_Reservations!$F$5:$F$340,E60)</f>
        <v/>
      </c>
      <c r="K60" s="24">
        <f>SUMIFS(Capacity_Reservations!$I$5:$I$340,Capacity_Reservations!$B$5:$B$340,C60,Capacity_Reservations!$D$5:$D$340,"NonProd",Capacity_Reservations!$F$5:$F$340,E60)</f>
        <v/>
      </c>
      <c r="L60" s="24">
        <f>MAX(0,F60-I60-J60)</f>
        <v/>
      </c>
      <c r="M60" s="24">
        <f>L60-K60</f>
        <v/>
      </c>
    </row>
  </sheetData>
  <autoFilter ref="A4:P60"/>
  <mergeCells count="1"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A18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4" customWidth="1" min="5" max="5"/>
    <col width="16" customWidth="1" min="6" max="6"/>
    <col width="8" customWidth="1" min="7" max="7"/>
    <col width="12" customWidth="1" min="8" max="8"/>
    <col width="14" customWidth="1" min="9" max="9"/>
  </cols>
  <sheetData>
    <row r="1">
      <c r="A1" s="1" t="inlineStr">
        <is>
          <t>Per-region, per-SKU line calculations</t>
        </is>
      </c>
    </row>
    <row r="2">
      <c r="A2" s="18" t="inlineStr">
        <is>
          <t>Formulas only. Score sheets read this grid. Inactive request lines contribute a neutral 1 to every MIN.</t>
        </is>
      </c>
    </row>
    <row r="4" ht="32" customHeight="1">
      <c r="A4" s="12" t="inlineStr">
        <is>
          <t>Region</t>
        </is>
      </c>
      <c r="B4" s="12" t="inlineStr">
        <is>
          <t>Region id</t>
        </is>
      </c>
      <c r="C4" s="12" t="inlineStr">
        <is>
          <t>Geography</t>
        </is>
      </c>
      <c r="D4" s="12" t="inlineStr">
        <is>
          <t>Class</t>
        </is>
      </c>
      <c r="E4" s="12" t="inlineStr">
        <is>
          <t>Model</t>
        </is>
      </c>
      <c r="F4" s="12" t="inlineStr">
        <is>
          <t>DR scope</t>
        </is>
      </c>
      <c r="G4" s="12" t="inlineStr">
        <is>
          <t>AZ</t>
        </is>
      </c>
      <c r="H4" s="12" t="inlineStr">
        <is>
          <t>Customers</t>
        </is>
      </c>
      <c r="I4" s="12" t="inlineStr">
        <is>
          <t>DR coverage</t>
        </is>
      </c>
      <c r="J4" s="12" t="inlineStr">
        <is>
          <t>L1 Active</t>
        </is>
      </c>
      <c r="K4" s="12" t="inlineStr">
        <is>
          <t>L1 Cores</t>
        </is>
      </c>
      <c r="L4" s="12" t="inlineStr">
        <is>
          <t>L1 Family</t>
        </is>
      </c>
      <c r="M4" s="12" t="inlineStr">
        <is>
          <t>L1 Prod free</t>
        </is>
      </c>
      <c r="N4" s="12" t="inlineStr">
        <is>
          <t>L1 Prod reserved</t>
        </is>
      </c>
      <c r="O4" s="12" t="inlineStr">
        <is>
          <t>L1 NP free</t>
        </is>
      </c>
      <c r="P4" s="12" t="inlineStr">
        <is>
          <t>L1 NP reserved</t>
        </is>
      </c>
      <c r="Q4" s="12" t="inlineStr">
        <is>
          <t>L1 DR free</t>
        </is>
      </c>
      <c r="R4" s="12" t="inlineStr">
        <is>
          <t>L1 DR reserved</t>
        </is>
      </c>
      <c r="S4" s="12" t="inlineStr">
        <is>
          <t>L1 Quota avail</t>
        </is>
      </c>
      <c r="T4" s="12" t="inlineStr">
        <is>
          <t>L1 Quota limit</t>
        </is>
      </c>
      <c r="U4" s="12" t="inlineStr">
        <is>
          <t>L1 NP headroom</t>
        </is>
      </c>
      <c r="V4" s="12" t="inlineStr">
        <is>
          <t>L2 Active</t>
        </is>
      </c>
      <c r="W4" s="12" t="inlineStr">
        <is>
          <t>L2 Cores</t>
        </is>
      </c>
      <c r="X4" s="12" t="inlineStr">
        <is>
          <t>L2 Family</t>
        </is>
      </c>
      <c r="Y4" s="12" t="inlineStr">
        <is>
          <t>L2 Prod free</t>
        </is>
      </c>
      <c r="Z4" s="12" t="inlineStr">
        <is>
          <t>L2 Prod reserved</t>
        </is>
      </c>
      <c r="AA4" s="12" t="inlineStr">
        <is>
          <t>L2 NP free</t>
        </is>
      </c>
      <c r="AB4" s="12" t="inlineStr">
        <is>
          <t>L2 NP reserved</t>
        </is>
      </c>
      <c r="AC4" s="12" t="inlineStr">
        <is>
          <t>L2 DR free</t>
        </is>
      </c>
      <c r="AD4" s="12" t="inlineStr">
        <is>
          <t>L2 DR reserved</t>
        </is>
      </c>
      <c r="AE4" s="12" t="inlineStr">
        <is>
          <t>L2 Quota avail</t>
        </is>
      </c>
      <c r="AF4" s="12" t="inlineStr">
        <is>
          <t>L2 Quota limit</t>
        </is>
      </c>
      <c r="AG4" s="12" t="inlineStr">
        <is>
          <t>L2 NP headroom</t>
        </is>
      </c>
      <c r="AH4" s="12" t="inlineStr">
        <is>
          <t>L3 Active</t>
        </is>
      </c>
      <c r="AI4" s="12" t="inlineStr">
        <is>
          <t>L3 Cores</t>
        </is>
      </c>
      <c r="AJ4" s="12" t="inlineStr">
        <is>
          <t>L3 Family</t>
        </is>
      </c>
      <c r="AK4" s="12" t="inlineStr">
        <is>
          <t>L3 Prod free</t>
        </is>
      </c>
      <c r="AL4" s="12" t="inlineStr">
        <is>
          <t>L3 Prod reserved</t>
        </is>
      </c>
      <c r="AM4" s="12" t="inlineStr">
        <is>
          <t>L3 NP free</t>
        </is>
      </c>
      <c r="AN4" s="12" t="inlineStr">
        <is>
          <t>L3 NP reserved</t>
        </is>
      </c>
      <c r="AO4" s="12" t="inlineStr">
        <is>
          <t>L3 DR free</t>
        </is>
      </c>
      <c r="AP4" s="12" t="inlineStr">
        <is>
          <t>L3 DR reserved</t>
        </is>
      </c>
      <c r="AQ4" s="12" t="inlineStr">
        <is>
          <t>L3 Quota avail</t>
        </is>
      </c>
      <c r="AR4" s="12" t="inlineStr">
        <is>
          <t>L3 Quota limit</t>
        </is>
      </c>
      <c r="AS4" s="12" t="inlineStr">
        <is>
          <t>L3 NP headroom</t>
        </is>
      </c>
      <c r="AT4" s="12" t="inlineStr">
        <is>
          <t>L4 Active</t>
        </is>
      </c>
      <c r="AU4" s="12" t="inlineStr">
        <is>
          <t>L4 Cores</t>
        </is>
      </c>
      <c r="AV4" s="12" t="inlineStr">
        <is>
          <t>L4 Family</t>
        </is>
      </c>
      <c r="AW4" s="12" t="inlineStr">
        <is>
          <t>L4 Prod free</t>
        </is>
      </c>
      <c r="AX4" s="12" t="inlineStr">
        <is>
          <t>L4 Prod reserved</t>
        </is>
      </c>
      <c r="AY4" s="12" t="inlineStr">
        <is>
          <t>L4 NP free</t>
        </is>
      </c>
      <c r="AZ4" s="12" t="inlineStr">
        <is>
          <t>L4 NP reserved</t>
        </is>
      </c>
      <c r="BA4" s="12" t="inlineStr">
        <is>
          <t>L4 DR free</t>
        </is>
      </c>
      <c r="BB4" s="12" t="inlineStr">
        <is>
          <t>L4 DR reserved</t>
        </is>
      </c>
      <c r="BC4" s="12" t="inlineStr">
        <is>
          <t>L4 Quota avail</t>
        </is>
      </c>
      <c r="BD4" s="12" t="inlineStr">
        <is>
          <t>L4 Quota limit</t>
        </is>
      </c>
      <c r="BE4" s="12" t="inlineStr">
        <is>
          <t>L4 NP headroom</t>
        </is>
      </c>
      <c r="BF4" s="12" t="inlineStr">
        <is>
          <t>L5 Active</t>
        </is>
      </c>
      <c r="BG4" s="12" t="inlineStr">
        <is>
          <t>L5 Cores</t>
        </is>
      </c>
      <c r="BH4" s="12" t="inlineStr">
        <is>
          <t>L5 Family</t>
        </is>
      </c>
      <c r="BI4" s="12" t="inlineStr">
        <is>
          <t>L5 Prod free</t>
        </is>
      </c>
      <c r="BJ4" s="12" t="inlineStr">
        <is>
          <t>L5 Prod reserved</t>
        </is>
      </c>
      <c r="BK4" s="12" t="inlineStr">
        <is>
          <t>L5 NP free</t>
        </is>
      </c>
      <c r="BL4" s="12" t="inlineStr">
        <is>
          <t>L5 NP reserved</t>
        </is>
      </c>
      <c r="BM4" s="12" t="inlineStr">
        <is>
          <t>L5 DR free</t>
        </is>
      </c>
      <c r="BN4" s="12" t="inlineStr">
        <is>
          <t>L5 DR reserved</t>
        </is>
      </c>
      <c r="BO4" s="12" t="inlineStr">
        <is>
          <t>L5 Quota avail</t>
        </is>
      </c>
      <c r="BP4" s="12" t="inlineStr">
        <is>
          <t>L5 Quota limit</t>
        </is>
      </c>
      <c r="BQ4" s="12" t="inlineStr">
        <is>
          <t>L5 NP headroom</t>
        </is>
      </c>
      <c r="BR4" s="12" t="inlineStr">
        <is>
          <t>L6 Active</t>
        </is>
      </c>
      <c r="BS4" s="12" t="inlineStr">
        <is>
          <t>L6 Cores</t>
        </is>
      </c>
      <c r="BT4" s="12" t="inlineStr">
        <is>
          <t>L6 Family</t>
        </is>
      </c>
      <c r="BU4" s="12" t="inlineStr">
        <is>
          <t>L6 Prod free</t>
        </is>
      </c>
      <c r="BV4" s="12" t="inlineStr">
        <is>
          <t>L6 Prod reserved</t>
        </is>
      </c>
      <c r="BW4" s="12" t="inlineStr">
        <is>
          <t>L6 NP free</t>
        </is>
      </c>
      <c r="BX4" s="12" t="inlineStr">
        <is>
          <t>L6 NP reserved</t>
        </is>
      </c>
      <c r="BY4" s="12" t="inlineStr">
        <is>
          <t>L6 DR free</t>
        </is>
      </c>
      <c r="BZ4" s="12" t="inlineStr">
        <is>
          <t>L6 DR reserved</t>
        </is>
      </c>
      <c r="CA4" s="12" t="inlineStr">
        <is>
          <t>L6 Quota avail</t>
        </is>
      </c>
      <c r="CB4" s="12" t="inlineStr">
        <is>
          <t>L6 Quota limit</t>
        </is>
      </c>
      <c r="CC4" s="12" t="inlineStr">
        <is>
          <t>L6 NP headroom</t>
        </is>
      </c>
      <c r="CD4" s="12" t="inlineStr">
        <is>
          <t>L7 Active</t>
        </is>
      </c>
      <c r="CE4" s="12" t="inlineStr">
        <is>
          <t>L7 Cores</t>
        </is>
      </c>
      <c r="CF4" s="12" t="inlineStr">
        <is>
          <t>L7 Family</t>
        </is>
      </c>
      <c r="CG4" s="12" t="inlineStr">
        <is>
          <t>L7 Prod free</t>
        </is>
      </c>
      <c r="CH4" s="12" t="inlineStr">
        <is>
          <t>L7 Prod reserved</t>
        </is>
      </c>
      <c r="CI4" s="12" t="inlineStr">
        <is>
          <t>L7 NP free</t>
        </is>
      </c>
      <c r="CJ4" s="12" t="inlineStr">
        <is>
          <t>L7 NP reserved</t>
        </is>
      </c>
      <c r="CK4" s="12" t="inlineStr">
        <is>
          <t>L7 DR free</t>
        </is>
      </c>
      <c r="CL4" s="12" t="inlineStr">
        <is>
          <t>L7 DR reserved</t>
        </is>
      </c>
      <c r="CM4" s="12" t="inlineStr">
        <is>
          <t>L7 Quota avail</t>
        </is>
      </c>
      <c r="CN4" s="12" t="inlineStr">
        <is>
          <t>L7 Quota limit</t>
        </is>
      </c>
      <c r="CO4" s="12" t="inlineStr">
        <is>
          <t>L7 NP headroom</t>
        </is>
      </c>
      <c r="CP4" s="12" t="inlineStr">
        <is>
          <t>L8 Active</t>
        </is>
      </c>
      <c r="CQ4" s="12" t="inlineStr">
        <is>
          <t>L8 Cores</t>
        </is>
      </c>
      <c r="CR4" s="12" t="inlineStr">
        <is>
          <t>L8 Family</t>
        </is>
      </c>
      <c r="CS4" s="12" t="inlineStr">
        <is>
          <t>L8 Prod free</t>
        </is>
      </c>
      <c r="CT4" s="12" t="inlineStr">
        <is>
          <t>L8 Prod reserved</t>
        </is>
      </c>
      <c r="CU4" s="12" t="inlineStr">
        <is>
          <t>L8 NP free</t>
        </is>
      </c>
      <c r="CV4" s="12" t="inlineStr">
        <is>
          <t>L8 NP reserved</t>
        </is>
      </c>
      <c r="CW4" s="12" t="inlineStr">
        <is>
          <t>L8 DR free</t>
        </is>
      </c>
      <c r="CX4" s="12" t="inlineStr">
        <is>
          <t>L8 DR reserved</t>
        </is>
      </c>
      <c r="CY4" s="12" t="inlineStr">
        <is>
          <t>L8 Quota avail</t>
        </is>
      </c>
      <c r="CZ4" s="12" t="inlineStr">
        <is>
          <t>L8 Quota limit</t>
        </is>
      </c>
      <c r="DA4" s="12" t="inlineStr">
        <is>
          <t>L8 NP headroom</t>
        </is>
      </c>
    </row>
    <row r="5">
      <c r="A5" s="6">
        <f>Region_Catalogue!A5</f>
        <v/>
      </c>
      <c r="B5" s="6">
        <f>Region_Catalogue!B5</f>
        <v/>
      </c>
      <c r="C5" s="15">
        <f>Region_Catalogue!C5</f>
        <v/>
      </c>
      <c r="D5" s="15">
        <f>Region_Catalogue!G5</f>
        <v/>
      </c>
      <c r="E5" s="15">
        <f>Region_Catalogue!E5</f>
        <v/>
      </c>
      <c r="F5" s="15">
        <f>Region_Catalogue!F5</f>
        <v/>
      </c>
      <c r="G5" s="42">
        <f>Region_Catalogue!D5</f>
        <v/>
      </c>
      <c r="H5" s="42">
        <f>Region_Catalogue!H5</f>
        <v/>
      </c>
      <c r="I5" s="43">
        <f>Region_Catalogue!I5</f>
        <v/>
      </c>
      <c r="J5" s="24">
        <f>IF(AND(Request!A13&lt;&gt;"",ISNUMBER(Request!B13),Request!B13&gt;0),1,0)</f>
        <v/>
      </c>
      <c r="K5" s="24">
        <f>IF(J5=1,Request!D13,0)</f>
        <v/>
      </c>
      <c r="L5" s="25">
        <f>IF(J5=1,Request!E13,"")</f>
        <v/>
      </c>
      <c r="M5" s="24">
        <f>IF(J5=1,SUMIFS(Capacity_Reservations!$L$5:$L$340,Capacity_Reservations!$B$5:$B$340,$B5,Capacity_Reservations!$D$5:$D$340,"Prod",Capacity_Reservations!$E$5:$E$340,Request!A13),0)</f>
        <v/>
      </c>
      <c r="N5" s="24">
        <f>IF(J5=1,SUMIFS(Capacity_Reservations!$K$5:$K$340,Capacity_Reservations!$B$5:$B$340,$B5,Capacity_Reservations!$D$5:$D$340,"Prod",Capacity_Reservations!$E$5:$E$340,Request!A13),0)</f>
        <v/>
      </c>
      <c r="O5" s="24">
        <f>IF(J5=1,SUMIFS(Capacity_Reservations!$L$5:$L$340,Capacity_Reservations!$B$5:$B$340,$B5,Capacity_Reservations!$D$5:$D$340,"NonProd",Capacity_Reservations!$E$5:$E$340,Request!A13),0)</f>
        <v/>
      </c>
      <c r="P5" s="24">
        <f>IF(J5=1,SUMIFS(Capacity_Reservations!$K$5:$K$340,Capacity_Reservations!$B$5:$B$340,$B5,Capacity_Reservations!$D$5:$D$340,"NonProd",Capacity_Reservations!$E$5:$E$340,Request!A13),0)</f>
        <v/>
      </c>
      <c r="Q5" s="24">
        <f>IF(J5=1,SUMIFS(Capacity_Reservations!$L$5:$L$340,Capacity_Reservations!$B$5:$B$340,$B5,Capacity_Reservations!$D$5:$D$340,"DR",Capacity_Reservations!$E$5:$E$340,Request!A13),0)</f>
        <v/>
      </c>
      <c r="R5" s="24">
        <f>IF(J5=1,SUMIFS(Capacity_Reservations!$K$5:$K$340,Capacity_Reservations!$B$5:$B$340,$B5,Capacity_Reservations!$D$5:$D$340,"DR",Capacity_Reservations!$E$5:$E$340,Request!A13),0)</f>
        <v/>
      </c>
      <c r="S5" s="24">
        <f>IF(J5=1,MIN(SUMIFS(Quota_Groups!$H$5:$H$60,Quota_Groups!$C$5:$C$60,$B5,Quota_Groups!$E$5:$E$60,Request!E13),SUMIFS(Quota_Groups!$P$5:$P$60,Quota_Groups!$C$5:$C$60,$B5,Quota_Groups!$E$5:$E$60,"Eadsv5")),0)</f>
        <v/>
      </c>
      <c r="T5" s="24">
        <f>IF(J5=1,SUMIFS(Quota_Groups!$F$5:$F$60,Quota_Groups!$C$5:$C$60,$B5,Quota_Groups!$E$5:$E$60,Request!E13),0)</f>
        <v/>
      </c>
      <c r="U5" s="24">
        <f>IF(J5=1,SUMIFS(Quota_Groups!$M$5:$M$60,Quota_Groups!$C$5:$C$60,$B5,Quota_Groups!$E$5:$E$60,Request!E13),0)</f>
        <v/>
      </c>
      <c r="V5" s="24">
        <f>IF(AND(Request!A14&lt;&gt;"",ISNUMBER(Request!B14),Request!B14&gt;0),1,0)</f>
        <v/>
      </c>
      <c r="W5" s="24">
        <f>IF(V5=1,Request!D14,0)</f>
        <v/>
      </c>
      <c r="X5" s="25">
        <f>IF(V5=1,Request!E14,"")</f>
        <v/>
      </c>
      <c r="Y5" s="24">
        <f>IF(V5=1,SUMIFS(Capacity_Reservations!$L$5:$L$340,Capacity_Reservations!$B$5:$B$340,$B5,Capacity_Reservations!$D$5:$D$340,"Prod",Capacity_Reservations!$E$5:$E$340,Request!A14),0)</f>
        <v/>
      </c>
      <c r="Z5" s="24">
        <f>IF(V5=1,SUMIFS(Capacity_Reservations!$K$5:$K$340,Capacity_Reservations!$B$5:$B$340,$B5,Capacity_Reservations!$D$5:$D$340,"Prod",Capacity_Reservations!$E$5:$E$340,Request!A14),0)</f>
        <v/>
      </c>
      <c r="AA5" s="24">
        <f>IF(V5=1,SUMIFS(Capacity_Reservations!$L$5:$L$340,Capacity_Reservations!$B$5:$B$340,$B5,Capacity_Reservations!$D$5:$D$340,"NonProd",Capacity_Reservations!$E$5:$E$340,Request!A14),0)</f>
        <v/>
      </c>
      <c r="AB5" s="24">
        <f>IF(V5=1,SUMIFS(Capacity_Reservations!$K$5:$K$340,Capacity_Reservations!$B$5:$B$340,$B5,Capacity_Reservations!$D$5:$D$340,"NonProd",Capacity_Reservations!$E$5:$E$340,Request!A14),0)</f>
        <v/>
      </c>
      <c r="AC5" s="24">
        <f>IF(V5=1,SUMIFS(Capacity_Reservations!$L$5:$L$340,Capacity_Reservations!$B$5:$B$340,$B5,Capacity_Reservations!$D$5:$D$340,"DR",Capacity_Reservations!$E$5:$E$340,Request!A14),0)</f>
        <v/>
      </c>
      <c r="AD5" s="24">
        <f>IF(V5=1,SUMIFS(Capacity_Reservations!$K$5:$K$340,Capacity_Reservations!$B$5:$B$340,$B5,Capacity_Reservations!$D$5:$D$340,"DR",Capacity_Reservations!$E$5:$E$340,Request!A14),0)</f>
        <v/>
      </c>
      <c r="AE5" s="24">
        <f>IF(V5=1,MIN(SUMIFS(Quota_Groups!$H$5:$H$60,Quota_Groups!$C$5:$C$60,$B5,Quota_Groups!$E$5:$E$60,Request!E14),SUMIFS(Quota_Groups!$P$5:$P$60,Quota_Groups!$C$5:$C$60,$B5,Quota_Groups!$E$5:$E$60,"Eadsv5")),0)</f>
        <v/>
      </c>
      <c r="AF5" s="24">
        <f>IF(V5=1,SUMIFS(Quota_Groups!$F$5:$F$60,Quota_Groups!$C$5:$C$60,$B5,Quota_Groups!$E$5:$E$60,Request!E14),0)</f>
        <v/>
      </c>
      <c r="AG5" s="24">
        <f>IF(V5=1,SUMIFS(Quota_Groups!$M$5:$M$60,Quota_Groups!$C$5:$C$60,$B5,Quota_Groups!$E$5:$E$60,Request!E14),0)</f>
        <v/>
      </c>
      <c r="AH5" s="24">
        <f>IF(AND(Request!A15&lt;&gt;"",ISNUMBER(Request!B15),Request!B15&gt;0),1,0)</f>
        <v/>
      </c>
      <c r="AI5" s="24">
        <f>IF(AH5=1,Request!D15,0)</f>
        <v/>
      </c>
      <c r="AJ5" s="25">
        <f>IF(AH5=1,Request!E15,"")</f>
        <v/>
      </c>
      <c r="AK5" s="24">
        <f>IF(AH5=1,SUMIFS(Capacity_Reservations!$L$5:$L$340,Capacity_Reservations!$B$5:$B$340,$B5,Capacity_Reservations!$D$5:$D$340,"Prod",Capacity_Reservations!$E$5:$E$340,Request!A15),0)</f>
        <v/>
      </c>
      <c r="AL5" s="24">
        <f>IF(AH5=1,SUMIFS(Capacity_Reservations!$K$5:$K$340,Capacity_Reservations!$B$5:$B$340,$B5,Capacity_Reservations!$D$5:$D$340,"Prod",Capacity_Reservations!$E$5:$E$340,Request!A15),0)</f>
        <v/>
      </c>
      <c r="AM5" s="24">
        <f>IF(AH5=1,SUMIFS(Capacity_Reservations!$L$5:$L$340,Capacity_Reservations!$B$5:$B$340,$B5,Capacity_Reservations!$D$5:$D$340,"NonProd",Capacity_Reservations!$E$5:$E$340,Request!A15),0)</f>
        <v/>
      </c>
      <c r="AN5" s="24">
        <f>IF(AH5=1,SUMIFS(Capacity_Reservations!$K$5:$K$340,Capacity_Reservations!$B$5:$B$340,$B5,Capacity_Reservations!$D$5:$D$340,"NonProd",Capacity_Reservations!$E$5:$E$340,Request!A15),0)</f>
        <v/>
      </c>
      <c r="AO5" s="24">
        <f>IF(AH5=1,SUMIFS(Capacity_Reservations!$L$5:$L$340,Capacity_Reservations!$B$5:$B$340,$B5,Capacity_Reservations!$D$5:$D$340,"DR",Capacity_Reservations!$E$5:$E$340,Request!A15),0)</f>
        <v/>
      </c>
      <c r="AP5" s="24">
        <f>IF(AH5=1,SUMIFS(Capacity_Reservations!$K$5:$K$340,Capacity_Reservations!$B$5:$B$340,$B5,Capacity_Reservations!$D$5:$D$340,"DR",Capacity_Reservations!$E$5:$E$340,Request!A15),0)</f>
        <v/>
      </c>
      <c r="AQ5" s="24">
        <f>IF(AH5=1,MIN(SUMIFS(Quota_Groups!$H$5:$H$60,Quota_Groups!$C$5:$C$60,$B5,Quota_Groups!$E$5:$E$60,Request!E15),SUMIFS(Quota_Groups!$P$5:$P$60,Quota_Groups!$C$5:$C$60,$B5,Quota_Groups!$E$5:$E$60,"Eadsv5")),0)</f>
        <v/>
      </c>
      <c r="AR5" s="24">
        <f>IF(AH5=1,SUMIFS(Quota_Groups!$F$5:$F$60,Quota_Groups!$C$5:$C$60,$B5,Quota_Groups!$E$5:$E$60,Request!E15),0)</f>
        <v/>
      </c>
      <c r="AS5" s="24">
        <f>IF(AH5=1,SUMIFS(Quota_Groups!$M$5:$M$60,Quota_Groups!$C$5:$C$60,$B5,Quota_Groups!$E$5:$E$60,Request!E15),0)</f>
        <v/>
      </c>
      <c r="AT5" s="24">
        <f>IF(AND(Request!A16&lt;&gt;"",ISNUMBER(Request!B16),Request!B16&gt;0),1,0)</f>
        <v/>
      </c>
      <c r="AU5" s="24">
        <f>IF(AT5=1,Request!D16,0)</f>
        <v/>
      </c>
      <c r="AV5" s="25">
        <f>IF(AT5=1,Request!E16,"")</f>
        <v/>
      </c>
      <c r="AW5" s="24">
        <f>IF(AT5=1,SUMIFS(Capacity_Reservations!$L$5:$L$340,Capacity_Reservations!$B$5:$B$340,$B5,Capacity_Reservations!$D$5:$D$340,"Prod",Capacity_Reservations!$E$5:$E$340,Request!A16),0)</f>
        <v/>
      </c>
      <c r="AX5" s="24">
        <f>IF(AT5=1,SUMIFS(Capacity_Reservations!$K$5:$K$340,Capacity_Reservations!$B$5:$B$340,$B5,Capacity_Reservations!$D$5:$D$340,"Prod",Capacity_Reservations!$E$5:$E$340,Request!A16),0)</f>
        <v/>
      </c>
      <c r="AY5" s="24">
        <f>IF(AT5=1,SUMIFS(Capacity_Reservations!$L$5:$L$340,Capacity_Reservations!$B$5:$B$340,$B5,Capacity_Reservations!$D$5:$D$340,"NonProd",Capacity_Reservations!$E$5:$E$340,Request!A16),0)</f>
        <v/>
      </c>
      <c r="AZ5" s="24">
        <f>IF(AT5=1,SUMIFS(Capacity_Reservations!$K$5:$K$340,Capacity_Reservations!$B$5:$B$340,$B5,Capacity_Reservations!$D$5:$D$340,"NonProd",Capacity_Reservations!$E$5:$E$340,Request!A16),0)</f>
        <v/>
      </c>
      <c r="BA5" s="24">
        <f>IF(AT5=1,SUMIFS(Capacity_Reservations!$L$5:$L$340,Capacity_Reservations!$B$5:$B$340,$B5,Capacity_Reservations!$D$5:$D$340,"DR",Capacity_Reservations!$E$5:$E$340,Request!A16),0)</f>
        <v/>
      </c>
      <c r="BB5" s="24">
        <f>IF(AT5=1,SUMIFS(Capacity_Reservations!$K$5:$K$340,Capacity_Reservations!$B$5:$B$340,$B5,Capacity_Reservations!$D$5:$D$340,"DR",Capacity_Reservations!$E$5:$E$340,Request!A16),0)</f>
        <v/>
      </c>
      <c r="BC5" s="24">
        <f>IF(AT5=1,MIN(SUMIFS(Quota_Groups!$H$5:$H$60,Quota_Groups!$C$5:$C$60,$B5,Quota_Groups!$E$5:$E$60,Request!E16),SUMIFS(Quota_Groups!$P$5:$P$60,Quota_Groups!$C$5:$C$60,$B5,Quota_Groups!$E$5:$E$60,"Eadsv5")),0)</f>
        <v/>
      </c>
      <c r="BD5" s="24">
        <f>IF(AT5=1,SUMIFS(Quota_Groups!$F$5:$F$60,Quota_Groups!$C$5:$C$60,$B5,Quota_Groups!$E$5:$E$60,Request!E16),0)</f>
        <v/>
      </c>
      <c r="BE5" s="24">
        <f>IF(AT5=1,SUMIFS(Quota_Groups!$M$5:$M$60,Quota_Groups!$C$5:$C$60,$B5,Quota_Groups!$E$5:$E$60,Request!E16),0)</f>
        <v/>
      </c>
      <c r="BF5" s="24">
        <f>IF(AND(Request!A17&lt;&gt;"",ISNUMBER(Request!B17),Request!B17&gt;0),1,0)</f>
        <v/>
      </c>
      <c r="BG5" s="24">
        <f>IF(BF5=1,Request!D17,0)</f>
        <v/>
      </c>
      <c r="BH5" s="25">
        <f>IF(BF5=1,Request!E17,"")</f>
        <v/>
      </c>
      <c r="BI5" s="24">
        <f>IF(BF5=1,SUMIFS(Capacity_Reservations!$L$5:$L$340,Capacity_Reservations!$B$5:$B$340,$B5,Capacity_Reservations!$D$5:$D$340,"Prod",Capacity_Reservations!$E$5:$E$340,Request!A17),0)</f>
        <v/>
      </c>
      <c r="BJ5" s="24">
        <f>IF(BF5=1,SUMIFS(Capacity_Reservations!$K$5:$K$340,Capacity_Reservations!$B$5:$B$340,$B5,Capacity_Reservations!$D$5:$D$340,"Prod",Capacity_Reservations!$E$5:$E$340,Request!A17),0)</f>
        <v/>
      </c>
      <c r="BK5" s="24">
        <f>IF(BF5=1,SUMIFS(Capacity_Reservations!$L$5:$L$340,Capacity_Reservations!$B$5:$B$340,$B5,Capacity_Reservations!$D$5:$D$340,"NonProd",Capacity_Reservations!$E$5:$E$340,Request!A17),0)</f>
        <v/>
      </c>
      <c r="BL5" s="24">
        <f>IF(BF5=1,SUMIFS(Capacity_Reservations!$K$5:$K$340,Capacity_Reservations!$B$5:$B$340,$B5,Capacity_Reservations!$D$5:$D$340,"NonProd",Capacity_Reservations!$E$5:$E$340,Request!A17),0)</f>
        <v/>
      </c>
      <c r="BM5" s="24">
        <f>IF(BF5=1,SUMIFS(Capacity_Reservations!$L$5:$L$340,Capacity_Reservations!$B$5:$B$340,$B5,Capacity_Reservations!$D$5:$D$340,"DR",Capacity_Reservations!$E$5:$E$340,Request!A17),0)</f>
        <v/>
      </c>
      <c r="BN5" s="24">
        <f>IF(BF5=1,SUMIFS(Capacity_Reservations!$K$5:$K$340,Capacity_Reservations!$B$5:$B$340,$B5,Capacity_Reservations!$D$5:$D$340,"DR",Capacity_Reservations!$E$5:$E$340,Request!A17),0)</f>
        <v/>
      </c>
      <c r="BO5" s="24">
        <f>IF(BF5=1,MIN(SUMIFS(Quota_Groups!$H$5:$H$60,Quota_Groups!$C$5:$C$60,$B5,Quota_Groups!$E$5:$E$60,Request!E17),SUMIFS(Quota_Groups!$P$5:$P$60,Quota_Groups!$C$5:$C$60,$B5,Quota_Groups!$E$5:$E$60,"Eadsv5")),0)</f>
        <v/>
      </c>
      <c r="BP5" s="24">
        <f>IF(BF5=1,SUMIFS(Quota_Groups!$F$5:$F$60,Quota_Groups!$C$5:$C$60,$B5,Quota_Groups!$E$5:$E$60,Request!E17),0)</f>
        <v/>
      </c>
      <c r="BQ5" s="24">
        <f>IF(BF5=1,SUMIFS(Quota_Groups!$M$5:$M$60,Quota_Groups!$C$5:$C$60,$B5,Quota_Groups!$E$5:$E$60,Request!E17),0)</f>
        <v/>
      </c>
      <c r="BR5" s="24">
        <f>IF(AND(Request!A18&lt;&gt;"",ISNUMBER(Request!B18),Request!B18&gt;0),1,0)</f>
        <v/>
      </c>
      <c r="BS5" s="24">
        <f>IF(BR5=1,Request!D18,0)</f>
        <v/>
      </c>
      <c r="BT5" s="25">
        <f>IF(BR5=1,Request!E18,"")</f>
        <v/>
      </c>
      <c r="BU5" s="24">
        <f>IF(BR5=1,SUMIFS(Capacity_Reservations!$L$5:$L$340,Capacity_Reservations!$B$5:$B$340,$B5,Capacity_Reservations!$D$5:$D$340,"Prod",Capacity_Reservations!$E$5:$E$340,Request!A18),0)</f>
        <v/>
      </c>
      <c r="BV5" s="24">
        <f>IF(BR5=1,SUMIFS(Capacity_Reservations!$K$5:$K$340,Capacity_Reservations!$B$5:$B$340,$B5,Capacity_Reservations!$D$5:$D$340,"Prod",Capacity_Reservations!$E$5:$E$340,Request!A18),0)</f>
        <v/>
      </c>
      <c r="BW5" s="24">
        <f>IF(BR5=1,SUMIFS(Capacity_Reservations!$L$5:$L$340,Capacity_Reservations!$B$5:$B$340,$B5,Capacity_Reservations!$D$5:$D$340,"NonProd",Capacity_Reservations!$E$5:$E$340,Request!A18),0)</f>
        <v/>
      </c>
      <c r="BX5" s="24">
        <f>IF(BR5=1,SUMIFS(Capacity_Reservations!$K$5:$K$340,Capacity_Reservations!$B$5:$B$340,$B5,Capacity_Reservations!$D$5:$D$340,"NonProd",Capacity_Reservations!$E$5:$E$340,Request!A18),0)</f>
        <v/>
      </c>
      <c r="BY5" s="24">
        <f>IF(BR5=1,SUMIFS(Capacity_Reservations!$L$5:$L$340,Capacity_Reservations!$B$5:$B$340,$B5,Capacity_Reservations!$D$5:$D$340,"DR",Capacity_Reservations!$E$5:$E$340,Request!A18),0)</f>
        <v/>
      </c>
      <c r="BZ5" s="24">
        <f>IF(BR5=1,SUMIFS(Capacity_Reservations!$K$5:$K$340,Capacity_Reservations!$B$5:$B$340,$B5,Capacity_Reservations!$D$5:$D$340,"DR",Capacity_Reservations!$E$5:$E$340,Request!A18),0)</f>
        <v/>
      </c>
      <c r="CA5" s="24">
        <f>IF(BR5=1,MIN(SUMIFS(Quota_Groups!$H$5:$H$60,Quota_Groups!$C$5:$C$60,$B5,Quota_Groups!$E$5:$E$60,Request!E18),SUMIFS(Quota_Groups!$P$5:$P$60,Quota_Groups!$C$5:$C$60,$B5,Quota_Groups!$E$5:$E$60,"Eadsv5")),0)</f>
        <v/>
      </c>
      <c r="CB5" s="24">
        <f>IF(BR5=1,SUMIFS(Quota_Groups!$F$5:$F$60,Quota_Groups!$C$5:$C$60,$B5,Quota_Groups!$E$5:$E$60,Request!E18),0)</f>
        <v/>
      </c>
      <c r="CC5" s="24">
        <f>IF(BR5=1,SUMIFS(Quota_Groups!$M$5:$M$60,Quota_Groups!$C$5:$C$60,$B5,Quota_Groups!$E$5:$E$60,Request!E18),0)</f>
        <v/>
      </c>
      <c r="CD5" s="24">
        <f>IF(AND(Request!A19&lt;&gt;"",ISNUMBER(Request!B19),Request!B19&gt;0),1,0)</f>
        <v/>
      </c>
      <c r="CE5" s="24">
        <f>IF(CD5=1,Request!D19,0)</f>
        <v/>
      </c>
      <c r="CF5" s="25">
        <f>IF(CD5=1,Request!E19,"")</f>
        <v/>
      </c>
      <c r="CG5" s="24">
        <f>IF(CD5=1,SUMIFS(Capacity_Reservations!$L$5:$L$340,Capacity_Reservations!$B$5:$B$340,$B5,Capacity_Reservations!$D$5:$D$340,"Prod",Capacity_Reservations!$E$5:$E$340,Request!A19),0)</f>
        <v/>
      </c>
      <c r="CH5" s="24">
        <f>IF(CD5=1,SUMIFS(Capacity_Reservations!$K$5:$K$340,Capacity_Reservations!$B$5:$B$340,$B5,Capacity_Reservations!$D$5:$D$340,"Prod",Capacity_Reservations!$E$5:$E$340,Request!A19),0)</f>
        <v/>
      </c>
      <c r="CI5" s="24">
        <f>IF(CD5=1,SUMIFS(Capacity_Reservations!$L$5:$L$340,Capacity_Reservations!$B$5:$B$340,$B5,Capacity_Reservations!$D$5:$D$340,"NonProd",Capacity_Reservations!$E$5:$E$340,Request!A19),0)</f>
        <v/>
      </c>
      <c r="CJ5" s="24">
        <f>IF(CD5=1,SUMIFS(Capacity_Reservations!$K$5:$K$340,Capacity_Reservations!$B$5:$B$340,$B5,Capacity_Reservations!$D$5:$D$340,"NonProd",Capacity_Reservations!$E$5:$E$340,Request!A19),0)</f>
        <v/>
      </c>
      <c r="CK5" s="24">
        <f>IF(CD5=1,SUMIFS(Capacity_Reservations!$L$5:$L$340,Capacity_Reservations!$B$5:$B$340,$B5,Capacity_Reservations!$D$5:$D$340,"DR",Capacity_Reservations!$E$5:$E$340,Request!A19),0)</f>
        <v/>
      </c>
      <c r="CL5" s="24">
        <f>IF(CD5=1,SUMIFS(Capacity_Reservations!$K$5:$K$340,Capacity_Reservations!$B$5:$B$340,$B5,Capacity_Reservations!$D$5:$D$340,"DR",Capacity_Reservations!$E$5:$E$340,Request!A19),0)</f>
        <v/>
      </c>
      <c r="CM5" s="24">
        <f>IF(CD5=1,MIN(SUMIFS(Quota_Groups!$H$5:$H$60,Quota_Groups!$C$5:$C$60,$B5,Quota_Groups!$E$5:$E$60,Request!E19),SUMIFS(Quota_Groups!$P$5:$P$60,Quota_Groups!$C$5:$C$60,$B5,Quota_Groups!$E$5:$E$60,"Eadsv5")),0)</f>
        <v/>
      </c>
      <c r="CN5" s="24">
        <f>IF(CD5=1,SUMIFS(Quota_Groups!$F$5:$F$60,Quota_Groups!$C$5:$C$60,$B5,Quota_Groups!$E$5:$E$60,Request!E19),0)</f>
        <v/>
      </c>
      <c r="CO5" s="24">
        <f>IF(CD5=1,SUMIFS(Quota_Groups!$M$5:$M$60,Quota_Groups!$C$5:$C$60,$B5,Quota_Groups!$E$5:$E$60,Request!E19),0)</f>
        <v/>
      </c>
      <c r="CP5" s="24">
        <f>IF(AND(Request!A20&lt;&gt;"",ISNUMBER(Request!B20),Request!B20&gt;0),1,0)</f>
        <v/>
      </c>
      <c r="CQ5" s="24">
        <f>IF(CP5=1,Request!D20,0)</f>
        <v/>
      </c>
      <c r="CR5" s="25">
        <f>IF(CP5=1,Request!E20,"")</f>
        <v/>
      </c>
      <c r="CS5" s="24">
        <f>IF(CP5=1,SUMIFS(Capacity_Reservations!$L$5:$L$340,Capacity_Reservations!$B$5:$B$340,$B5,Capacity_Reservations!$D$5:$D$340,"Prod",Capacity_Reservations!$E$5:$E$340,Request!A20),0)</f>
        <v/>
      </c>
      <c r="CT5" s="24">
        <f>IF(CP5=1,SUMIFS(Capacity_Reservations!$K$5:$K$340,Capacity_Reservations!$B$5:$B$340,$B5,Capacity_Reservations!$D$5:$D$340,"Prod",Capacity_Reservations!$E$5:$E$340,Request!A20),0)</f>
        <v/>
      </c>
      <c r="CU5" s="24">
        <f>IF(CP5=1,SUMIFS(Capacity_Reservations!$L$5:$L$340,Capacity_Reservations!$B$5:$B$340,$B5,Capacity_Reservations!$D$5:$D$340,"NonProd",Capacity_Reservations!$E$5:$E$340,Request!A20),0)</f>
        <v/>
      </c>
      <c r="CV5" s="24">
        <f>IF(CP5=1,SUMIFS(Capacity_Reservations!$K$5:$K$340,Capacity_Reservations!$B$5:$B$340,$B5,Capacity_Reservations!$D$5:$D$340,"NonProd",Capacity_Reservations!$E$5:$E$340,Request!A20),0)</f>
        <v/>
      </c>
      <c r="CW5" s="24">
        <f>IF(CP5=1,SUMIFS(Capacity_Reservations!$L$5:$L$340,Capacity_Reservations!$B$5:$B$340,$B5,Capacity_Reservations!$D$5:$D$340,"DR",Capacity_Reservations!$E$5:$E$340,Request!A20),0)</f>
        <v/>
      </c>
      <c r="CX5" s="24">
        <f>IF(CP5=1,SUMIFS(Capacity_Reservations!$K$5:$K$340,Capacity_Reservations!$B$5:$B$340,$B5,Capacity_Reservations!$D$5:$D$340,"DR",Capacity_Reservations!$E$5:$E$340,Request!A20),0)</f>
        <v/>
      </c>
      <c r="CY5" s="24">
        <f>IF(CP5=1,MIN(SUMIFS(Quota_Groups!$H$5:$H$60,Quota_Groups!$C$5:$C$60,$B5,Quota_Groups!$E$5:$E$60,Request!E20),SUMIFS(Quota_Groups!$P$5:$P$60,Quota_Groups!$C$5:$C$60,$B5,Quota_Groups!$E$5:$E$60,"Eadsv5")),0)</f>
        <v/>
      </c>
      <c r="CZ5" s="24">
        <f>IF(CP5=1,SUMIFS(Quota_Groups!$F$5:$F$60,Quota_Groups!$C$5:$C$60,$B5,Quota_Groups!$E$5:$E$60,Request!E20),0)</f>
        <v/>
      </c>
      <c r="DA5" s="24">
        <f>IF(CP5=1,SUMIFS(Quota_Groups!$M$5:$M$60,Quota_Groups!$C$5:$C$60,$B5,Quota_Groups!$E$5:$E$60,Request!E20),0)</f>
        <v/>
      </c>
    </row>
    <row r="6">
      <c r="A6" s="6">
        <f>Region_Catalogue!A6</f>
        <v/>
      </c>
      <c r="B6" s="6">
        <f>Region_Catalogue!B6</f>
        <v/>
      </c>
      <c r="C6" s="15">
        <f>Region_Catalogue!C6</f>
        <v/>
      </c>
      <c r="D6" s="15">
        <f>Region_Catalogue!G6</f>
        <v/>
      </c>
      <c r="E6" s="15">
        <f>Region_Catalogue!E6</f>
        <v/>
      </c>
      <c r="F6" s="15">
        <f>Region_Catalogue!F6</f>
        <v/>
      </c>
      <c r="G6" s="42">
        <f>Region_Catalogue!D6</f>
        <v/>
      </c>
      <c r="H6" s="42">
        <f>Region_Catalogue!H6</f>
        <v/>
      </c>
      <c r="I6" s="43">
        <f>Region_Catalogue!I6</f>
        <v/>
      </c>
      <c r="J6" s="24">
        <f>IF(AND(Request!A13&lt;&gt;"",ISNUMBER(Request!B13),Request!B13&gt;0),1,0)</f>
        <v/>
      </c>
      <c r="K6" s="24">
        <f>IF(J6=1,Request!D13,0)</f>
        <v/>
      </c>
      <c r="L6" s="25">
        <f>IF(J6=1,Request!E13,"")</f>
        <v/>
      </c>
      <c r="M6" s="24">
        <f>IF(J6=1,SUMIFS(Capacity_Reservations!$L$5:$L$340,Capacity_Reservations!$B$5:$B$340,$B6,Capacity_Reservations!$D$5:$D$340,"Prod",Capacity_Reservations!$E$5:$E$340,Request!A13),0)</f>
        <v/>
      </c>
      <c r="N6" s="24">
        <f>IF(J6=1,SUMIFS(Capacity_Reservations!$K$5:$K$340,Capacity_Reservations!$B$5:$B$340,$B6,Capacity_Reservations!$D$5:$D$340,"Prod",Capacity_Reservations!$E$5:$E$340,Request!A13),0)</f>
        <v/>
      </c>
      <c r="O6" s="24">
        <f>IF(J6=1,SUMIFS(Capacity_Reservations!$L$5:$L$340,Capacity_Reservations!$B$5:$B$340,$B6,Capacity_Reservations!$D$5:$D$340,"NonProd",Capacity_Reservations!$E$5:$E$340,Request!A13),0)</f>
        <v/>
      </c>
      <c r="P6" s="24">
        <f>IF(J6=1,SUMIFS(Capacity_Reservations!$K$5:$K$340,Capacity_Reservations!$B$5:$B$340,$B6,Capacity_Reservations!$D$5:$D$340,"NonProd",Capacity_Reservations!$E$5:$E$340,Request!A13),0)</f>
        <v/>
      </c>
      <c r="Q6" s="24">
        <f>IF(J6=1,SUMIFS(Capacity_Reservations!$L$5:$L$340,Capacity_Reservations!$B$5:$B$340,$B6,Capacity_Reservations!$D$5:$D$340,"DR",Capacity_Reservations!$E$5:$E$340,Request!A13),0)</f>
        <v/>
      </c>
      <c r="R6" s="24">
        <f>IF(J6=1,SUMIFS(Capacity_Reservations!$K$5:$K$340,Capacity_Reservations!$B$5:$B$340,$B6,Capacity_Reservations!$D$5:$D$340,"DR",Capacity_Reservations!$E$5:$E$340,Request!A13),0)</f>
        <v/>
      </c>
      <c r="S6" s="24">
        <f>IF(J6=1,MIN(SUMIFS(Quota_Groups!$H$5:$H$60,Quota_Groups!$C$5:$C$60,$B6,Quota_Groups!$E$5:$E$60,Request!E13),SUMIFS(Quota_Groups!$P$5:$P$60,Quota_Groups!$C$5:$C$60,$B6,Quota_Groups!$E$5:$E$60,"Eadsv5")),0)</f>
        <v/>
      </c>
      <c r="T6" s="24">
        <f>IF(J6=1,SUMIFS(Quota_Groups!$F$5:$F$60,Quota_Groups!$C$5:$C$60,$B6,Quota_Groups!$E$5:$E$60,Request!E13),0)</f>
        <v/>
      </c>
      <c r="U6" s="24">
        <f>IF(J6=1,SUMIFS(Quota_Groups!$M$5:$M$60,Quota_Groups!$C$5:$C$60,$B6,Quota_Groups!$E$5:$E$60,Request!E13),0)</f>
        <v/>
      </c>
      <c r="V6" s="24">
        <f>IF(AND(Request!A14&lt;&gt;"",ISNUMBER(Request!B14),Request!B14&gt;0),1,0)</f>
        <v/>
      </c>
      <c r="W6" s="24">
        <f>IF(V6=1,Request!D14,0)</f>
        <v/>
      </c>
      <c r="X6" s="25">
        <f>IF(V6=1,Request!E14,"")</f>
        <v/>
      </c>
      <c r="Y6" s="24">
        <f>IF(V6=1,SUMIFS(Capacity_Reservations!$L$5:$L$340,Capacity_Reservations!$B$5:$B$340,$B6,Capacity_Reservations!$D$5:$D$340,"Prod",Capacity_Reservations!$E$5:$E$340,Request!A14),0)</f>
        <v/>
      </c>
      <c r="Z6" s="24">
        <f>IF(V6=1,SUMIFS(Capacity_Reservations!$K$5:$K$340,Capacity_Reservations!$B$5:$B$340,$B6,Capacity_Reservations!$D$5:$D$340,"Prod",Capacity_Reservations!$E$5:$E$340,Request!A14),0)</f>
        <v/>
      </c>
      <c r="AA6" s="24">
        <f>IF(V6=1,SUMIFS(Capacity_Reservations!$L$5:$L$340,Capacity_Reservations!$B$5:$B$340,$B6,Capacity_Reservations!$D$5:$D$340,"NonProd",Capacity_Reservations!$E$5:$E$340,Request!A14),0)</f>
        <v/>
      </c>
      <c r="AB6" s="24">
        <f>IF(V6=1,SUMIFS(Capacity_Reservations!$K$5:$K$340,Capacity_Reservations!$B$5:$B$340,$B6,Capacity_Reservations!$D$5:$D$340,"NonProd",Capacity_Reservations!$E$5:$E$340,Request!A14),0)</f>
        <v/>
      </c>
      <c r="AC6" s="24">
        <f>IF(V6=1,SUMIFS(Capacity_Reservations!$L$5:$L$340,Capacity_Reservations!$B$5:$B$340,$B6,Capacity_Reservations!$D$5:$D$340,"DR",Capacity_Reservations!$E$5:$E$340,Request!A14),0)</f>
        <v/>
      </c>
      <c r="AD6" s="24">
        <f>IF(V6=1,SUMIFS(Capacity_Reservations!$K$5:$K$340,Capacity_Reservations!$B$5:$B$340,$B6,Capacity_Reservations!$D$5:$D$340,"DR",Capacity_Reservations!$E$5:$E$340,Request!A14),0)</f>
        <v/>
      </c>
      <c r="AE6" s="24">
        <f>IF(V6=1,MIN(SUMIFS(Quota_Groups!$H$5:$H$60,Quota_Groups!$C$5:$C$60,$B6,Quota_Groups!$E$5:$E$60,Request!E14),SUMIFS(Quota_Groups!$P$5:$P$60,Quota_Groups!$C$5:$C$60,$B6,Quota_Groups!$E$5:$E$60,"Eadsv5")),0)</f>
        <v/>
      </c>
      <c r="AF6" s="24">
        <f>IF(V6=1,SUMIFS(Quota_Groups!$F$5:$F$60,Quota_Groups!$C$5:$C$60,$B6,Quota_Groups!$E$5:$E$60,Request!E14),0)</f>
        <v/>
      </c>
      <c r="AG6" s="24">
        <f>IF(V6=1,SUMIFS(Quota_Groups!$M$5:$M$60,Quota_Groups!$C$5:$C$60,$B6,Quota_Groups!$E$5:$E$60,Request!E14),0)</f>
        <v/>
      </c>
      <c r="AH6" s="24">
        <f>IF(AND(Request!A15&lt;&gt;"",ISNUMBER(Request!B15),Request!B15&gt;0),1,0)</f>
        <v/>
      </c>
      <c r="AI6" s="24">
        <f>IF(AH6=1,Request!D15,0)</f>
        <v/>
      </c>
      <c r="AJ6" s="25">
        <f>IF(AH6=1,Request!E15,"")</f>
        <v/>
      </c>
      <c r="AK6" s="24">
        <f>IF(AH6=1,SUMIFS(Capacity_Reservations!$L$5:$L$340,Capacity_Reservations!$B$5:$B$340,$B6,Capacity_Reservations!$D$5:$D$340,"Prod",Capacity_Reservations!$E$5:$E$340,Request!A15),0)</f>
        <v/>
      </c>
      <c r="AL6" s="24">
        <f>IF(AH6=1,SUMIFS(Capacity_Reservations!$K$5:$K$340,Capacity_Reservations!$B$5:$B$340,$B6,Capacity_Reservations!$D$5:$D$340,"Prod",Capacity_Reservations!$E$5:$E$340,Request!A15),0)</f>
        <v/>
      </c>
      <c r="AM6" s="24">
        <f>IF(AH6=1,SUMIFS(Capacity_Reservations!$L$5:$L$340,Capacity_Reservations!$B$5:$B$340,$B6,Capacity_Reservations!$D$5:$D$340,"NonProd",Capacity_Reservations!$E$5:$E$340,Request!A15),0)</f>
        <v/>
      </c>
      <c r="AN6" s="24">
        <f>IF(AH6=1,SUMIFS(Capacity_Reservations!$K$5:$K$340,Capacity_Reservations!$B$5:$B$340,$B6,Capacity_Reservations!$D$5:$D$340,"NonProd",Capacity_Reservations!$E$5:$E$340,Request!A15),0)</f>
        <v/>
      </c>
      <c r="AO6" s="24">
        <f>IF(AH6=1,SUMIFS(Capacity_Reservations!$L$5:$L$340,Capacity_Reservations!$B$5:$B$340,$B6,Capacity_Reservations!$D$5:$D$340,"DR",Capacity_Reservations!$E$5:$E$340,Request!A15),0)</f>
        <v/>
      </c>
      <c r="AP6" s="24">
        <f>IF(AH6=1,SUMIFS(Capacity_Reservations!$K$5:$K$340,Capacity_Reservations!$B$5:$B$340,$B6,Capacity_Reservations!$D$5:$D$340,"DR",Capacity_Reservations!$E$5:$E$340,Request!A15),0)</f>
        <v/>
      </c>
      <c r="AQ6" s="24">
        <f>IF(AH6=1,MIN(SUMIFS(Quota_Groups!$H$5:$H$60,Quota_Groups!$C$5:$C$60,$B6,Quota_Groups!$E$5:$E$60,Request!E15),SUMIFS(Quota_Groups!$P$5:$P$60,Quota_Groups!$C$5:$C$60,$B6,Quota_Groups!$E$5:$E$60,"Eadsv5")),0)</f>
        <v/>
      </c>
      <c r="AR6" s="24">
        <f>IF(AH6=1,SUMIFS(Quota_Groups!$F$5:$F$60,Quota_Groups!$C$5:$C$60,$B6,Quota_Groups!$E$5:$E$60,Request!E15),0)</f>
        <v/>
      </c>
      <c r="AS6" s="24">
        <f>IF(AH6=1,SUMIFS(Quota_Groups!$M$5:$M$60,Quota_Groups!$C$5:$C$60,$B6,Quota_Groups!$E$5:$E$60,Request!E15),0)</f>
        <v/>
      </c>
      <c r="AT6" s="24">
        <f>IF(AND(Request!A16&lt;&gt;"",ISNUMBER(Request!B16),Request!B16&gt;0),1,0)</f>
        <v/>
      </c>
      <c r="AU6" s="24">
        <f>IF(AT6=1,Request!D16,0)</f>
        <v/>
      </c>
      <c r="AV6" s="25">
        <f>IF(AT6=1,Request!E16,"")</f>
        <v/>
      </c>
      <c r="AW6" s="24">
        <f>IF(AT6=1,SUMIFS(Capacity_Reservations!$L$5:$L$340,Capacity_Reservations!$B$5:$B$340,$B6,Capacity_Reservations!$D$5:$D$340,"Prod",Capacity_Reservations!$E$5:$E$340,Request!A16),0)</f>
        <v/>
      </c>
      <c r="AX6" s="24">
        <f>IF(AT6=1,SUMIFS(Capacity_Reservations!$K$5:$K$340,Capacity_Reservations!$B$5:$B$340,$B6,Capacity_Reservations!$D$5:$D$340,"Prod",Capacity_Reservations!$E$5:$E$340,Request!A16),0)</f>
        <v/>
      </c>
      <c r="AY6" s="24">
        <f>IF(AT6=1,SUMIFS(Capacity_Reservations!$L$5:$L$340,Capacity_Reservations!$B$5:$B$340,$B6,Capacity_Reservations!$D$5:$D$340,"NonProd",Capacity_Reservations!$E$5:$E$340,Request!A16),0)</f>
        <v/>
      </c>
      <c r="AZ6" s="24">
        <f>IF(AT6=1,SUMIFS(Capacity_Reservations!$K$5:$K$340,Capacity_Reservations!$B$5:$B$340,$B6,Capacity_Reservations!$D$5:$D$340,"NonProd",Capacity_Reservations!$E$5:$E$340,Request!A16),0)</f>
        <v/>
      </c>
      <c r="BA6" s="24">
        <f>IF(AT6=1,SUMIFS(Capacity_Reservations!$L$5:$L$340,Capacity_Reservations!$B$5:$B$340,$B6,Capacity_Reservations!$D$5:$D$340,"DR",Capacity_Reservations!$E$5:$E$340,Request!A16),0)</f>
        <v/>
      </c>
      <c r="BB6" s="24">
        <f>IF(AT6=1,SUMIFS(Capacity_Reservations!$K$5:$K$340,Capacity_Reservations!$B$5:$B$340,$B6,Capacity_Reservations!$D$5:$D$340,"DR",Capacity_Reservations!$E$5:$E$340,Request!A16),0)</f>
        <v/>
      </c>
      <c r="BC6" s="24">
        <f>IF(AT6=1,MIN(SUMIFS(Quota_Groups!$H$5:$H$60,Quota_Groups!$C$5:$C$60,$B6,Quota_Groups!$E$5:$E$60,Request!E16),SUMIFS(Quota_Groups!$P$5:$P$60,Quota_Groups!$C$5:$C$60,$B6,Quota_Groups!$E$5:$E$60,"Eadsv5")),0)</f>
        <v/>
      </c>
      <c r="BD6" s="24">
        <f>IF(AT6=1,SUMIFS(Quota_Groups!$F$5:$F$60,Quota_Groups!$C$5:$C$60,$B6,Quota_Groups!$E$5:$E$60,Request!E16),0)</f>
        <v/>
      </c>
      <c r="BE6" s="24">
        <f>IF(AT6=1,SUMIFS(Quota_Groups!$M$5:$M$60,Quota_Groups!$C$5:$C$60,$B6,Quota_Groups!$E$5:$E$60,Request!E16),0)</f>
        <v/>
      </c>
      <c r="BF6" s="24">
        <f>IF(AND(Request!A17&lt;&gt;"",ISNUMBER(Request!B17),Request!B17&gt;0),1,0)</f>
        <v/>
      </c>
      <c r="BG6" s="24">
        <f>IF(BF6=1,Request!D17,0)</f>
        <v/>
      </c>
      <c r="BH6" s="25">
        <f>IF(BF6=1,Request!E17,"")</f>
        <v/>
      </c>
      <c r="BI6" s="24">
        <f>IF(BF6=1,SUMIFS(Capacity_Reservations!$L$5:$L$340,Capacity_Reservations!$B$5:$B$340,$B6,Capacity_Reservations!$D$5:$D$340,"Prod",Capacity_Reservations!$E$5:$E$340,Request!A17),0)</f>
        <v/>
      </c>
      <c r="BJ6" s="24">
        <f>IF(BF6=1,SUMIFS(Capacity_Reservations!$K$5:$K$340,Capacity_Reservations!$B$5:$B$340,$B6,Capacity_Reservations!$D$5:$D$340,"Prod",Capacity_Reservations!$E$5:$E$340,Request!A17),0)</f>
        <v/>
      </c>
      <c r="BK6" s="24">
        <f>IF(BF6=1,SUMIFS(Capacity_Reservations!$L$5:$L$340,Capacity_Reservations!$B$5:$B$340,$B6,Capacity_Reservations!$D$5:$D$340,"NonProd",Capacity_Reservations!$E$5:$E$340,Request!A17),0)</f>
        <v/>
      </c>
      <c r="BL6" s="24">
        <f>IF(BF6=1,SUMIFS(Capacity_Reservations!$K$5:$K$340,Capacity_Reservations!$B$5:$B$340,$B6,Capacity_Reservations!$D$5:$D$340,"NonProd",Capacity_Reservations!$E$5:$E$340,Request!A17),0)</f>
        <v/>
      </c>
      <c r="BM6" s="24">
        <f>IF(BF6=1,SUMIFS(Capacity_Reservations!$L$5:$L$340,Capacity_Reservations!$B$5:$B$340,$B6,Capacity_Reservations!$D$5:$D$340,"DR",Capacity_Reservations!$E$5:$E$340,Request!A17),0)</f>
        <v/>
      </c>
      <c r="BN6" s="24">
        <f>IF(BF6=1,SUMIFS(Capacity_Reservations!$K$5:$K$340,Capacity_Reservations!$B$5:$B$340,$B6,Capacity_Reservations!$D$5:$D$340,"DR",Capacity_Reservations!$E$5:$E$340,Request!A17),0)</f>
        <v/>
      </c>
      <c r="BO6" s="24">
        <f>IF(BF6=1,MIN(SUMIFS(Quota_Groups!$H$5:$H$60,Quota_Groups!$C$5:$C$60,$B6,Quota_Groups!$E$5:$E$60,Request!E17),SUMIFS(Quota_Groups!$P$5:$P$60,Quota_Groups!$C$5:$C$60,$B6,Quota_Groups!$E$5:$E$60,"Eadsv5")),0)</f>
        <v/>
      </c>
      <c r="BP6" s="24">
        <f>IF(BF6=1,SUMIFS(Quota_Groups!$F$5:$F$60,Quota_Groups!$C$5:$C$60,$B6,Quota_Groups!$E$5:$E$60,Request!E17),0)</f>
        <v/>
      </c>
      <c r="BQ6" s="24">
        <f>IF(BF6=1,SUMIFS(Quota_Groups!$M$5:$M$60,Quota_Groups!$C$5:$C$60,$B6,Quota_Groups!$E$5:$E$60,Request!E17),0)</f>
        <v/>
      </c>
      <c r="BR6" s="24">
        <f>IF(AND(Request!A18&lt;&gt;"",ISNUMBER(Request!B18),Request!B18&gt;0),1,0)</f>
        <v/>
      </c>
      <c r="BS6" s="24">
        <f>IF(BR6=1,Request!D18,0)</f>
        <v/>
      </c>
      <c r="BT6" s="25">
        <f>IF(BR6=1,Request!E18,"")</f>
        <v/>
      </c>
      <c r="BU6" s="24">
        <f>IF(BR6=1,SUMIFS(Capacity_Reservations!$L$5:$L$340,Capacity_Reservations!$B$5:$B$340,$B6,Capacity_Reservations!$D$5:$D$340,"Prod",Capacity_Reservations!$E$5:$E$340,Request!A18),0)</f>
        <v/>
      </c>
      <c r="BV6" s="24">
        <f>IF(BR6=1,SUMIFS(Capacity_Reservations!$K$5:$K$340,Capacity_Reservations!$B$5:$B$340,$B6,Capacity_Reservations!$D$5:$D$340,"Prod",Capacity_Reservations!$E$5:$E$340,Request!A18),0)</f>
        <v/>
      </c>
      <c r="BW6" s="24">
        <f>IF(BR6=1,SUMIFS(Capacity_Reservations!$L$5:$L$340,Capacity_Reservations!$B$5:$B$340,$B6,Capacity_Reservations!$D$5:$D$340,"NonProd",Capacity_Reservations!$E$5:$E$340,Request!A18),0)</f>
        <v/>
      </c>
      <c r="BX6" s="24">
        <f>IF(BR6=1,SUMIFS(Capacity_Reservations!$K$5:$K$340,Capacity_Reservations!$B$5:$B$340,$B6,Capacity_Reservations!$D$5:$D$340,"NonProd",Capacity_Reservations!$E$5:$E$340,Request!A18),0)</f>
        <v/>
      </c>
      <c r="BY6" s="24">
        <f>IF(BR6=1,SUMIFS(Capacity_Reservations!$L$5:$L$340,Capacity_Reservations!$B$5:$B$340,$B6,Capacity_Reservations!$D$5:$D$340,"DR",Capacity_Reservations!$E$5:$E$340,Request!A18),0)</f>
        <v/>
      </c>
      <c r="BZ6" s="24">
        <f>IF(BR6=1,SUMIFS(Capacity_Reservations!$K$5:$K$340,Capacity_Reservations!$B$5:$B$340,$B6,Capacity_Reservations!$D$5:$D$340,"DR",Capacity_Reservations!$E$5:$E$340,Request!A18),0)</f>
        <v/>
      </c>
      <c r="CA6" s="24">
        <f>IF(BR6=1,MIN(SUMIFS(Quota_Groups!$H$5:$H$60,Quota_Groups!$C$5:$C$60,$B6,Quota_Groups!$E$5:$E$60,Request!E18),SUMIFS(Quota_Groups!$P$5:$P$60,Quota_Groups!$C$5:$C$60,$B6,Quota_Groups!$E$5:$E$60,"Eadsv5")),0)</f>
        <v/>
      </c>
      <c r="CB6" s="24">
        <f>IF(BR6=1,SUMIFS(Quota_Groups!$F$5:$F$60,Quota_Groups!$C$5:$C$60,$B6,Quota_Groups!$E$5:$E$60,Request!E18),0)</f>
        <v/>
      </c>
      <c r="CC6" s="24">
        <f>IF(BR6=1,SUMIFS(Quota_Groups!$M$5:$M$60,Quota_Groups!$C$5:$C$60,$B6,Quota_Groups!$E$5:$E$60,Request!E18),0)</f>
        <v/>
      </c>
      <c r="CD6" s="24">
        <f>IF(AND(Request!A19&lt;&gt;"",ISNUMBER(Request!B19),Request!B19&gt;0),1,0)</f>
        <v/>
      </c>
      <c r="CE6" s="24">
        <f>IF(CD6=1,Request!D19,0)</f>
        <v/>
      </c>
      <c r="CF6" s="25">
        <f>IF(CD6=1,Request!E19,"")</f>
        <v/>
      </c>
      <c r="CG6" s="24">
        <f>IF(CD6=1,SUMIFS(Capacity_Reservations!$L$5:$L$340,Capacity_Reservations!$B$5:$B$340,$B6,Capacity_Reservations!$D$5:$D$340,"Prod",Capacity_Reservations!$E$5:$E$340,Request!A19),0)</f>
        <v/>
      </c>
      <c r="CH6" s="24">
        <f>IF(CD6=1,SUMIFS(Capacity_Reservations!$K$5:$K$340,Capacity_Reservations!$B$5:$B$340,$B6,Capacity_Reservations!$D$5:$D$340,"Prod",Capacity_Reservations!$E$5:$E$340,Request!A19),0)</f>
        <v/>
      </c>
      <c r="CI6" s="24">
        <f>IF(CD6=1,SUMIFS(Capacity_Reservations!$L$5:$L$340,Capacity_Reservations!$B$5:$B$340,$B6,Capacity_Reservations!$D$5:$D$340,"NonProd",Capacity_Reservations!$E$5:$E$340,Request!A19),0)</f>
        <v/>
      </c>
      <c r="CJ6" s="24">
        <f>IF(CD6=1,SUMIFS(Capacity_Reservations!$K$5:$K$340,Capacity_Reservations!$B$5:$B$340,$B6,Capacity_Reservations!$D$5:$D$340,"NonProd",Capacity_Reservations!$E$5:$E$340,Request!A19),0)</f>
        <v/>
      </c>
      <c r="CK6" s="24">
        <f>IF(CD6=1,SUMIFS(Capacity_Reservations!$L$5:$L$340,Capacity_Reservations!$B$5:$B$340,$B6,Capacity_Reservations!$D$5:$D$340,"DR",Capacity_Reservations!$E$5:$E$340,Request!A19),0)</f>
        <v/>
      </c>
      <c r="CL6" s="24">
        <f>IF(CD6=1,SUMIFS(Capacity_Reservations!$K$5:$K$340,Capacity_Reservations!$B$5:$B$340,$B6,Capacity_Reservations!$D$5:$D$340,"DR",Capacity_Reservations!$E$5:$E$340,Request!A19),0)</f>
        <v/>
      </c>
      <c r="CM6" s="24">
        <f>IF(CD6=1,MIN(SUMIFS(Quota_Groups!$H$5:$H$60,Quota_Groups!$C$5:$C$60,$B6,Quota_Groups!$E$5:$E$60,Request!E19),SUMIFS(Quota_Groups!$P$5:$P$60,Quota_Groups!$C$5:$C$60,$B6,Quota_Groups!$E$5:$E$60,"Eadsv5")),0)</f>
        <v/>
      </c>
      <c r="CN6" s="24">
        <f>IF(CD6=1,SUMIFS(Quota_Groups!$F$5:$F$60,Quota_Groups!$C$5:$C$60,$B6,Quota_Groups!$E$5:$E$60,Request!E19),0)</f>
        <v/>
      </c>
      <c r="CO6" s="24">
        <f>IF(CD6=1,SUMIFS(Quota_Groups!$M$5:$M$60,Quota_Groups!$C$5:$C$60,$B6,Quota_Groups!$E$5:$E$60,Request!E19),0)</f>
        <v/>
      </c>
      <c r="CP6" s="24">
        <f>IF(AND(Request!A20&lt;&gt;"",ISNUMBER(Request!B20),Request!B20&gt;0),1,0)</f>
        <v/>
      </c>
      <c r="CQ6" s="24">
        <f>IF(CP6=1,Request!D20,0)</f>
        <v/>
      </c>
      <c r="CR6" s="25">
        <f>IF(CP6=1,Request!E20,"")</f>
        <v/>
      </c>
      <c r="CS6" s="24">
        <f>IF(CP6=1,SUMIFS(Capacity_Reservations!$L$5:$L$340,Capacity_Reservations!$B$5:$B$340,$B6,Capacity_Reservations!$D$5:$D$340,"Prod",Capacity_Reservations!$E$5:$E$340,Request!A20),0)</f>
        <v/>
      </c>
      <c r="CT6" s="24">
        <f>IF(CP6=1,SUMIFS(Capacity_Reservations!$K$5:$K$340,Capacity_Reservations!$B$5:$B$340,$B6,Capacity_Reservations!$D$5:$D$340,"Prod",Capacity_Reservations!$E$5:$E$340,Request!A20),0)</f>
        <v/>
      </c>
      <c r="CU6" s="24">
        <f>IF(CP6=1,SUMIFS(Capacity_Reservations!$L$5:$L$340,Capacity_Reservations!$B$5:$B$340,$B6,Capacity_Reservations!$D$5:$D$340,"NonProd",Capacity_Reservations!$E$5:$E$340,Request!A20),0)</f>
        <v/>
      </c>
      <c r="CV6" s="24">
        <f>IF(CP6=1,SUMIFS(Capacity_Reservations!$K$5:$K$340,Capacity_Reservations!$B$5:$B$340,$B6,Capacity_Reservations!$D$5:$D$340,"NonProd",Capacity_Reservations!$E$5:$E$340,Request!A20),0)</f>
        <v/>
      </c>
      <c r="CW6" s="24">
        <f>IF(CP6=1,SUMIFS(Capacity_Reservations!$L$5:$L$340,Capacity_Reservations!$B$5:$B$340,$B6,Capacity_Reservations!$D$5:$D$340,"DR",Capacity_Reservations!$E$5:$E$340,Request!A20),0)</f>
        <v/>
      </c>
      <c r="CX6" s="24">
        <f>IF(CP6=1,SUMIFS(Capacity_Reservations!$K$5:$K$340,Capacity_Reservations!$B$5:$B$340,$B6,Capacity_Reservations!$D$5:$D$340,"DR",Capacity_Reservations!$E$5:$E$340,Request!A20),0)</f>
        <v/>
      </c>
      <c r="CY6" s="24">
        <f>IF(CP6=1,MIN(SUMIFS(Quota_Groups!$H$5:$H$60,Quota_Groups!$C$5:$C$60,$B6,Quota_Groups!$E$5:$E$60,Request!E20),SUMIFS(Quota_Groups!$P$5:$P$60,Quota_Groups!$C$5:$C$60,$B6,Quota_Groups!$E$5:$E$60,"Eadsv5")),0)</f>
        <v/>
      </c>
      <c r="CZ6" s="24">
        <f>IF(CP6=1,SUMIFS(Quota_Groups!$F$5:$F$60,Quota_Groups!$C$5:$C$60,$B6,Quota_Groups!$E$5:$E$60,Request!E20),0)</f>
        <v/>
      </c>
      <c r="DA6" s="24">
        <f>IF(CP6=1,SUMIFS(Quota_Groups!$M$5:$M$60,Quota_Groups!$C$5:$C$60,$B6,Quota_Groups!$E$5:$E$60,Request!E20),0)</f>
        <v/>
      </c>
    </row>
    <row r="7">
      <c r="A7" s="6">
        <f>Region_Catalogue!A7</f>
        <v/>
      </c>
      <c r="B7" s="6">
        <f>Region_Catalogue!B7</f>
        <v/>
      </c>
      <c r="C7" s="15">
        <f>Region_Catalogue!C7</f>
        <v/>
      </c>
      <c r="D7" s="15">
        <f>Region_Catalogue!G7</f>
        <v/>
      </c>
      <c r="E7" s="15">
        <f>Region_Catalogue!E7</f>
        <v/>
      </c>
      <c r="F7" s="15">
        <f>Region_Catalogue!F7</f>
        <v/>
      </c>
      <c r="G7" s="42">
        <f>Region_Catalogue!D7</f>
        <v/>
      </c>
      <c r="H7" s="42">
        <f>Region_Catalogue!H7</f>
        <v/>
      </c>
      <c r="I7" s="43">
        <f>Region_Catalogue!I7</f>
        <v/>
      </c>
      <c r="J7" s="24">
        <f>IF(AND(Request!A13&lt;&gt;"",ISNUMBER(Request!B13),Request!B13&gt;0),1,0)</f>
        <v/>
      </c>
      <c r="K7" s="24">
        <f>IF(J7=1,Request!D13,0)</f>
        <v/>
      </c>
      <c r="L7" s="25">
        <f>IF(J7=1,Request!E13,"")</f>
        <v/>
      </c>
      <c r="M7" s="24">
        <f>IF(J7=1,SUMIFS(Capacity_Reservations!$L$5:$L$340,Capacity_Reservations!$B$5:$B$340,$B7,Capacity_Reservations!$D$5:$D$340,"Prod",Capacity_Reservations!$E$5:$E$340,Request!A13),0)</f>
        <v/>
      </c>
      <c r="N7" s="24">
        <f>IF(J7=1,SUMIFS(Capacity_Reservations!$K$5:$K$340,Capacity_Reservations!$B$5:$B$340,$B7,Capacity_Reservations!$D$5:$D$340,"Prod",Capacity_Reservations!$E$5:$E$340,Request!A13),0)</f>
        <v/>
      </c>
      <c r="O7" s="24">
        <f>IF(J7=1,SUMIFS(Capacity_Reservations!$L$5:$L$340,Capacity_Reservations!$B$5:$B$340,$B7,Capacity_Reservations!$D$5:$D$340,"NonProd",Capacity_Reservations!$E$5:$E$340,Request!A13),0)</f>
        <v/>
      </c>
      <c r="P7" s="24">
        <f>IF(J7=1,SUMIFS(Capacity_Reservations!$K$5:$K$340,Capacity_Reservations!$B$5:$B$340,$B7,Capacity_Reservations!$D$5:$D$340,"NonProd",Capacity_Reservations!$E$5:$E$340,Request!A13),0)</f>
        <v/>
      </c>
      <c r="Q7" s="24">
        <f>IF(J7=1,SUMIFS(Capacity_Reservations!$L$5:$L$340,Capacity_Reservations!$B$5:$B$340,$B7,Capacity_Reservations!$D$5:$D$340,"DR",Capacity_Reservations!$E$5:$E$340,Request!A13),0)</f>
        <v/>
      </c>
      <c r="R7" s="24">
        <f>IF(J7=1,SUMIFS(Capacity_Reservations!$K$5:$K$340,Capacity_Reservations!$B$5:$B$340,$B7,Capacity_Reservations!$D$5:$D$340,"DR",Capacity_Reservations!$E$5:$E$340,Request!A13),0)</f>
        <v/>
      </c>
      <c r="S7" s="24">
        <f>IF(J7=1,MIN(SUMIFS(Quota_Groups!$H$5:$H$60,Quota_Groups!$C$5:$C$60,$B7,Quota_Groups!$E$5:$E$60,Request!E13),SUMIFS(Quota_Groups!$P$5:$P$60,Quota_Groups!$C$5:$C$60,$B7,Quota_Groups!$E$5:$E$60,"Eadsv5")),0)</f>
        <v/>
      </c>
      <c r="T7" s="24">
        <f>IF(J7=1,SUMIFS(Quota_Groups!$F$5:$F$60,Quota_Groups!$C$5:$C$60,$B7,Quota_Groups!$E$5:$E$60,Request!E13),0)</f>
        <v/>
      </c>
      <c r="U7" s="24">
        <f>IF(J7=1,SUMIFS(Quota_Groups!$M$5:$M$60,Quota_Groups!$C$5:$C$60,$B7,Quota_Groups!$E$5:$E$60,Request!E13),0)</f>
        <v/>
      </c>
      <c r="V7" s="24">
        <f>IF(AND(Request!A14&lt;&gt;"",ISNUMBER(Request!B14),Request!B14&gt;0),1,0)</f>
        <v/>
      </c>
      <c r="W7" s="24">
        <f>IF(V7=1,Request!D14,0)</f>
        <v/>
      </c>
      <c r="X7" s="25">
        <f>IF(V7=1,Request!E14,"")</f>
        <v/>
      </c>
      <c r="Y7" s="24">
        <f>IF(V7=1,SUMIFS(Capacity_Reservations!$L$5:$L$340,Capacity_Reservations!$B$5:$B$340,$B7,Capacity_Reservations!$D$5:$D$340,"Prod",Capacity_Reservations!$E$5:$E$340,Request!A14),0)</f>
        <v/>
      </c>
      <c r="Z7" s="24">
        <f>IF(V7=1,SUMIFS(Capacity_Reservations!$K$5:$K$340,Capacity_Reservations!$B$5:$B$340,$B7,Capacity_Reservations!$D$5:$D$340,"Prod",Capacity_Reservations!$E$5:$E$340,Request!A14),0)</f>
        <v/>
      </c>
      <c r="AA7" s="24">
        <f>IF(V7=1,SUMIFS(Capacity_Reservations!$L$5:$L$340,Capacity_Reservations!$B$5:$B$340,$B7,Capacity_Reservations!$D$5:$D$340,"NonProd",Capacity_Reservations!$E$5:$E$340,Request!A14),0)</f>
        <v/>
      </c>
      <c r="AB7" s="24">
        <f>IF(V7=1,SUMIFS(Capacity_Reservations!$K$5:$K$340,Capacity_Reservations!$B$5:$B$340,$B7,Capacity_Reservations!$D$5:$D$340,"NonProd",Capacity_Reservations!$E$5:$E$340,Request!A14),0)</f>
        <v/>
      </c>
      <c r="AC7" s="24">
        <f>IF(V7=1,SUMIFS(Capacity_Reservations!$L$5:$L$340,Capacity_Reservations!$B$5:$B$340,$B7,Capacity_Reservations!$D$5:$D$340,"DR",Capacity_Reservations!$E$5:$E$340,Request!A14),0)</f>
        <v/>
      </c>
      <c r="AD7" s="24">
        <f>IF(V7=1,SUMIFS(Capacity_Reservations!$K$5:$K$340,Capacity_Reservations!$B$5:$B$340,$B7,Capacity_Reservations!$D$5:$D$340,"DR",Capacity_Reservations!$E$5:$E$340,Request!A14),0)</f>
        <v/>
      </c>
      <c r="AE7" s="24">
        <f>IF(V7=1,MIN(SUMIFS(Quota_Groups!$H$5:$H$60,Quota_Groups!$C$5:$C$60,$B7,Quota_Groups!$E$5:$E$60,Request!E14),SUMIFS(Quota_Groups!$P$5:$P$60,Quota_Groups!$C$5:$C$60,$B7,Quota_Groups!$E$5:$E$60,"Eadsv5")),0)</f>
        <v/>
      </c>
      <c r="AF7" s="24">
        <f>IF(V7=1,SUMIFS(Quota_Groups!$F$5:$F$60,Quota_Groups!$C$5:$C$60,$B7,Quota_Groups!$E$5:$E$60,Request!E14),0)</f>
        <v/>
      </c>
      <c r="AG7" s="24">
        <f>IF(V7=1,SUMIFS(Quota_Groups!$M$5:$M$60,Quota_Groups!$C$5:$C$60,$B7,Quota_Groups!$E$5:$E$60,Request!E14),0)</f>
        <v/>
      </c>
      <c r="AH7" s="24">
        <f>IF(AND(Request!A15&lt;&gt;"",ISNUMBER(Request!B15),Request!B15&gt;0),1,0)</f>
        <v/>
      </c>
      <c r="AI7" s="24">
        <f>IF(AH7=1,Request!D15,0)</f>
        <v/>
      </c>
      <c r="AJ7" s="25">
        <f>IF(AH7=1,Request!E15,"")</f>
        <v/>
      </c>
      <c r="AK7" s="24">
        <f>IF(AH7=1,SUMIFS(Capacity_Reservations!$L$5:$L$340,Capacity_Reservations!$B$5:$B$340,$B7,Capacity_Reservations!$D$5:$D$340,"Prod",Capacity_Reservations!$E$5:$E$340,Request!A15),0)</f>
        <v/>
      </c>
      <c r="AL7" s="24">
        <f>IF(AH7=1,SUMIFS(Capacity_Reservations!$K$5:$K$340,Capacity_Reservations!$B$5:$B$340,$B7,Capacity_Reservations!$D$5:$D$340,"Prod",Capacity_Reservations!$E$5:$E$340,Request!A15),0)</f>
        <v/>
      </c>
      <c r="AM7" s="24">
        <f>IF(AH7=1,SUMIFS(Capacity_Reservations!$L$5:$L$340,Capacity_Reservations!$B$5:$B$340,$B7,Capacity_Reservations!$D$5:$D$340,"NonProd",Capacity_Reservations!$E$5:$E$340,Request!A15),0)</f>
        <v/>
      </c>
      <c r="AN7" s="24">
        <f>IF(AH7=1,SUMIFS(Capacity_Reservations!$K$5:$K$340,Capacity_Reservations!$B$5:$B$340,$B7,Capacity_Reservations!$D$5:$D$340,"NonProd",Capacity_Reservations!$E$5:$E$340,Request!A15),0)</f>
        <v/>
      </c>
      <c r="AO7" s="24">
        <f>IF(AH7=1,SUMIFS(Capacity_Reservations!$L$5:$L$340,Capacity_Reservations!$B$5:$B$340,$B7,Capacity_Reservations!$D$5:$D$340,"DR",Capacity_Reservations!$E$5:$E$340,Request!A15),0)</f>
        <v/>
      </c>
      <c r="AP7" s="24">
        <f>IF(AH7=1,SUMIFS(Capacity_Reservations!$K$5:$K$340,Capacity_Reservations!$B$5:$B$340,$B7,Capacity_Reservations!$D$5:$D$340,"DR",Capacity_Reservations!$E$5:$E$340,Request!A15),0)</f>
        <v/>
      </c>
      <c r="AQ7" s="24">
        <f>IF(AH7=1,MIN(SUMIFS(Quota_Groups!$H$5:$H$60,Quota_Groups!$C$5:$C$60,$B7,Quota_Groups!$E$5:$E$60,Request!E15),SUMIFS(Quota_Groups!$P$5:$P$60,Quota_Groups!$C$5:$C$60,$B7,Quota_Groups!$E$5:$E$60,"Eadsv5")),0)</f>
        <v/>
      </c>
      <c r="AR7" s="24">
        <f>IF(AH7=1,SUMIFS(Quota_Groups!$F$5:$F$60,Quota_Groups!$C$5:$C$60,$B7,Quota_Groups!$E$5:$E$60,Request!E15),0)</f>
        <v/>
      </c>
      <c r="AS7" s="24">
        <f>IF(AH7=1,SUMIFS(Quota_Groups!$M$5:$M$60,Quota_Groups!$C$5:$C$60,$B7,Quota_Groups!$E$5:$E$60,Request!E15),0)</f>
        <v/>
      </c>
      <c r="AT7" s="24">
        <f>IF(AND(Request!A16&lt;&gt;"",ISNUMBER(Request!B16),Request!B16&gt;0),1,0)</f>
        <v/>
      </c>
      <c r="AU7" s="24">
        <f>IF(AT7=1,Request!D16,0)</f>
        <v/>
      </c>
      <c r="AV7" s="25">
        <f>IF(AT7=1,Request!E16,"")</f>
        <v/>
      </c>
      <c r="AW7" s="24">
        <f>IF(AT7=1,SUMIFS(Capacity_Reservations!$L$5:$L$340,Capacity_Reservations!$B$5:$B$340,$B7,Capacity_Reservations!$D$5:$D$340,"Prod",Capacity_Reservations!$E$5:$E$340,Request!A16),0)</f>
        <v/>
      </c>
      <c r="AX7" s="24">
        <f>IF(AT7=1,SUMIFS(Capacity_Reservations!$K$5:$K$340,Capacity_Reservations!$B$5:$B$340,$B7,Capacity_Reservations!$D$5:$D$340,"Prod",Capacity_Reservations!$E$5:$E$340,Request!A16),0)</f>
        <v/>
      </c>
      <c r="AY7" s="24">
        <f>IF(AT7=1,SUMIFS(Capacity_Reservations!$L$5:$L$340,Capacity_Reservations!$B$5:$B$340,$B7,Capacity_Reservations!$D$5:$D$340,"NonProd",Capacity_Reservations!$E$5:$E$340,Request!A16),0)</f>
        <v/>
      </c>
      <c r="AZ7" s="24">
        <f>IF(AT7=1,SUMIFS(Capacity_Reservations!$K$5:$K$340,Capacity_Reservations!$B$5:$B$340,$B7,Capacity_Reservations!$D$5:$D$340,"NonProd",Capacity_Reservations!$E$5:$E$340,Request!A16),0)</f>
        <v/>
      </c>
      <c r="BA7" s="24">
        <f>IF(AT7=1,SUMIFS(Capacity_Reservations!$L$5:$L$340,Capacity_Reservations!$B$5:$B$340,$B7,Capacity_Reservations!$D$5:$D$340,"DR",Capacity_Reservations!$E$5:$E$340,Request!A16),0)</f>
        <v/>
      </c>
      <c r="BB7" s="24">
        <f>IF(AT7=1,SUMIFS(Capacity_Reservations!$K$5:$K$340,Capacity_Reservations!$B$5:$B$340,$B7,Capacity_Reservations!$D$5:$D$340,"DR",Capacity_Reservations!$E$5:$E$340,Request!A16),0)</f>
        <v/>
      </c>
      <c r="BC7" s="24">
        <f>IF(AT7=1,MIN(SUMIFS(Quota_Groups!$H$5:$H$60,Quota_Groups!$C$5:$C$60,$B7,Quota_Groups!$E$5:$E$60,Request!E16),SUMIFS(Quota_Groups!$P$5:$P$60,Quota_Groups!$C$5:$C$60,$B7,Quota_Groups!$E$5:$E$60,"Eadsv5")),0)</f>
        <v/>
      </c>
      <c r="BD7" s="24">
        <f>IF(AT7=1,SUMIFS(Quota_Groups!$F$5:$F$60,Quota_Groups!$C$5:$C$60,$B7,Quota_Groups!$E$5:$E$60,Request!E16),0)</f>
        <v/>
      </c>
      <c r="BE7" s="24">
        <f>IF(AT7=1,SUMIFS(Quota_Groups!$M$5:$M$60,Quota_Groups!$C$5:$C$60,$B7,Quota_Groups!$E$5:$E$60,Request!E16),0)</f>
        <v/>
      </c>
      <c r="BF7" s="24">
        <f>IF(AND(Request!A17&lt;&gt;"",ISNUMBER(Request!B17),Request!B17&gt;0),1,0)</f>
        <v/>
      </c>
      <c r="BG7" s="24">
        <f>IF(BF7=1,Request!D17,0)</f>
        <v/>
      </c>
      <c r="BH7" s="25">
        <f>IF(BF7=1,Request!E17,"")</f>
        <v/>
      </c>
      <c r="BI7" s="24">
        <f>IF(BF7=1,SUMIFS(Capacity_Reservations!$L$5:$L$340,Capacity_Reservations!$B$5:$B$340,$B7,Capacity_Reservations!$D$5:$D$340,"Prod",Capacity_Reservations!$E$5:$E$340,Request!A17),0)</f>
        <v/>
      </c>
      <c r="BJ7" s="24">
        <f>IF(BF7=1,SUMIFS(Capacity_Reservations!$K$5:$K$340,Capacity_Reservations!$B$5:$B$340,$B7,Capacity_Reservations!$D$5:$D$340,"Prod",Capacity_Reservations!$E$5:$E$340,Request!A17),0)</f>
        <v/>
      </c>
      <c r="BK7" s="24">
        <f>IF(BF7=1,SUMIFS(Capacity_Reservations!$L$5:$L$340,Capacity_Reservations!$B$5:$B$340,$B7,Capacity_Reservations!$D$5:$D$340,"NonProd",Capacity_Reservations!$E$5:$E$340,Request!A17),0)</f>
        <v/>
      </c>
      <c r="BL7" s="24">
        <f>IF(BF7=1,SUMIFS(Capacity_Reservations!$K$5:$K$340,Capacity_Reservations!$B$5:$B$340,$B7,Capacity_Reservations!$D$5:$D$340,"NonProd",Capacity_Reservations!$E$5:$E$340,Request!A17),0)</f>
        <v/>
      </c>
      <c r="BM7" s="24">
        <f>IF(BF7=1,SUMIFS(Capacity_Reservations!$L$5:$L$340,Capacity_Reservations!$B$5:$B$340,$B7,Capacity_Reservations!$D$5:$D$340,"DR",Capacity_Reservations!$E$5:$E$340,Request!A17),0)</f>
        <v/>
      </c>
      <c r="BN7" s="24">
        <f>IF(BF7=1,SUMIFS(Capacity_Reservations!$K$5:$K$340,Capacity_Reservations!$B$5:$B$340,$B7,Capacity_Reservations!$D$5:$D$340,"DR",Capacity_Reservations!$E$5:$E$340,Request!A17),0)</f>
        <v/>
      </c>
      <c r="BO7" s="24">
        <f>IF(BF7=1,MIN(SUMIFS(Quota_Groups!$H$5:$H$60,Quota_Groups!$C$5:$C$60,$B7,Quota_Groups!$E$5:$E$60,Request!E17),SUMIFS(Quota_Groups!$P$5:$P$60,Quota_Groups!$C$5:$C$60,$B7,Quota_Groups!$E$5:$E$60,"Eadsv5")),0)</f>
        <v/>
      </c>
      <c r="BP7" s="24">
        <f>IF(BF7=1,SUMIFS(Quota_Groups!$F$5:$F$60,Quota_Groups!$C$5:$C$60,$B7,Quota_Groups!$E$5:$E$60,Request!E17),0)</f>
        <v/>
      </c>
      <c r="BQ7" s="24">
        <f>IF(BF7=1,SUMIFS(Quota_Groups!$M$5:$M$60,Quota_Groups!$C$5:$C$60,$B7,Quota_Groups!$E$5:$E$60,Request!E17),0)</f>
        <v/>
      </c>
      <c r="BR7" s="24">
        <f>IF(AND(Request!A18&lt;&gt;"",ISNUMBER(Request!B18),Request!B18&gt;0),1,0)</f>
        <v/>
      </c>
      <c r="BS7" s="24">
        <f>IF(BR7=1,Request!D18,0)</f>
        <v/>
      </c>
      <c r="BT7" s="25">
        <f>IF(BR7=1,Request!E18,"")</f>
        <v/>
      </c>
      <c r="BU7" s="24">
        <f>IF(BR7=1,SUMIFS(Capacity_Reservations!$L$5:$L$340,Capacity_Reservations!$B$5:$B$340,$B7,Capacity_Reservations!$D$5:$D$340,"Prod",Capacity_Reservations!$E$5:$E$340,Request!A18),0)</f>
        <v/>
      </c>
      <c r="BV7" s="24">
        <f>IF(BR7=1,SUMIFS(Capacity_Reservations!$K$5:$K$340,Capacity_Reservations!$B$5:$B$340,$B7,Capacity_Reservations!$D$5:$D$340,"Prod",Capacity_Reservations!$E$5:$E$340,Request!A18),0)</f>
        <v/>
      </c>
      <c r="BW7" s="24">
        <f>IF(BR7=1,SUMIFS(Capacity_Reservations!$L$5:$L$340,Capacity_Reservations!$B$5:$B$340,$B7,Capacity_Reservations!$D$5:$D$340,"NonProd",Capacity_Reservations!$E$5:$E$340,Request!A18),0)</f>
        <v/>
      </c>
      <c r="BX7" s="24">
        <f>IF(BR7=1,SUMIFS(Capacity_Reservations!$K$5:$K$340,Capacity_Reservations!$B$5:$B$340,$B7,Capacity_Reservations!$D$5:$D$340,"NonProd",Capacity_Reservations!$E$5:$E$340,Request!A18),0)</f>
        <v/>
      </c>
      <c r="BY7" s="24">
        <f>IF(BR7=1,SUMIFS(Capacity_Reservations!$L$5:$L$340,Capacity_Reservations!$B$5:$B$340,$B7,Capacity_Reservations!$D$5:$D$340,"DR",Capacity_Reservations!$E$5:$E$340,Request!A18),0)</f>
        <v/>
      </c>
      <c r="BZ7" s="24">
        <f>IF(BR7=1,SUMIFS(Capacity_Reservations!$K$5:$K$340,Capacity_Reservations!$B$5:$B$340,$B7,Capacity_Reservations!$D$5:$D$340,"DR",Capacity_Reservations!$E$5:$E$340,Request!A18),0)</f>
        <v/>
      </c>
      <c r="CA7" s="24">
        <f>IF(BR7=1,MIN(SUMIFS(Quota_Groups!$H$5:$H$60,Quota_Groups!$C$5:$C$60,$B7,Quota_Groups!$E$5:$E$60,Request!E18),SUMIFS(Quota_Groups!$P$5:$P$60,Quota_Groups!$C$5:$C$60,$B7,Quota_Groups!$E$5:$E$60,"Eadsv5")),0)</f>
        <v/>
      </c>
      <c r="CB7" s="24">
        <f>IF(BR7=1,SUMIFS(Quota_Groups!$F$5:$F$60,Quota_Groups!$C$5:$C$60,$B7,Quota_Groups!$E$5:$E$60,Request!E18),0)</f>
        <v/>
      </c>
      <c r="CC7" s="24">
        <f>IF(BR7=1,SUMIFS(Quota_Groups!$M$5:$M$60,Quota_Groups!$C$5:$C$60,$B7,Quota_Groups!$E$5:$E$60,Request!E18),0)</f>
        <v/>
      </c>
      <c r="CD7" s="24">
        <f>IF(AND(Request!A19&lt;&gt;"",ISNUMBER(Request!B19),Request!B19&gt;0),1,0)</f>
        <v/>
      </c>
      <c r="CE7" s="24">
        <f>IF(CD7=1,Request!D19,0)</f>
        <v/>
      </c>
      <c r="CF7" s="25">
        <f>IF(CD7=1,Request!E19,"")</f>
        <v/>
      </c>
      <c r="CG7" s="24">
        <f>IF(CD7=1,SUMIFS(Capacity_Reservations!$L$5:$L$340,Capacity_Reservations!$B$5:$B$340,$B7,Capacity_Reservations!$D$5:$D$340,"Prod",Capacity_Reservations!$E$5:$E$340,Request!A19),0)</f>
        <v/>
      </c>
      <c r="CH7" s="24">
        <f>IF(CD7=1,SUMIFS(Capacity_Reservations!$K$5:$K$340,Capacity_Reservations!$B$5:$B$340,$B7,Capacity_Reservations!$D$5:$D$340,"Prod",Capacity_Reservations!$E$5:$E$340,Request!A19),0)</f>
        <v/>
      </c>
      <c r="CI7" s="24">
        <f>IF(CD7=1,SUMIFS(Capacity_Reservations!$L$5:$L$340,Capacity_Reservations!$B$5:$B$340,$B7,Capacity_Reservations!$D$5:$D$340,"NonProd",Capacity_Reservations!$E$5:$E$340,Request!A19),0)</f>
        <v/>
      </c>
      <c r="CJ7" s="24">
        <f>IF(CD7=1,SUMIFS(Capacity_Reservations!$K$5:$K$340,Capacity_Reservations!$B$5:$B$340,$B7,Capacity_Reservations!$D$5:$D$340,"NonProd",Capacity_Reservations!$E$5:$E$340,Request!A19),0)</f>
        <v/>
      </c>
      <c r="CK7" s="24">
        <f>IF(CD7=1,SUMIFS(Capacity_Reservations!$L$5:$L$340,Capacity_Reservations!$B$5:$B$340,$B7,Capacity_Reservations!$D$5:$D$340,"DR",Capacity_Reservations!$E$5:$E$340,Request!A19),0)</f>
        <v/>
      </c>
      <c r="CL7" s="24">
        <f>IF(CD7=1,SUMIFS(Capacity_Reservations!$K$5:$K$340,Capacity_Reservations!$B$5:$B$340,$B7,Capacity_Reservations!$D$5:$D$340,"DR",Capacity_Reservations!$E$5:$E$340,Request!A19),0)</f>
        <v/>
      </c>
      <c r="CM7" s="24">
        <f>IF(CD7=1,MIN(SUMIFS(Quota_Groups!$H$5:$H$60,Quota_Groups!$C$5:$C$60,$B7,Quota_Groups!$E$5:$E$60,Request!E19),SUMIFS(Quota_Groups!$P$5:$P$60,Quota_Groups!$C$5:$C$60,$B7,Quota_Groups!$E$5:$E$60,"Eadsv5")),0)</f>
        <v/>
      </c>
      <c r="CN7" s="24">
        <f>IF(CD7=1,SUMIFS(Quota_Groups!$F$5:$F$60,Quota_Groups!$C$5:$C$60,$B7,Quota_Groups!$E$5:$E$60,Request!E19),0)</f>
        <v/>
      </c>
      <c r="CO7" s="24">
        <f>IF(CD7=1,SUMIFS(Quota_Groups!$M$5:$M$60,Quota_Groups!$C$5:$C$60,$B7,Quota_Groups!$E$5:$E$60,Request!E19),0)</f>
        <v/>
      </c>
      <c r="CP7" s="24">
        <f>IF(AND(Request!A20&lt;&gt;"",ISNUMBER(Request!B20),Request!B20&gt;0),1,0)</f>
        <v/>
      </c>
      <c r="CQ7" s="24">
        <f>IF(CP7=1,Request!D20,0)</f>
        <v/>
      </c>
      <c r="CR7" s="25">
        <f>IF(CP7=1,Request!E20,"")</f>
        <v/>
      </c>
      <c r="CS7" s="24">
        <f>IF(CP7=1,SUMIFS(Capacity_Reservations!$L$5:$L$340,Capacity_Reservations!$B$5:$B$340,$B7,Capacity_Reservations!$D$5:$D$340,"Prod",Capacity_Reservations!$E$5:$E$340,Request!A20),0)</f>
        <v/>
      </c>
      <c r="CT7" s="24">
        <f>IF(CP7=1,SUMIFS(Capacity_Reservations!$K$5:$K$340,Capacity_Reservations!$B$5:$B$340,$B7,Capacity_Reservations!$D$5:$D$340,"Prod",Capacity_Reservations!$E$5:$E$340,Request!A20),0)</f>
        <v/>
      </c>
      <c r="CU7" s="24">
        <f>IF(CP7=1,SUMIFS(Capacity_Reservations!$L$5:$L$340,Capacity_Reservations!$B$5:$B$340,$B7,Capacity_Reservations!$D$5:$D$340,"NonProd",Capacity_Reservations!$E$5:$E$340,Request!A20),0)</f>
        <v/>
      </c>
      <c r="CV7" s="24">
        <f>IF(CP7=1,SUMIFS(Capacity_Reservations!$K$5:$K$340,Capacity_Reservations!$B$5:$B$340,$B7,Capacity_Reservations!$D$5:$D$340,"NonProd",Capacity_Reservations!$E$5:$E$340,Request!A20),0)</f>
        <v/>
      </c>
      <c r="CW7" s="24">
        <f>IF(CP7=1,SUMIFS(Capacity_Reservations!$L$5:$L$340,Capacity_Reservations!$B$5:$B$340,$B7,Capacity_Reservations!$D$5:$D$340,"DR",Capacity_Reservations!$E$5:$E$340,Request!A20),0)</f>
        <v/>
      </c>
      <c r="CX7" s="24">
        <f>IF(CP7=1,SUMIFS(Capacity_Reservations!$K$5:$K$340,Capacity_Reservations!$B$5:$B$340,$B7,Capacity_Reservations!$D$5:$D$340,"DR",Capacity_Reservations!$E$5:$E$340,Request!A20),0)</f>
        <v/>
      </c>
      <c r="CY7" s="24">
        <f>IF(CP7=1,MIN(SUMIFS(Quota_Groups!$H$5:$H$60,Quota_Groups!$C$5:$C$60,$B7,Quota_Groups!$E$5:$E$60,Request!E20),SUMIFS(Quota_Groups!$P$5:$P$60,Quota_Groups!$C$5:$C$60,$B7,Quota_Groups!$E$5:$E$60,"Eadsv5")),0)</f>
        <v/>
      </c>
      <c r="CZ7" s="24">
        <f>IF(CP7=1,SUMIFS(Quota_Groups!$F$5:$F$60,Quota_Groups!$C$5:$C$60,$B7,Quota_Groups!$E$5:$E$60,Request!E20),0)</f>
        <v/>
      </c>
      <c r="DA7" s="24">
        <f>IF(CP7=1,SUMIFS(Quota_Groups!$M$5:$M$60,Quota_Groups!$C$5:$C$60,$B7,Quota_Groups!$E$5:$E$60,Request!E20),0)</f>
        <v/>
      </c>
    </row>
    <row r="8">
      <c r="A8" s="6">
        <f>Region_Catalogue!A8</f>
        <v/>
      </c>
      <c r="B8" s="6">
        <f>Region_Catalogue!B8</f>
        <v/>
      </c>
      <c r="C8" s="15">
        <f>Region_Catalogue!C8</f>
        <v/>
      </c>
      <c r="D8" s="15">
        <f>Region_Catalogue!G8</f>
        <v/>
      </c>
      <c r="E8" s="15">
        <f>Region_Catalogue!E8</f>
        <v/>
      </c>
      <c r="F8" s="15">
        <f>Region_Catalogue!F8</f>
        <v/>
      </c>
      <c r="G8" s="42">
        <f>Region_Catalogue!D8</f>
        <v/>
      </c>
      <c r="H8" s="42">
        <f>Region_Catalogue!H8</f>
        <v/>
      </c>
      <c r="I8" s="43">
        <f>Region_Catalogue!I8</f>
        <v/>
      </c>
      <c r="J8" s="24">
        <f>IF(AND(Request!A13&lt;&gt;"",ISNUMBER(Request!B13),Request!B13&gt;0),1,0)</f>
        <v/>
      </c>
      <c r="K8" s="24">
        <f>IF(J8=1,Request!D13,0)</f>
        <v/>
      </c>
      <c r="L8" s="25">
        <f>IF(J8=1,Request!E13,"")</f>
        <v/>
      </c>
      <c r="M8" s="24">
        <f>IF(J8=1,SUMIFS(Capacity_Reservations!$L$5:$L$340,Capacity_Reservations!$B$5:$B$340,$B8,Capacity_Reservations!$D$5:$D$340,"Prod",Capacity_Reservations!$E$5:$E$340,Request!A13),0)</f>
        <v/>
      </c>
      <c r="N8" s="24">
        <f>IF(J8=1,SUMIFS(Capacity_Reservations!$K$5:$K$340,Capacity_Reservations!$B$5:$B$340,$B8,Capacity_Reservations!$D$5:$D$340,"Prod",Capacity_Reservations!$E$5:$E$340,Request!A13),0)</f>
        <v/>
      </c>
      <c r="O8" s="24">
        <f>IF(J8=1,SUMIFS(Capacity_Reservations!$L$5:$L$340,Capacity_Reservations!$B$5:$B$340,$B8,Capacity_Reservations!$D$5:$D$340,"NonProd",Capacity_Reservations!$E$5:$E$340,Request!A13),0)</f>
        <v/>
      </c>
      <c r="P8" s="24">
        <f>IF(J8=1,SUMIFS(Capacity_Reservations!$K$5:$K$340,Capacity_Reservations!$B$5:$B$340,$B8,Capacity_Reservations!$D$5:$D$340,"NonProd",Capacity_Reservations!$E$5:$E$340,Request!A13),0)</f>
        <v/>
      </c>
      <c r="Q8" s="24">
        <f>IF(J8=1,SUMIFS(Capacity_Reservations!$L$5:$L$340,Capacity_Reservations!$B$5:$B$340,$B8,Capacity_Reservations!$D$5:$D$340,"DR",Capacity_Reservations!$E$5:$E$340,Request!A13),0)</f>
        <v/>
      </c>
      <c r="R8" s="24">
        <f>IF(J8=1,SUMIFS(Capacity_Reservations!$K$5:$K$340,Capacity_Reservations!$B$5:$B$340,$B8,Capacity_Reservations!$D$5:$D$340,"DR",Capacity_Reservations!$E$5:$E$340,Request!A13),0)</f>
        <v/>
      </c>
      <c r="S8" s="24">
        <f>IF(J8=1,MIN(SUMIFS(Quota_Groups!$H$5:$H$60,Quota_Groups!$C$5:$C$60,$B8,Quota_Groups!$E$5:$E$60,Request!E13),SUMIFS(Quota_Groups!$P$5:$P$60,Quota_Groups!$C$5:$C$60,$B8,Quota_Groups!$E$5:$E$60,"Eadsv5")),0)</f>
        <v/>
      </c>
      <c r="T8" s="24">
        <f>IF(J8=1,SUMIFS(Quota_Groups!$F$5:$F$60,Quota_Groups!$C$5:$C$60,$B8,Quota_Groups!$E$5:$E$60,Request!E13),0)</f>
        <v/>
      </c>
      <c r="U8" s="24">
        <f>IF(J8=1,SUMIFS(Quota_Groups!$M$5:$M$60,Quota_Groups!$C$5:$C$60,$B8,Quota_Groups!$E$5:$E$60,Request!E13),0)</f>
        <v/>
      </c>
      <c r="V8" s="24">
        <f>IF(AND(Request!A14&lt;&gt;"",ISNUMBER(Request!B14),Request!B14&gt;0),1,0)</f>
        <v/>
      </c>
      <c r="W8" s="24">
        <f>IF(V8=1,Request!D14,0)</f>
        <v/>
      </c>
      <c r="X8" s="25">
        <f>IF(V8=1,Request!E14,"")</f>
        <v/>
      </c>
      <c r="Y8" s="24">
        <f>IF(V8=1,SUMIFS(Capacity_Reservations!$L$5:$L$340,Capacity_Reservations!$B$5:$B$340,$B8,Capacity_Reservations!$D$5:$D$340,"Prod",Capacity_Reservations!$E$5:$E$340,Request!A14),0)</f>
        <v/>
      </c>
      <c r="Z8" s="24">
        <f>IF(V8=1,SUMIFS(Capacity_Reservations!$K$5:$K$340,Capacity_Reservations!$B$5:$B$340,$B8,Capacity_Reservations!$D$5:$D$340,"Prod",Capacity_Reservations!$E$5:$E$340,Request!A14),0)</f>
        <v/>
      </c>
      <c r="AA8" s="24">
        <f>IF(V8=1,SUMIFS(Capacity_Reservations!$L$5:$L$340,Capacity_Reservations!$B$5:$B$340,$B8,Capacity_Reservations!$D$5:$D$340,"NonProd",Capacity_Reservations!$E$5:$E$340,Request!A14),0)</f>
        <v/>
      </c>
      <c r="AB8" s="24">
        <f>IF(V8=1,SUMIFS(Capacity_Reservations!$K$5:$K$340,Capacity_Reservations!$B$5:$B$340,$B8,Capacity_Reservations!$D$5:$D$340,"NonProd",Capacity_Reservations!$E$5:$E$340,Request!A14),0)</f>
        <v/>
      </c>
      <c r="AC8" s="24">
        <f>IF(V8=1,SUMIFS(Capacity_Reservations!$L$5:$L$340,Capacity_Reservations!$B$5:$B$340,$B8,Capacity_Reservations!$D$5:$D$340,"DR",Capacity_Reservations!$E$5:$E$340,Request!A14),0)</f>
        <v/>
      </c>
      <c r="AD8" s="24">
        <f>IF(V8=1,SUMIFS(Capacity_Reservations!$K$5:$K$340,Capacity_Reservations!$B$5:$B$340,$B8,Capacity_Reservations!$D$5:$D$340,"DR",Capacity_Reservations!$E$5:$E$340,Request!A14),0)</f>
        <v/>
      </c>
      <c r="AE8" s="24">
        <f>IF(V8=1,MIN(SUMIFS(Quota_Groups!$H$5:$H$60,Quota_Groups!$C$5:$C$60,$B8,Quota_Groups!$E$5:$E$60,Request!E14),SUMIFS(Quota_Groups!$P$5:$P$60,Quota_Groups!$C$5:$C$60,$B8,Quota_Groups!$E$5:$E$60,"Eadsv5")),0)</f>
        <v/>
      </c>
      <c r="AF8" s="24">
        <f>IF(V8=1,SUMIFS(Quota_Groups!$F$5:$F$60,Quota_Groups!$C$5:$C$60,$B8,Quota_Groups!$E$5:$E$60,Request!E14),0)</f>
        <v/>
      </c>
      <c r="AG8" s="24">
        <f>IF(V8=1,SUMIFS(Quota_Groups!$M$5:$M$60,Quota_Groups!$C$5:$C$60,$B8,Quota_Groups!$E$5:$E$60,Request!E14),0)</f>
        <v/>
      </c>
      <c r="AH8" s="24">
        <f>IF(AND(Request!A15&lt;&gt;"",ISNUMBER(Request!B15),Request!B15&gt;0),1,0)</f>
        <v/>
      </c>
      <c r="AI8" s="24">
        <f>IF(AH8=1,Request!D15,0)</f>
        <v/>
      </c>
      <c r="AJ8" s="25">
        <f>IF(AH8=1,Request!E15,"")</f>
        <v/>
      </c>
      <c r="AK8" s="24">
        <f>IF(AH8=1,SUMIFS(Capacity_Reservations!$L$5:$L$340,Capacity_Reservations!$B$5:$B$340,$B8,Capacity_Reservations!$D$5:$D$340,"Prod",Capacity_Reservations!$E$5:$E$340,Request!A15),0)</f>
        <v/>
      </c>
      <c r="AL8" s="24">
        <f>IF(AH8=1,SUMIFS(Capacity_Reservations!$K$5:$K$340,Capacity_Reservations!$B$5:$B$340,$B8,Capacity_Reservations!$D$5:$D$340,"Prod",Capacity_Reservations!$E$5:$E$340,Request!A15),0)</f>
        <v/>
      </c>
      <c r="AM8" s="24">
        <f>IF(AH8=1,SUMIFS(Capacity_Reservations!$L$5:$L$340,Capacity_Reservations!$B$5:$B$340,$B8,Capacity_Reservations!$D$5:$D$340,"NonProd",Capacity_Reservations!$E$5:$E$340,Request!A15),0)</f>
        <v/>
      </c>
      <c r="AN8" s="24">
        <f>IF(AH8=1,SUMIFS(Capacity_Reservations!$K$5:$K$340,Capacity_Reservations!$B$5:$B$340,$B8,Capacity_Reservations!$D$5:$D$340,"NonProd",Capacity_Reservations!$E$5:$E$340,Request!A15),0)</f>
        <v/>
      </c>
      <c r="AO8" s="24">
        <f>IF(AH8=1,SUMIFS(Capacity_Reservations!$L$5:$L$340,Capacity_Reservations!$B$5:$B$340,$B8,Capacity_Reservations!$D$5:$D$340,"DR",Capacity_Reservations!$E$5:$E$340,Request!A15),0)</f>
        <v/>
      </c>
      <c r="AP8" s="24">
        <f>IF(AH8=1,SUMIFS(Capacity_Reservations!$K$5:$K$340,Capacity_Reservations!$B$5:$B$340,$B8,Capacity_Reservations!$D$5:$D$340,"DR",Capacity_Reservations!$E$5:$E$340,Request!A15),0)</f>
        <v/>
      </c>
      <c r="AQ8" s="24">
        <f>IF(AH8=1,MIN(SUMIFS(Quota_Groups!$H$5:$H$60,Quota_Groups!$C$5:$C$60,$B8,Quota_Groups!$E$5:$E$60,Request!E15),SUMIFS(Quota_Groups!$P$5:$P$60,Quota_Groups!$C$5:$C$60,$B8,Quota_Groups!$E$5:$E$60,"Eadsv5")),0)</f>
        <v/>
      </c>
      <c r="AR8" s="24">
        <f>IF(AH8=1,SUMIFS(Quota_Groups!$F$5:$F$60,Quota_Groups!$C$5:$C$60,$B8,Quota_Groups!$E$5:$E$60,Request!E15),0)</f>
        <v/>
      </c>
      <c r="AS8" s="24">
        <f>IF(AH8=1,SUMIFS(Quota_Groups!$M$5:$M$60,Quota_Groups!$C$5:$C$60,$B8,Quota_Groups!$E$5:$E$60,Request!E15),0)</f>
        <v/>
      </c>
      <c r="AT8" s="24">
        <f>IF(AND(Request!A16&lt;&gt;"",ISNUMBER(Request!B16),Request!B16&gt;0),1,0)</f>
        <v/>
      </c>
      <c r="AU8" s="24">
        <f>IF(AT8=1,Request!D16,0)</f>
        <v/>
      </c>
      <c r="AV8" s="25">
        <f>IF(AT8=1,Request!E16,"")</f>
        <v/>
      </c>
      <c r="AW8" s="24">
        <f>IF(AT8=1,SUMIFS(Capacity_Reservations!$L$5:$L$340,Capacity_Reservations!$B$5:$B$340,$B8,Capacity_Reservations!$D$5:$D$340,"Prod",Capacity_Reservations!$E$5:$E$340,Request!A16),0)</f>
        <v/>
      </c>
      <c r="AX8" s="24">
        <f>IF(AT8=1,SUMIFS(Capacity_Reservations!$K$5:$K$340,Capacity_Reservations!$B$5:$B$340,$B8,Capacity_Reservations!$D$5:$D$340,"Prod",Capacity_Reservations!$E$5:$E$340,Request!A16),0)</f>
        <v/>
      </c>
      <c r="AY8" s="24">
        <f>IF(AT8=1,SUMIFS(Capacity_Reservations!$L$5:$L$340,Capacity_Reservations!$B$5:$B$340,$B8,Capacity_Reservations!$D$5:$D$340,"NonProd",Capacity_Reservations!$E$5:$E$340,Request!A16),0)</f>
        <v/>
      </c>
      <c r="AZ8" s="24">
        <f>IF(AT8=1,SUMIFS(Capacity_Reservations!$K$5:$K$340,Capacity_Reservations!$B$5:$B$340,$B8,Capacity_Reservations!$D$5:$D$340,"NonProd",Capacity_Reservations!$E$5:$E$340,Request!A16),0)</f>
        <v/>
      </c>
      <c r="BA8" s="24">
        <f>IF(AT8=1,SUMIFS(Capacity_Reservations!$L$5:$L$340,Capacity_Reservations!$B$5:$B$340,$B8,Capacity_Reservations!$D$5:$D$340,"DR",Capacity_Reservations!$E$5:$E$340,Request!A16),0)</f>
        <v/>
      </c>
      <c r="BB8" s="24">
        <f>IF(AT8=1,SUMIFS(Capacity_Reservations!$K$5:$K$340,Capacity_Reservations!$B$5:$B$340,$B8,Capacity_Reservations!$D$5:$D$340,"DR",Capacity_Reservations!$E$5:$E$340,Request!A16),0)</f>
        <v/>
      </c>
      <c r="BC8" s="24">
        <f>IF(AT8=1,MIN(SUMIFS(Quota_Groups!$H$5:$H$60,Quota_Groups!$C$5:$C$60,$B8,Quota_Groups!$E$5:$E$60,Request!E16),SUMIFS(Quota_Groups!$P$5:$P$60,Quota_Groups!$C$5:$C$60,$B8,Quota_Groups!$E$5:$E$60,"Eadsv5")),0)</f>
        <v/>
      </c>
      <c r="BD8" s="24">
        <f>IF(AT8=1,SUMIFS(Quota_Groups!$F$5:$F$60,Quota_Groups!$C$5:$C$60,$B8,Quota_Groups!$E$5:$E$60,Request!E16),0)</f>
        <v/>
      </c>
      <c r="BE8" s="24">
        <f>IF(AT8=1,SUMIFS(Quota_Groups!$M$5:$M$60,Quota_Groups!$C$5:$C$60,$B8,Quota_Groups!$E$5:$E$60,Request!E16),0)</f>
        <v/>
      </c>
      <c r="BF8" s="24">
        <f>IF(AND(Request!A17&lt;&gt;"",ISNUMBER(Request!B17),Request!B17&gt;0),1,0)</f>
        <v/>
      </c>
      <c r="BG8" s="24">
        <f>IF(BF8=1,Request!D17,0)</f>
        <v/>
      </c>
      <c r="BH8" s="25">
        <f>IF(BF8=1,Request!E17,"")</f>
        <v/>
      </c>
      <c r="BI8" s="24">
        <f>IF(BF8=1,SUMIFS(Capacity_Reservations!$L$5:$L$340,Capacity_Reservations!$B$5:$B$340,$B8,Capacity_Reservations!$D$5:$D$340,"Prod",Capacity_Reservations!$E$5:$E$340,Request!A17),0)</f>
        <v/>
      </c>
      <c r="BJ8" s="24">
        <f>IF(BF8=1,SUMIFS(Capacity_Reservations!$K$5:$K$340,Capacity_Reservations!$B$5:$B$340,$B8,Capacity_Reservations!$D$5:$D$340,"Prod",Capacity_Reservations!$E$5:$E$340,Request!A17),0)</f>
        <v/>
      </c>
      <c r="BK8" s="24">
        <f>IF(BF8=1,SUMIFS(Capacity_Reservations!$L$5:$L$340,Capacity_Reservations!$B$5:$B$340,$B8,Capacity_Reservations!$D$5:$D$340,"NonProd",Capacity_Reservations!$E$5:$E$340,Request!A17),0)</f>
        <v/>
      </c>
      <c r="BL8" s="24">
        <f>IF(BF8=1,SUMIFS(Capacity_Reservations!$K$5:$K$340,Capacity_Reservations!$B$5:$B$340,$B8,Capacity_Reservations!$D$5:$D$340,"NonProd",Capacity_Reservations!$E$5:$E$340,Request!A17),0)</f>
        <v/>
      </c>
      <c r="BM8" s="24">
        <f>IF(BF8=1,SUMIFS(Capacity_Reservations!$L$5:$L$340,Capacity_Reservations!$B$5:$B$340,$B8,Capacity_Reservations!$D$5:$D$340,"DR",Capacity_Reservations!$E$5:$E$340,Request!A17),0)</f>
        <v/>
      </c>
      <c r="BN8" s="24">
        <f>IF(BF8=1,SUMIFS(Capacity_Reservations!$K$5:$K$340,Capacity_Reservations!$B$5:$B$340,$B8,Capacity_Reservations!$D$5:$D$340,"DR",Capacity_Reservations!$E$5:$E$340,Request!A17),0)</f>
        <v/>
      </c>
      <c r="BO8" s="24">
        <f>IF(BF8=1,MIN(SUMIFS(Quota_Groups!$H$5:$H$60,Quota_Groups!$C$5:$C$60,$B8,Quota_Groups!$E$5:$E$60,Request!E17),SUMIFS(Quota_Groups!$P$5:$P$60,Quota_Groups!$C$5:$C$60,$B8,Quota_Groups!$E$5:$E$60,"Eadsv5")),0)</f>
        <v/>
      </c>
      <c r="BP8" s="24">
        <f>IF(BF8=1,SUMIFS(Quota_Groups!$F$5:$F$60,Quota_Groups!$C$5:$C$60,$B8,Quota_Groups!$E$5:$E$60,Request!E17),0)</f>
        <v/>
      </c>
      <c r="BQ8" s="24">
        <f>IF(BF8=1,SUMIFS(Quota_Groups!$M$5:$M$60,Quota_Groups!$C$5:$C$60,$B8,Quota_Groups!$E$5:$E$60,Request!E17),0)</f>
        <v/>
      </c>
      <c r="BR8" s="24">
        <f>IF(AND(Request!A18&lt;&gt;"",ISNUMBER(Request!B18),Request!B18&gt;0),1,0)</f>
        <v/>
      </c>
      <c r="BS8" s="24">
        <f>IF(BR8=1,Request!D18,0)</f>
        <v/>
      </c>
      <c r="BT8" s="25">
        <f>IF(BR8=1,Request!E18,"")</f>
        <v/>
      </c>
      <c r="BU8" s="24">
        <f>IF(BR8=1,SUMIFS(Capacity_Reservations!$L$5:$L$340,Capacity_Reservations!$B$5:$B$340,$B8,Capacity_Reservations!$D$5:$D$340,"Prod",Capacity_Reservations!$E$5:$E$340,Request!A18),0)</f>
        <v/>
      </c>
      <c r="BV8" s="24">
        <f>IF(BR8=1,SUMIFS(Capacity_Reservations!$K$5:$K$340,Capacity_Reservations!$B$5:$B$340,$B8,Capacity_Reservations!$D$5:$D$340,"Prod",Capacity_Reservations!$E$5:$E$340,Request!A18),0)</f>
        <v/>
      </c>
      <c r="BW8" s="24">
        <f>IF(BR8=1,SUMIFS(Capacity_Reservations!$L$5:$L$340,Capacity_Reservations!$B$5:$B$340,$B8,Capacity_Reservations!$D$5:$D$340,"NonProd",Capacity_Reservations!$E$5:$E$340,Request!A18),0)</f>
        <v/>
      </c>
      <c r="BX8" s="24">
        <f>IF(BR8=1,SUMIFS(Capacity_Reservations!$K$5:$K$340,Capacity_Reservations!$B$5:$B$340,$B8,Capacity_Reservations!$D$5:$D$340,"NonProd",Capacity_Reservations!$E$5:$E$340,Request!A18),0)</f>
        <v/>
      </c>
      <c r="BY8" s="24">
        <f>IF(BR8=1,SUMIFS(Capacity_Reservations!$L$5:$L$340,Capacity_Reservations!$B$5:$B$340,$B8,Capacity_Reservations!$D$5:$D$340,"DR",Capacity_Reservations!$E$5:$E$340,Request!A18),0)</f>
        <v/>
      </c>
      <c r="BZ8" s="24">
        <f>IF(BR8=1,SUMIFS(Capacity_Reservations!$K$5:$K$340,Capacity_Reservations!$B$5:$B$340,$B8,Capacity_Reservations!$D$5:$D$340,"DR",Capacity_Reservations!$E$5:$E$340,Request!A18),0)</f>
        <v/>
      </c>
      <c r="CA8" s="24">
        <f>IF(BR8=1,MIN(SUMIFS(Quota_Groups!$H$5:$H$60,Quota_Groups!$C$5:$C$60,$B8,Quota_Groups!$E$5:$E$60,Request!E18),SUMIFS(Quota_Groups!$P$5:$P$60,Quota_Groups!$C$5:$C$60,$B8,Quota_Groups!$E$5:$E$60,"Eadsv5")),0)</f>
        <v/>
      </c>
      <c r="CB8" s="24">
        <f>IF(BR8=1,SUMIFS(Quota_Groups!$F$5:$F$60,Quota_Groups!$C$5:$C$60,$B8,Quota_Groups!$E$5:$E$60,Request!E18),0)</f>
        <v/>
      </c>
      <c r="CC8" s="24">
        <f>IF(BR8=1,SUMIFS(Quota_Groups!$M$5:$M$60,Quota_Groups!$C$5:$C$60,$B8,Quota_Groups!$E$5:$E$60,Request!E18),0)</f>
        <v/>
      </c>
      <c r="CD8" s="24">
        <f>IF(AND(Request!A19&lt;&gt;"",ISNUMBER(Request!B19),Request!B19&gt;0),1,0)</f>
        <v/>
      </c>
      <c r="CE8" s="24">
        <f>IF(CD8=1,Request!D19,0)</f>
        <v/>
      </c>
      <c r="CF8" s="25">
        <f>IF(CD8=1,Request!E19,"")</f>
        <v/>
      </c>
      <c r="CG8" s="24">
        <f>IF(CD8=1,SUMIFS(Capacity_Reservations!$L$5:$L$340,Capacity_Reservations!$B$5:$B$340,$B8,Capacity_Reservations!$D$5:$D$340,"Prod",Capacity_Reservations!$E$5:$E$340,Request!A19),0)</f>
        <v/>
      </c>
      <c r="CH8" s="24">
        <f>IF(CD8=1,SUMIFS(Capacity_Reservations!$K$5:$K$340,Capacity_Reservations!$B$5:$B$340,$B8,Capacity_Reservations!$D$5:$D$340,"Prod",Capacity_Reservations!$E$5:$E$340,Request!A19),0)</f>
        <v/>
      </c>
      <c r="CI8" s="24">
        <f>IF(CD8=1,SUMIFS(Capacity_Reservations!$L$5:$L$340,Capacity_Reservations!$B$5:$B$340,$B8,Capacity_Reservations!$D$5:$D$340,"NonProd",Capacity_Reservations!$E$5:$E$340,Request!A19),0)</f>
        <v/>
      </c>
      <c r="CJ8" s="24">
        <f>IF(CD8=1,SUMIFS(Capacity_Reservations!$K$5:$K$340,Capacity_Reservations!$B$5:$B$340,$B8,Capacity_Reservations!$D$5:$D$340,"NonProd",Capacity_Reservations!$E$5:$E$340,Request!A19),0)</f>
        <v/>
      </c>
      <c r="CK8" s="24">
        <f>IF(CD8=1,SUMIFS(Capacity_Reservations!$L$5:$L$340,Capacity_Reservations!$B$5:$B$340,$B8,Capacity_Reservations!$D$5:$D$340,"DR",Capacity_Reservations!$E$5:$E$340,Request!A19),0)</f>
        <v/>
      </c>
      <c r="CL8" s="24">
        <f>IF(CD8=1,SUMIFS(Capacity_Reservations!$K$5:$K$340,Capacity_Reservations!$B$5:$B$340,$B8,Capacity_Reservations!$D$5:$D$340,"DR",Capacity_Reservations!$E$5:$E$340,Request!A19),0)</f>
        <v/>
      </c>
      <c r="CM8" s="24">
        <f>IF(CD8=1,MIN(SUMIFS(Quota_Groups!$H$5:$H$60,Quota_Groups!$C$5:$C$60,$B8,Quota_Groups!$E$5:$E$60,Request!E19),SUMIFS(Quota_Groups!$P$5:$P$60,Quota_Groups!$C$5:$C$60,$B8,Quota_Groups!$E$5:$E$60,"Eadsv5")),0)</f>
        <v/>
      </c>
      <c r="CN8" s="24">
        <f>IF(CD8=1,SUMIFS(Quota_Groups!$F$5:$F$60,Quota_Groups!$C$5:$C$60,$B8,Quota_Groups!$E$5:$E$60,Request!E19),0)</f>
        <v/>
      </c>
      <c r="CO8" s="24">
        <f>IF(CD8=1,SUMIFS(Quota_Groups!$M$5:$M$60,Quota_Groups!$C$5:$C$60,$B8,Quota_Groups!$E$5:$E$60,Request!E19),0)</f>
        <v/>
      </c>
      <c r="CP8" s="24">
        <f>IF(AND(Request!A20&lt;&gt;"",ISNUMBER(Request!B20),Request!B20&gt;0),1,0)</f>
        <v/>
      </c>
      <c r="CQ8" s="24">
        <f>IF(CP8=1,Request!D20,0)</f>
        <v/>
      </c>
      <c r="CR8" s="25">
        <f>IF(CP8=1,Request!E20,"")</f>
        <v/>
      </c>
      <c r="CS8" s="24">
        <f>IF(CP8=1,SUMIFS(Capacity_Reservations!$L$5:$L$340,Capacity_Reservations!$B$5:$B$340,$B8,Capacity_Reservations!$D$5:$D$340,"Prod",Capacity_Reservations!$E$5:$E$340,Request!A20),0)</f>
        <v/>
      </c>
      <c r="CT8" s="24">
        <f>IF(CP8=1,SUMIFS(Capacity_Reservations!$K$5:$K$340,Capacity_Reservations!$B$5:$B$340,$B8,Capacity_Reservations!$D$5:$D$340,"Prod",Capacity_Reservations!$E$5:$E$340,Request!A20),0)</f>
        <v/>
      </c>
      <c r="CU8" s="24">
        <f>IF(CP8=1,SUMIFS(Capacity_Reservations!$L$5:$L$340,Capacity_Reservations!$B$5:$B$340,$B8,Capacity_Reservations!$D$5:$D$340,"NonProd",Capacity_Reservations!$E$5:$E$340,Request!A20),0)</f>
        <v/>
      </c>
      <c r="CV8" s="24">
        <f>IF(CP8=1,SUMIFS(Capacity_Reservations!$K$5:$K$340,Capacity_Reservations!$B$5:$B$340,$B8,Capacity_Reservations!$D$5:$D$340,"NonProd",Capacity_Reservations!$E$5:$E$340,Request!A20),0)</f>
        <v/>
      </c>
      <c r="CW8" s="24">
        <f>IF(CP8=1,SUMIFS(Capacity_Reservations!$L$5:$L$340,Capacity_Reservations!$B$5:$B$340,$B8,Capacity_Reservations!$D$5:$D$340,"DR",Capacity_Reservations!$E$5:$E$340,Request!A20),0)</f>
        <v/>
      </c>
      <c r="CX8" s="24">
        <f>IF(CP8=1,SUMIFS(Capacity_Reservations!$K$5:$K$340,Capacity_Reservations!$B$5:$B$340,$B8,Capacity_Reservations!$D$5:$D$340,"DR",Capacity_Reservations!$E$5:$E$340,Request!A20),0)</f>
        <v/>
      </c>
      <c r="CY8" s="24">
        <f>IF(CP8=1,MIN(SUMIFS(Quota_Groups!$H$5:$H$60,Quota_Groups!$C$5:$C$60,$B8,Quota_Groups!$E$5:$E$60,Request!E20),SUMIFS(Quota_Groups!$P$5:$P$60,Quota_Groups!$C$5:$C$60,$B8,Quota_Groups!$E$5:$E$60,"Eadsv5")),0)</f>
        <v/>
      </c>
      <c r="CZ8" s="24">
        <f>IF(CP8=1,SUMIFS(Quota_Groups!$F$5:$F$60,Quota_Groups!$C$5:$C$60,$B8,Quota_Groups!$E$5:$E$60,Request!E20),0)</f>
        <v/>
      </c>
      <c r="DA8" s="24">
        <f>IF(CP8=1,SUMIFS(Quota_Groups!$M$5:$M$60,Quota_Groups!$C$5:$C$60,$B8,Quota_Groups!$E$5:$E$60,Request!E20),0)</f>
        <v/>
      </c>
    </row>
    <row r="9">
      <c r="A9" s="6">
        <f>Region_Catalogue!A9</f>
        <v/>
      </c>
      <c r="B9" s="6">
        <f>Region_Catalogue!B9</f>
        <v/>
      </c>
      <c r="C9" s="15">
        <f>Region_Catalogue!C9</f>
        <v/>
      </c>
      <c r="D9" s="15">
        <f>Region_Catalogue!G9</f>
        <v/>
      </c>
      <c r="E9" s="15">
        <f>Region_Catalogue!E9</f>
        <v/>
      </c>
      <c r="F9" s="15">
        <f>Region_Catalogue!F9</f>
        <v/>
      </c>
      <c r="G9" s="42">
        <f>Region_Catalogue!D9</f>
        <v/>
      </c>
      <c r="H9" s="42">
        <f>Region_Catalogue!H9</f>
        <v/>
      </c>
      <c r="I9" s="43">
        <f>Region_Catalogue!I9</f>
        <v/>
      </c>
      <c r="J9" s="24">
        <f>IF(AND(Request!A13&lt;&gt;"",ISNUMBER(Request!B13),Request!B13&gt;0),1,0)</f>
        <v/>
      </c>
      <c r="K9" s="24">
        <f>IF(J9=1,Request!D13,0)</f>
        <v/>
      </c>
      <c r="L9" s="25">
        <f>IF(J9=1,Request!E13,"")</f>
        <v/>
      </c>
      <c r="M9" s="24">
        <f>IF(J9=1,SUMIFS(Capacity_Reservations!$L$5:$L$340,Capacity_Reservations!$B$5:$B$340,$B9,Capacity_Reservations!$D$5:$D$340,"Prod",Capacity_Reservations!$E$5:$E$340,Request!A13),0)</f>
        <v/>
      </c>
      <c r="N9" s="24">
        <f>IF(J9=1,SUMIFS(Capacity_Reservations!$K$5:$K$340,Capacity_Reservations!$B$5:$B$340,$B9,Capacity_Reservations!$D$5:$D$340,"Prod",Capacity_Reservations!$E$5:$E$340,Request!A13),0)</f>
        <v/>
      </c>
      <c r="O9" s="24">
        <f>IF(J9=1,SUMIFS(Capacity_Reservations!$L$5:$L$340,Capacity_Reservations!$B$5:$B$340,$B9,Capacity_Reservations!$D$5:$D$340,"NonProd",Capacity_Reservations!$E$5:$E$340,Request!A13),0)</f>
        <v/>
      </c>
      <c r="P9" s="24">
        <f>IF(J9=1,SUMIFS(Capacity_Reservations!$K$5:$K$340,Capacity_Reservations!$B$5:$B$340,$B9,Capacity_Reservations!$D$5:$D$340,"NonProd",Capacity_Reservations!$E$5:$E$340,Request!A13),0)</f>
        <v/>
      </c>
      <c r="Q9" s="24">
        <f>IF(J9=1,SUMIFS(Capacity_Reservations!$L$5:$L$340,Capacity_Reservations!$B$5:$B$340,$B9,Capacity_Reservations!$D$5:$D$340,"DR",Capacity_Reservations!$E$5:$E$340,Request!A13),0)</f>
        <v/>
      </c>
      <c r="R9" s="24">
        <f>IF(J9=1,SUMIFS(Capacity_Reservations!$K$5:$K$340,Capacity_Reservations!$B$5:$B$340,$B9,Capacity_Reservations!$D$5:$D$340,"DR",Capacity_Reservations!$E$5:$E$340,Request!A13),0)</f>
        <v/>
      </c>
      <c r="S9" s="24">
        <f>IF(J9=1,MIN(SUMIFS(Quota_Groups!$H$5:$H$60,Quota_Groups!$C$5:$C$60,$B9,Quota_Groups!$E$5:$E$60,Request!E13),SUMIFS(Quota_Groups!$P$5:$P$60,Quota_Groups!$C$5:$C$60,$B9,Quota_Groups!$E$5:$E$60,"Eadsv5")),0)</f>
        <v/>
      </c>
      <c r="T9" s="24">
        <f>IF(J9=1,SUMIFS(Quota_Groups!$F$5:$F$60,Quota_Groups!$C$5:$C$60,$B9,Quota_Groups!$E$5:$E$60,Request!E13),0)</f>
        <v/>
      </c>
      <c r="U9" s="24">
        <f>IF(J9=1,SUMIFS(Quota_Groups!$M$5:$M$60,Quota_Groups!$C$5:$C$60,$B9,Quota_Groups!$E$5:$E$60,Request!E13),0)</f>
        <v/>
      </c>
      <c r="V9" s="24">
        <f>IF(AND(Request!A14&lt;&gt;"",ISNUMBER(Request!B14),Request!B14&gt;0),1,0)</f>
        <v/>
      </c>
      <c r="W9" s="24">
        <f>IF(V9=1,Request!D14,0)</f>
        <v/>
      </c>
      <c r="X9" s="25">
        <f>IF(V9=1,Request!E14,"")</f>
        <v/>
      </c>
      <c r="Y9" s="24">
        <f>IF(V9=1,SUMIFS(Capacity_Reservations!$L$5:$L$340,Capacity_Reservations!$B$5:$B$340,$B9,Capacity_Reservations!$D$5:$D$340,"Prod",Capacity_Reservations!$E$5:$E$340,Request!A14),0)</f>
        <v/>
      </c>
      <c r="Z9" s="24">
        <f>IF(V9=1,SUMIFS(Capacity_Reservations!$K$5:$K$340,Capacity_Reservations!$B$5:$B$340,$B9,Capacity_Reservations!$D$5:$D$340,"Prod",Capacity_Reservations!$E$5:$E$340,Request!A14),0)</f>
        <v/>
      </c>
      <c r="AA9" s="24">
        <f>IF(V9=1,SUMIFS(Capacity_Reservations!$L$5:$L$340,Capacity_Reservations!$B$5:$B$340,$B9,Capacity_Reservations!$D$5:$D$340,"NonProd",Capacity_Reservations!$E$5:$E$340,Request!A14),0)</f>
        <v/>
      </c>
      <c r="AB9" s="24">
        <f>IF(V9=1,SUMIFS(Capacity_Reservations!$K$5:$K$340,Capacity_Reservations!$B$5:$B$340,$B9,Capacity_Reservations!$D$5:$D$340,"NonProd",Capacity_Reservations!$E$5:$E$340,Request!A14),0)</f>
        <v/>
      </c>
      <c r="AC9" s="24">
        <f>IF(V9=1,SUMIFS(Capacity_Reservations!$L$5:$L$340,Capacity_Reservations!$B$5:$B$340,$B9,Capacity_Reservations!$D$5:$D$340,"DR",Capacity_Reservations!$E$5:$E$340,Request!A14),0)</f>
        <v/>
      </c>
      <c r="AD9" s="24">
        <f>IF(V9=1,SUMIFS(Capacity_Reservations!$K$5:$K$340,Capacity_Reservations!$B$5:$B$340,$B9,Capacity_Reservations!$D$5:$D$340,"DR",Capacity_Reservations!$E$5:$E$340,Request!A14),0)</f>
        <v/>
      </c>
      <c r="AE9" s="24">
        <f>IF(V9=1,MIN(SUMIFS(Quota_Groups!$H$5:$H$60,Quota_Groups!$C$5:$C$60,$B9,Quota_Groups!$E$5:$E$60,Request!E14),SUMIFS(Quota_Groups!$P$5:$P$60,Quota_Groups!$C$5:$C$60,$B9,Quota_Groups!$E$5:$E$60,"Eadsv5")),0)</f>
        <v/>
      </c>
      <c r="AF9" s="24">
        <f>IF(V9=1,SUMIFS(Quota_Groups!$F$5:$F$60,Quota_Groups!$C$5:$C$60,$B9,Quota_Groups!$E$5:$E$60,Request!E14),0)</f>
        <v/>
      </c>
      <c r="AG9" s="24">
        <f>IF(V9=1,SUMIFS(Quota_Groups!$M$5:$M$60,Quota_Groups!$C$5:$C$60,$B9,Quota_Groups!$E$5:$E$60,Request!E14),0)</f>
        <v/>
      </c>
      <c r="AH9" s="24">
        <f>IF(AND(Request!A15&lt;&gt;"",ISNUMBER(Request!B15),Request!B15&gt;0),1,0)</f>
        <v/>
      </c>
      <c r="AI9" s="24">
        <f>IF(AH9=1,Request!D15,0)</f>
        <v/>
      </c>
      <c r="AJ9" s="25">
        <f>IF(AH9=1,Request!E15,"")</f>
        <v/>
      </c>
      <c r="AK9" s="24">
        <f>IF(AH9=1,SUMIFS(Capacity_Reservations!$L$5:$L$340,Capacity_Reservations!$B$5:$B$340,$B9,Capacity_Reservations!$D$5:$D$340,"Prod",Capacity_Reservations!$E$5:$E$340,Request!A15),0)</f>
        <v/>
      </c>
      <c r="AL9" s="24">
        <f>IF(AH9=1,SUMIFS(Capacity_Reservations!$K$5:$K$340,Capacity_Reservations!$B$5:$B$340,$B9,Capacity_Reservations!$D$5:$D$340,"Prod",Capacity_Reservations!$E$5:$E$340,Request!A15),0)</f>
        <v/>
      </c>
      <c r="AM9" s="24">
        <f>IF(AH9=1,SUMIFS(Capacity_Reservations!$L$5:$L$340,Capacity_Reservations!$B$5:$B$340,$B9,Capacity_Reservations!$D$5:$D$340,"NonProd",Capacity_Reservations!$E$5:$E$340,Request!A15),0)</f>
        <v/>
      </c>
      <c r="AN9" s="24">
        <f>IF(AH9=1,SUMIFS(Capacity_Reservations!$K$5:$K$340,Capacity_Reservations!$B$5:$B$340,$B9,Capacity_Reservations!$D$5:$D$340,"NonProd",Capacity_Reservations!$E$5:$E$340,Request!A15),0)</f>
        <v/>
      </c>
      <c r="AO9" s="24">
        <f>IF(AH9=1,SUMIFS(Capacity_Reservations!$L$5:$L$340,Capacity_Reservations!$B$5:$B$340,$B9,Capacity_Reservations!$D$5:$D$340,"DR",Capacity_Reservations!$E$5:$E$340,Request!A15),0)</f>
        <v/>
      </c>
      <c r="AP9" s="24">
        <f>IF(AH9=1,SUMIFS(Capacity_Reservations!$K$5:$K$340,Capacity_Reservations!$B$5:$B$340,$B9,Capacity_Reservations!$D$5:$D$340,"DR",Capacity_Reservations!$E$5:$E$340,Request!A15),0)</f>
        <v/>
      </c>
      <c r="AQ9" s="24">
        <f>IF(AH9=1,MIN(SUMIFS(Quota_Groups!$H$5:$H$60,Quota_Groups!$C$5:$C$60,$B9,Quota_Groups!$E$5:$E$60,Request!E15),SUMIFS(Quota_Groups!$P$5:$P$60,Quota_Groups!$C$5:$C$60,$B9,Quota_Groups!$E$5:$E$60,"Eadsv5")),0)</f>
        <v/>
      </c>
      <c r="AR9" s="24">
        <f>IF(AH9=1,SUMIFS(Quota_Groups!$F$5:$F$60,Quota_Groups!$C$5:$C$60,$B9,Quota_Groups!$E$5:$E$60,Request!E15),0)</f>
        <v/>
      </c>
      <c r="AS9" s="24">
        <f>IF(AH9=1,SUMIFS(Quota_Groups!$M$5:$M$60,Quota_Groups!$C$5:$C$60,$B9,Quota_Groups!$E$5:$E$60,Request!E15),0)</f>
        <v/>
      </c>
      <c r="AT9" s="24">
        <f>IF(AND(Request!A16&lt;&gt;"",ISNUMBER(Request!B16),Request!B16&gt;0),1,0)</f>
        <v/>
      </c>
      <c r="AU9" s="24">
        <f>IF(AT9=1,Request!D16,0)</f>
        <v/>
      </c>
      <c r="AV9" s="25">
        <f>IF(AT9=1,Request!E16,"")</f>
        <v/>
      </c>
      <c r="AW9" s="24">
        <f>IF(AT9=1,SUMIFS(Capacity_Reservations!$L$5:$L$340,Capacity_Reservations!$B$5:$B$340,$B9,Capacity_Reservations!$D$5:$D$340,"Prod",Capacity_Reservations!$E$5:$E$340,Request!A16),0)</f>
        <v/>
      </c>
      <c r="AX9" s="24">
        <f>IF(AT9=1,SUMIFS(Capacity_Reservations!$K$5:$K$340,Capacity_Reservations!$B$5:$B$340,$B9,Capacity_Reservations!$D$5:$D$340,"Prod",Capacity_Reservations!$E$5:$E$340,Request!A16),0)</f>
        <v/>
      </c>
      <c r="AY9" s="24">
        <f>IF(AT9=1,SUMIFS(Capacity_Reservations!$L$5:$L$340,Capacity_Reservations!$B$5:$B$340,$B9,Capacity_Reservations!$D$5:$D$340,"NonProd",Capacity_Reservations!$E$5:$E$340,Request!A16),0)</f>
        <v/>
      </c>
      <c r="AZ9" s="24">
        <f>IF(AT9=1,SUMIFS(Capacity_Reservations!$K$5:$K$340,Capacity_Reservations!$B$5:$B$340,$B9,Capacity_Reservations!$D$5:$D$340,"NonProd",Capacity_Reservations!$E$5:$E$340,Request!A16),0)</f>
        <v/>
      </c>
      <c r="BA9" s="24">
        <f>IF(AT9=1,SUMIFS(Capacity_Reservations!$L$5:$L$340,Capacity_Reservations!$B$5:$B$340,$B9,Capacity_Reservations!$D$5:$D$340,"DR",Capacity_Reservations!$E$5:$E$340,Request!A16),0)</f>
        <v/>
      </c>
      <c r="BB9" s="24">
        <f>IF(AT9=1,SUMIFS(Capacity_Reservations!$K$5:$K$340,Capacity_Reservations!$B$5:$B$340,$B9,Capacity_Reservations!$D$5:$D$340,"DR",Capacity_Reservations!$E$5:$E$340,Request!A16),0)</f>
        <v/>
      </c>
      <c r="BC9" s="24">
        <f>IF(AT9=1,MIN(SUMIFS(Quota_Groups!$H$5:$H$60,Quota_Groups!$C$5:$C$60,$B9,Quota_Groups!$E$5:$E$60,Request!E16),SUMIFS(Quota_Groups!$P$5:$P$60,Quota_Groups!$C$5:$C$60,$B9,Quota_Groups!$E$5:$E$60,"Eadsv5")),0)</f>
        <v/>
      </c>
      <c r="BD9" s="24">
        <f>IF(AT9=1,SUMIFS(Quota_Groups!$F$5:$F$60,Quota_Groups!$C$5:$C$60,$B9,Quota_Groups!$E$5:$E$60,Request!E16),0)</f>
        <v/>
      </c>
      <c r="BE9" s="24">
        <f>IF(AT9=1,SUMIFS(Quota_Groups!$M$5:$M$60,Quota_Groups!$C$5:$C$60,$B9,Quota_Groups!$E$5:$E$60,Request!E16),0)</f>
        <v/>
      </c>
      <c r="BF9" s="24">
        <f>IF(AND(Request!A17&lt;&gt;"",ISNUMBER(Request!B17),Request!B17&gt;0),1,0)</f>
        <v/>
      </c>
      <c r="BG9" s="24">
        <f>IF(BF9=1,Request!D17,0)</f>
        <v/>
      </c>
      <c r="BH9" s="25">
        <f>IF(BF9=1,Request!E17,"")</f>
        <v/>
      </c>
      <c r="BI9" s="24">
        <f>IF(BF9=1,SUMIFS(Capacity_Reservations!$L$5:$L$340,Capacity_Reservations!$B$5:$B$340,$B9,Capacity_Reservations!$D$5:$D$340,"Prod",Capacity_Reservations!$E$5:$E$340,Request!A17),0)</f>
        <v/>
      </c>
      <c r="BJ9" s="24">
        <f>IF(BF9=1,SUMIFS(Capacity_Reservations!$K$5:$K$340,Capacity_Reservations!$B$5:$B$340,$B9,Capacity_Reservations!$D$5:$D$340,"Prod",Capacity_Reservations!$E$5:$E$340,Request!A17),0)</f>
        <v/>
      </c>
      <c r="BK9" s="24">
        <f>IF(BF9=1,SUMIFS(Capacity_Reservations!$L$5:$L$340,Capacity_Reservations!$B$5:$B$340,$B9,Capacity_Reservations!$D$5:$D$340,"NonProd",Capacity_Reservations!$E$5:$E$340,Request!A17),0)</f>
        <v/>
      </c>
      <c r="BL9" s="24">
        <f>IF(BF9=1,SUMIFS(Capacity_Reservations!$K$5:$K$340,Capacity_Reservations!$B$5:$B$340,$B9,Capacity_Reservations!$D$5:$D$340,"NonProd",Capacity_Reservations!$E$5:$E$340,Request!A17),0)</f>
        <v/>
      </c>
      <c r="BM9" s="24">
        <f>IF(BF9=1,SUMIFS(Capacity_Reservations!$L$5:$L$340,Capacity_Reservations!$B$5:$B$340,$B9,Capacity_Reservations!$D$5:$D$340,"DR",Capacity_Reservations!$E$5:$E$340,Request!A17),0)</f>
        <v/>
      </c>
      <c r="BN9" s="24">
        <f>IF(BF9=1,SUMIFS(Capacity_Reservations!$K$5:$K$340,Capacity_Reservations!$B$5:$B$340,$B9,Capacity_Reservations!$D$5:$D$340,"DR",Capacity_Reservations!$E$5:$E$340,Request!A17),0)</f>
        <v/>
      </c>
      <c r="BO9" s="24">
        <f>IF(BF9=1,MIN(SUMIFS(Quota_Groups!$H$5:$H$60,Quota_Groups!$C$5:$C$60,$B9,Quota_Groups!$E$5:$E$60,Request!E17),SUMIFS(Quota_Groups!$P$5:$P$60,Quota_Groups!$C$5:$C$60,$B9,Quota_Groups!$E$5:$E$60,"Eadsv5")),0)</f>
        <v/>
      </c>
      <c r="BP9" s="24">
        <f>IF(BF9=1,SUMIFS(Quota_Groups!$F$5:$F$60,Quota_Groups!$C$5:$C$60,$B9,Quota_Groups!$E$5:$E$60,Request!E17),0)</f>
        <v/>
      </c>
      <c r="BQ9" s="24">
        <f>IF(BF9=1,SUMIFS(Quota_Groups!$M$5:$M$60,Quota_Groups!$C$5:$C$60,$B9,Quota_Groups!$E$5:$E$60,Request!E17),0)</f>
        <v/>
      </c>
      <c r="BR9" s="24">
        <f>IF(AND(Request!A18&lt;&gt;"",ISNUMBER(Request!B18),Request!B18&gt;0),1,0)</f>
        <v/>
      </c>
      <c r="BS9" s="24">
        <f>IF(BR9=1,Request!D18,0)</f>
        <v/>
      </c>
      <c r="BT9" s="25">
        <f>IF(BR9=1,Request!E18,"")</f>
        <v/>
      </c>
      <c r="BU9" s="24">
        <f>IF(BR9=1,SUMIFS(Capacity_Reservations!$L$5:$L$340,Capacity_Reservations!$B$5:$B$340,$B9,Capacity_Reservations!$D$5:$D$340,"Prod",Capacity_Reservations!$E$5:$E$340,Request!A18),0)</f>
        <v/>
      </c>
      <c r="BV9" s="24">
        <f>IF(BR9=1,SUMIFS(Capacity_Reservations!$K$5:$K$340,Capacity_Reservations!$B$5:$B$340,$B9,Capacity_Reservations!$D$5:$D$340,"Prod",Capacity_Reservations!$E$5:$E$340,Request!A18),0)</f>
        <v/>
      </c>
      <c r="BW9" s="24">
        <f>IF(BR9=1,SUMIFS(Capacity_Reservations!$L$5:$L$340,Capacity_Reservations!$B$5:$B$340,$B9,Capacity_Reservations!$D$5:$D$340,"NonProd",Capacity_Reservations!$E$5:$E$340,Request!A18),0)</f>
        <v/>
      </c>
      <c r="BX9" s="24">
        <f>IF(BR9=1,SUMIFS(Capacity_Reservations!$K$5:$K$340,Capacity_Reservations!$B$5:$B$340,$B9,Capacity_Reservations!$D$5:$D$340,"NonProd",Capacity_Reservations!$E$5:$E$340,Request!A18),0)</f>
        <v/>
      </c>
      <c r="BY9" s="24">
        <f>IF(BR9=1,SUMIFS(Capacity_Reservations!$L$5:$L$340,Capacity_Reservations!$B$5:$B$340,$B9,Capacity_Reservations!$D$5:$D$340,"DR",Capacity_Reservations!$E$5:$E$340,Request!A18),0)</f>
        <v/>
      </c>
      <c r="BZ9" s="24">
        <f>IF(BR9=1,SUMIFS(Capacity_Reservations!$K$5:$K$340,Capacity_Reservations!$B$5:$B$340,$B9,Capacity_Reservations!$D$5:$D$340,"DR",Capacity_Reservations!$E$5:$E$340,Request!A18),0)</f>
        <v/>
      </c>
      <c r="CA9" s="24">
        <f>IF(BR9=1,MIN(SUMIFS(Quota_Groups!$H$5:$H$60,Quota_Groups!$C$5:$C$60,$B9,Quota_Groups!$E$5:$E$60,Request!E18),SUMIFS(Quota_Groups!$P$5:$P$60,Quota_Groups!$C$5:$C$60,$B9,Quota_Groups!$E$5:$E$60,"Eadsv5")),0)</f>
        <v/>
      </c>
      <c r="CB9" s="24">
        <f>IF(BR9=1,SUMIFS(Quota_Groups!$F$5:$F$60,Quota_Groups!$C$5:$C$60,$B9,Quota_Groups!$E$5:$E$60,Request!E18),0)</f>
        <v/>
      </c>
      <c r="CC9" s="24">
        <f>IF(BR9=1,SUMIFS(Quota_Groups!$M$5:$M$60,Quota_Groups!$C$5:$C$60,$B9,Quota_Groups!$E$5:$E$60,Request!E18),0)</f>
        <v/>
      </c>
      <c r="CD9" s="24">
        <f>IF(AND(Request!A19&lt;&gt;"",ISNUMBER(Request!B19),Request!B19&gt;0),1,0)</f>
        <v/>
      </c>
      <c r="CE9" s="24">
        <f>IF(CD9=1,Request!D19,0)</f>
        <v/>
      </c>
      <c r="CF9" s="25">
        <f>IF(CD9=1,Request!E19,"")</f>
        <v/>
      </c>
      <c r="CG9" s="24">
        <f>IF(CD9=1,SUMIFS(Capacity_Reservations!$L$5:$L$340,Capacity_Reservations!$B$5:$B$340,$B9,Capacity_Reservations!$D$5:$D$340,"Prod",Capacity_Reservations!$E$5:$E$340,Request!A19),0)</f>
        <v/>
      </c>
      <c r="CH9" s="24">
        <f>IF(CD9=1,SUMIFS(Capacity_Reservations!$K$5:$K$340,Capacity_Reservations!$B$5:$B$340,$B9,Capacity_Reservations!$D$5:$D$340,"Prod",Capacity_Reservations!$E$5:$E$340,Request!A19),0)</f>
        <v/>
      </c>
      <c r="CI9" s="24">
        <f>IF(CD9=1,SUMIFS(Capacity_Reservations!$L$5:$L$340,Capacity_Reservations!$B$5:$B$340,$B9,Capacity_Reservations!$D$5:$D$340,"NonProd",Capacity_Reservations!$E$5:$E$340,Request!A19),0)</f>
        <v/>
      </c>
      <c r="CJ9" s="24">
        <f>IF(CD9=1,SUMIFS(Capacity_Reservations!$K$5:$K$340,Capacity_Reservations!$B$5:$B$340,$B9,Capacity_Reservations!$D$5:$D$340,"NonProd",Capacity_Reservations!$E$5:$E$340,Request!A19),0)</f>
        <v/>
      </c>
      <c r="CK9" s="24">
        <f>IF(CD9=1,SUMIFS(Capacity_Reservations!$L$5:$L$340,Capacity_Reservations!$B$5:$B$340,$B9,Capacity_Reservations!$D$5:$D$340,"DR",Capacity_Reservations!$E$5:$E$340,Request!A19),0)</f>
        <v/>
      </c>
      <c r="CL9" s="24">
        <f>IF(CD9=1,SUMIFS(Capacity_Reservations!$K$5:$K$340,Capacity_Reservations!$B$5:$B$340,$B9,Capacity_Reservations!$D$5:$D$340,"DR",Capacity_Reservations!$E$5:$E$340,Request!A19),0)</f>
        <v/>
      </c>
      <c r="CM9" s="24">
        <f>IF(CD9=1,MIN(SUMIFS(Quota_Groups!$H$5:$H$60,Quota_Groups!$C$5:$C$60,$B9,Quota_Groups!$E$5:$E$60,Request!E19),SUMIFS(Quota_Groups!$P$5:$P$60,Quota_Groups!$C$5:$C$60,$B9,Quota_Groups!$E$5:$E$60,"Eadsv5")),0)</f>
        <v/>
      </c>
      <c r="CN9" s="24">
        <f>IF(CD9=1,SUMIFS(Quota_Groups!$F$5:$F$60,Quota_Groups!$C$5:$C$60,$B9,Quota_Groups!$E$5:$E$60,Request!E19),0)</f>
        <v/>
      </c>
      <c r="CO9" s="24">
        <f>IF(CD9=1,SUMIFS(Quota_Groups!$M$5:$M$60,Quota_Groups!$C$5:$C$60,$B9,Quota_Groups!$E$5:$E$60,Request!E19),0)</f>
        <v/>
      </c>
      <c r="CP9" s="24">
        <f>IF(AND(Request!A20&lt;&gt;"",ISNUMBER(Request!B20),Request!B20&gt;0),1,0)</f>
        <v/>
      </c>
      <c r="CQ9" s="24">
        <f>IF(CP9=1,Request!D20,0)</f>
        <v/>
      </c>
      <c r="CR9" s="25">
        <f>IF(CP9=1,Request!E20,"")</f>
        <v/>
      </c>
      <c r="CS9" s="24">
        <f>IF(CP9=1,SUMIFS(Capacity_Reservations!$L$5:$L$340,Capacity_Reservations!$B$5:$B$340,$B9,Capacity_Reservations!$D$5:$D$340,"Prod",Capacity_Reservations!$E$5:$E$340,Request!A20),0)</f>
        <v/>
      </c>
      <c r="CT9" s="24">
        <f>IF(CP9=1,SUMIFS(Capacity_Reservations!$K$5:$K$340,Capacity_Reservations!$B$5:$B$340,$B9,Capacity_Reservations!$D$5:$D$340,"Prod",Capacity_Reservations!$E$5:$E$340,Request!A20),0)</f>
        <v/>
      </c>
      <c r="CU9" s="24">
        <f>IF(CP9=1,SUMIFS(Capacity_Reservations!$L$5:$L$340,Capacity_Reservations!$B$5:$B$340,$B9,Capacity_Reservations!$D$5:$D$340,"NonProd",Capacity_Reservations!$E$5:$E$340,Request!A20),0)</f>
        <v/>
      </c>
      <c r="CV9" s="24">
        <f>IF(CP9=1,SUMIFS(Capacity_Reservations!$K$5:$K$340,Capacity_Reservations!$B$5:$B$340,$B9,Capacity_Reservations!$D$5:$D$340,"NonProd",Capacity_Reservations!$E$5:$E$340,Request!A20),0)</f>
        <v/>
      </c>
      <c r="CW9" s="24">
        <f>IF(CP9=1,SUMIFS(Capacity_Reservations!$L$5:$L$340,Capacity_Reservations!$B$5:$B$340,$B9,Capacity_Reservations!$D$5:$D$340,"DR",Capacity_Reservations!$E$5:$E$340,Request!A20),0)</f>
        <v/>
      </c>
      <c r="CX9" s="24">
        <f>IF(CP9=1,SUMIFS(Capacity_Reservations!$K$5:$K$340,Capacity_Reservations!$B$5:$B$340,$B9,Capacity_Reservations!$D$5:$D$340,"DR",Capacity_Reservations!$E$5:$E$340,Request!A20),0)</f>
        <v/>
      </c>
      <c r="CY9" s="24">
        <f>IF(CP9=1,MIN(SUMIFS(Quota_Groups!$H$5:$H$60,Quota_Groups!$C$5:$C$60,$B9,Quota_Groups!$E$5:$E$60,Request!E20),SUMIFS(Quota_Groups!$P$5:$P$60,Quota_Groups!$C$5:$C$60,$B9,Quota_Groups!$E$5:$E$60,"Eadsv5")),0)</f>
        <v/>
      </c>
      <c r="CZ9" s="24">
        <f>IF(CP9=1,SUMIFS(Quota_Groups!$F$5:$F$60,Quota_Groups!$C$5:$C$60,$B9,Quota_Groups!$E$5:$E$60,Request!E20),0)</f>
        <v/>
      </c>
      <c r="DA9" s="24">
        <f>IF(CP9=1,SUMIFS(Quota_Groups!$M$5:$M$60,Quota_Groups!$C$5:$C$60,$B9,Quota_Groups!$E$5:$E$60,Request!E20),0)</f>
        <v/>
      </c>
    </row>
    <row r="10">
      <c r="A10" s="6">
        <f>Region_Catalogue!A10</f>
        <v/>
      </c>
      <c r="B10" s="6">
        <f>Region_Catalogue!B10</f>
        <v/>
      </c>
      <c r="C10" s="15">
        <f>Region_Catalogue!C10</f>
        <v/>
      </c>
      <c r="D10" s="15">
        <f>Region_Catalogue!G10</f>
        <v/>
      </c>
      <c r="E10" s="15">
        <f>Region_Catalogue!E10</f>
        <v/>
      </c>
      <c r="F10" s="15">
        <f>Region_Catalogue!F10</f>
        <v/>
      </c>
      <c r="G10" s="42">
        <f>Region_Catalogue!D10</f>
        <v/>
      </c>
      <c r="H10" s="42">
        <f>Region_Catalogue!H10</f>
        <v/>
      </c>
      <c r="I10" s="43">
        <f>Region_Catalogue!I10</f>
        <v/>
      </c>
      <c r="J10" s="24">
        <f>IF(AND(Request!A13&lt;&gt;"",ISNUMBER(Request!B13),Request!B13&gt;0),1,0)</f>
        <v/>
      </c>
      <c r="K10" s="24">
        <f>IF(J10=1,Request!D13,0)</f>
        <v/>
      </c>
      <c r="L10" s="25">
        <f>IF(J10=1,Request!E13,"")</f>
        <v/>
      </c>
      <c r="M10" s="24">
        <f>IF(J10=1,SUMIFS(Capacity_Reservations!$L$5:$L$340,Capacity_Reservations!$B$5:$B$340,$B10,Capacity_Reservations!$D$5:$D$340,"Prod",Capacity_Reservations!$E$5:$E$340,Request!A13),0)</f>
        <v/>
      </c>
      <c r="N10" s="24">
        <f>IF(J10=1,SUMIFS(Capacity_Reservations!$K$5:$K$340,Capacity_Reservations!$B$5:$B$340,$B10,Capacity_Reservations!$D$5:$D$340,"Prod",Capacity_Reservations!$E$5:$E$340,Request!A13),0)</f>
        <v/>
      </c>
      <c r="O10" s="24">
        <f>IF(J10=1,SUMIFS(Capacity_Reservations!$L$5:$L$340,Capacity_Reservations!$B$5:$B$340,$B10,Capacity_Reservations!$D$5:$D$340,"NonProd",Capacity_Reservations!$E$5:$E$340,Request!A13),0)</f>
        <v/>
      </c>
      <c r="P10" s="24">
        <f>IF(J10=1,SUMIFS(Capacity_Reservations!$K$5:$K$340,Capacity_Reservations!$B$5:$B$340,$B10,Capacity_Reservations!$D$5:$D$340,"NonProd",Capacity_Reservations!$E$5:$E$340,Request!A13),0)</f>
        <v/>
      </c>
      <c r="Q10" s="24">
        <f>IF(J10=1,SUMIFS(Capacity_Reservations!$L$5:$L$340,Capacity_Reservations!$B$5:$B$340,$B10,Capacity_Reservations!$D$5:$D$340,"DR",Capacity_Reservations!$E$5:$E$340,Request!A13),0)</f>
        <v/>
      </c>
      <c r="R10" s="24">
        <f>IF(J10=1,SUMIFS(Capacity_Reservations!$K$5:$K$340,Capacity_Reservations!$B$5:$B$340,$B10,Capacity_Reservations!$D$5:$D$340,"DR",Capacity_Reservations!$E$5:$E$340,Request!A13),0)</f>
        <v/>
      </c>
      <c r="S10" s="24">
        <f>IF(J10=1,MIN(SUMIFS(Quota_Groups!$H$5:$H$60,Quota_Groups!$C$5:$C$60,$B10,Quota_Groups!$E$5:$E$60,Request!E13),SUMIFS(Quota_Groups!$P$5:$P$60,Quota_Groups!$C$5:$C$60,$B10,Quota_Groups!$E$5:$E$60,"Eadsv5")),0)</f>
        <v/>
      </c>
      <c r="T10" s="24">
        <f>IF(J10=1,SUMIFS(Quota_Groups!$F$5:$F$60,Quota_Groups!$C$5:$C$60,$B10,Quota_Groups!$E$5:$E$60,Request!E13),0)</f>
        <v/>
      </c>
      <c r="U10" s="24">
        <f>IF(J10=1,SUMIFS(Quota_Groups!$M$5:$M$60,Quota_Groups!$C$5:$C$60,$B10,Quota_Groups!$E$5:$E$60,Request!E13),0)</f>
        <v/>
      </c>
      <c r="V10" s="24">
        <f>IF(AND(Request!A14&lt;&gt;"",ISNUMBER(Request!B14),Request!B14&gt;0),1,0)</f>
        <v/>
      </c>
      <c r="W10" s="24">
        <f>IF(V10=1,Request!D14,0)</f>
        <v/>
      </c>
      <c r="X10" s="25">
        <f>IF(V10=1,Request!E14,"")</f>
        <v/>
      </c>
      <c r="Y10" s="24">
        <f>IF(V10=1,SUMIFS(Capacity_Reservations!$L$5:$L$340,Capacity_Reservations!$B$5:$B$340,$B10,Capacity_Reservations!$D$5:$D$340,"Prod",Capacity_Reservations!$E$5:$E$340,Request!A14),0)</f>
        <v/>
      </c>
      <c r="Z10" s="24">
        <f>IF(V10=1,SUMIFS(Capacity_Reservations!$K$5:$K$340,Capacity_Reservations!$B$5:$B$340,$B10,Capacity_Reservations!$D$5:$D$340,"Prod",Capacity_Reservations!$E$5:$E$340,Request!A14),0)</f>
        <v/>
      </c>
      <c r="AA10" s="24">
        <f>IF(V10=1,SUMIFS(Capacity_Reservations!$L$5:$L$340,Capacity_Reservations!$B$5:$B$340,$B10,Capacity_Reservations!$D$5:$D$340,"NonProd",Capacity_Reservations!$E$5:$E$340,Request!A14),0)</f>
        <v/>
      </c>
      <c r="AB10" s="24">
        <f>IF(V10=1,SUMIFS(Capacity_Reservations!$K$5:$K$340,Capacity_Reservations!$B$5:$B$340,$B10,Capacity_Reservations!$D$5:$D$340,"NonProd",Capacity_Reservations!$E$5:$E$340,Request!A14),0)</f>
        <v/>
      </c>
      <c r="AC10" s="24">
        <f>IF(V10=1,SUMIFS(Capacity_Reservations!$L$5:$L$340,Capacity_Reservations!$B$5:$B$340,$B10,Capacity_Reservations!$D$5:$D$340,"DR",Capacity_Reservations!$E$5:$E$340,Request!A14),0)</f>
        <v/>
      </c>
      <c r="AD10" s="24">
        <f>IF(V10=1,SUMIFS(Capacity_Reservations!$K$5:$K$340,Capacity_Reservations!$B$5:$B$340,$B10,Capacity_Reservations!$D$5:$D$340,"DR",Capacity_Reservations!$E$5:$E$340,Request!A14),0)</f>
        <v/>
      </c>
      <c r="AE10" s="24">
        <f>IF(V10=1,MIN(SUMIFS(Quota_Groups!$H$5:$H$60,Quota_Groups!$C$5:$C$60,$B10,Quota_Groups!$E$5:$E$60,Request!E14),SUMIFS(Quota_Groups!$P$5:$P$60,Quota_Groups!$C$5:$C$60,$B10,Quota_Groups!$E$5:$E$60,"Eadsv5")),0)</f>
        <v/>
      </c>
      <c r="AF10" s="24">
        <f>IF(V10=1,SUMIFS(Quota_Groups!$F$5:$F$60,Quota_Groups!$C$5:$C$60,$B10,Quota_Groups!$E$5:$E$60,Request!E14),0)</f>
        <v/>
      </c>
      <c r="AG10" s="24">
        <f>IF(V10=1,SUMIFS(Quota_Groups!$M$5:$M$60,Quota_Groups!$C$5:$C$60,$B10,Quota_Groups!$E$5:$E$60,Request!E14),0)</f>
        <v/>
      </c>
      <c r="AH10" s="24">
        <f>IF(AND(Request!A15&lt;&gt;"",ISNUMBER(Request!B15),Request!B15&gt;0),1,0)</f>
        <v/>
      </c>
      <c r="AI10" s="24">
        <f>IF(AH10=1,Request!D15,0)</f>
        <v/>
      </c>
      <c r="AJ10" s="25">
        <f>IF(AH10=1,Request!E15,"")</f>
        <v/>
      </c>
      <c r="AK10" s="24">
        <f>IF(AH10=1,SUMIFS(Capacity_Reservations!$L$5:$L$340,Capacity_Reservations!$B$5:$B$340,$B10,Capacity_Reservations!$D$5:$D$340,"Prod",Capacity_Reservations!$E$5:$E$340,Request!A15),0)</f>
        <v/>
      </c>
      <c r="AL10" s="24">
        <f>IF(AH10=1,SUMIFS(Capacity_Reservations!$K$5:$K$340,Capacity_Reservations!$B$5:$B$340,$B10,Capacity_Reservations!$D$5:$D$340,"Prod",Capacity_Reservations!$E$5:$E$340,Request!A15),0)</f>
        <v/>
      </c>
      <c r="AM10" s="24">
        <f>IF(AH10=1,SUMIFS(Capacity_Reservations!$L$5:$L$340,Capacity_Reservations!$B$5:$B$340,$B10,Capacity_Reservations!$D$5:$D$340,"NonProd",Capacity_Reservations!$E$5:$E$340,Request!A15),0)</f>
        <v/>
      </c>
      <c r="AN10" s="24">
        <f>IF(AH10=1,SUMIFS(Capacity_Reservations!$K$5:$K$340,Capacity_Reservations!$B$5:$B$340,$B10,Capacity_Reservations!$D$5:$D$340,"NonProd",Capacity_Reservations!$E$5:$E$340,Request!A15),0)</f>
        <v/>
      </c>
      <c r="AO10" s="24">
        <f>IF(AH10=1,SUMIFS(Capacity_Reservations!$L$5:$L$340,Capacity_Reservations!$B$5:$B$340,$B10,Capacity_Reservations!$D$5:$D$340,"DR",Capacity_Reservations!$E$5:$E$340,Request!A15),0)</f>
        <v/>
      </c>
      <c r="AP10" s="24">
        <f>IF(AH10=1,SUMIFS(Capacity_Reservations!$K$5:$K$340,Capacity_Reservations!$B$5:$B$340,$B10,Capacity_Reservations!$D$5:$D$340,"DR",Capacity_Reservations!$E$5:$E$340,Request!A15),0)</f>
        <v/>
      </c>
      <c r="AQ10" s="24">
        <f>IF(AH10=1,MIN(SUMIFS(Quota_Groups!$H$5:$H$60,Quota_Groups!$C$5:$C$60,$B10,Quota_Groups!$E$5:$E$60,Request!E15),SUMIFS(Quota_Groups!$P$5:$P$60,Quota_Groups!$C$5:$C$60,$B10,Quota_Groups!$E$5:$E$60,"Eadsv5")),0)</f>
        <v/>
      </c>
      <c r="AR10" s="24">
        <f>IF(AH10=1,SUMIFS(Quota_Groups!$F$5:$F$60,Quota_Groups!$C$5:$C$60,$B10,Quota_Groups!$E$5:$E$60,Request!E15),0)</f>
        <v/>
      </c>
      <c r="AS10" s="24">
        <f>IF(AH10=1,SUMIFS(Quota_Groups!$M$5:$M$60,Quota_Groups!$C$5:$C$60,$B10,Quota_Groups!$E$5:$E$60,Request!E15),0)</f>
        <v/>
      </c>
      <c r="AT10" s="24">
        <f>IF(AND(Request!A16&lt;&gt;"",ISNUMBER(Request!B16),Request!B16&gt;0),1,0)</f>
        <v/>
      </c>
      <c r="AU10" s="24">
        <f>IF(AT10=1,Request!D16,0)</f>
        <v/>
      </c>
      <c r="AV10" s="25">
        <f>IF(AT10=1,Request!E16,"")</f>
        <v/>
      </c>
      <c r="AW10" s="24">
        <f>IF(AT10=1,SUMIFS(Capacity_Reservations!$L$5:$L$340,Capacity_Reservations!$B$5:$B$340,$B10,Capacity_Reservations!$D$5:$D$340,"Prod",Capacity_Reservations!$E$5:$E$340,Request!A16),0)</f>
        <v/>
      </c>
      <c r="AX10" s="24">
        <f>IF(AT10=1,SUMIFS(Capacity_Reservations!$K$5:$K$340,Capacity_Reservations!$B$5:$B$340,$B10,Capacity_Reservations!$D$5:$D$340,"Prod",Capacity_Reservations!$E$5:$E$340,Request!A16),0)</f>
        <v/>
      </c>
      <c r="AY10" s="24">
        <f>IF(AT10=1,SUMIFS(Capacity_Reservations!$L$5:$L$340,Capacity_Reservations!$B$5:$B$340,$B10,Capacity_Reservations!$D$5:$D$340,"NonProd",Capacity_Reservations!$E$5:$E$340,Request!A16),0)</f>
        <v/>
      </c>
      <c r="AZ10" s="24">
        <f>IF(AT10=1,SUMIFS(Capacity_Reservations!$K$5:$K$340,Capacity_Reservations!$B$5:$B$340,$B10,Capacity_Reservations!$D$5:$D$340,"NonProd",Capacity_Reservations!$E$5:$E$340,Request!A16),0)</f>
        <v/>
      </c>
      <c r="BA10" s="24">
        <f>IF(AT10=1,SUMIFS(Capacity_Reservations!$L$5:$L$340,Capacity_Reservations!$B$5:$B$340,$B10,Capacity_Reservations!$D$5:$D$340,"DR",Capacity_Reservations!$E$5:$E$340,Request!A16),0)</f>
        <v/>
      </c>
      <c r="BB10" s="24">
        <f>IF(AT10=1,SUMIFS(Capacity_Reservations!$K$5:$K$340,Capacity_Reservations!$B$5:$B$340,$B10,Capacity_Reservations!$D$5:$D$340,"DR",Capacity_Reservations!$E$5:$E$340,Request!A16),0)</f>
        <v/>
      </c>
      <c r="BC10" s="24">
        <f>IF(AT10=1,MIN(SUMIFS(Quota_Groups!$H$5:$H$60,Quota_Groups!$C$5:$C$60,$B10,Quota_Groups!$E$5:$E$60,Request!E16),SUMIFS(Quota_Groups!$P$5:$P$60,Quota_Groups!$C$5:$C$60,$B10,Quota_Groups!$E$5:$E$60,"Eadsv5")),0)</f>
        <v/>
      </c>
      <c r="BD10" s="24">
        <f>IF(AT10=1,SUMIFS(Quota_Groups!$F$5:$F$60,Quota_Groups!$C$5:$C$60,$B10,Quota_Groups!$E$5:$E$60,Request!E16),0)</f>
        <v/>
      </c>
      <c r="BE10" s="24">
        <f>IF(AT10=1,SUMIFS(Quota_Groups!$M$5:$M$60,Quota_Groups!$C$5:$C$60,$B10,Quota_Groups!$E$5:$E$60,Request!E16),0)</f>
        <v/>
      </c>
      <c r="BF10" s="24">
        <f>IF(AND(Request!A17&lt;&gt;"",ISNUMBER(Request!B17),Request!B17&gt;0),1,0)</f>
        <v/>
      </c>
      <c r="BG10" s="24">
        <f>IF(BF10=1,Request!D17,0)</f>
        <v/>
      </c>
      <c r="BH10" s="25">
        <f>IF(BF10=1,Request!E17,"")</f>
        <v/>
      </c>
      <c r="BI10" s="24">
        <f>IF(BF10=1,SUMIFS(Capacity_Reservations!$L$5:$L$340,Capacity_Reservations!$B$5:$B$340,$B10,Capacity_Reservations!$D$5:$D$340,"Prod",Capacity_Reservations!$E$5:$E$340,Request!A17),0)</f>
        <v/>
      </c>
      <c r="BJ10" s="24">
        <f>IF(BF10=1,SUMIFS(Capacity_Reservations!$K$5:$K$340,Capacity_Reservations!$B$5:$B$340,$B10,Capacity_Reservations!$D$5:$D$340,"Prod",Capacity_Reservations!$E$5:$E$340,Request!A17),0)</f>
        <v/>
      </c>
      <c r="BK10" s="24">
        <f>IF(BF10=1,SUMIFS(Capacity_Reservations!$L$5:$L$340,Capacity_Reservations!$B$5:$B$340,$B10,Capacity_Reservations!$D$5:$D$340,"NonProd",Capacity_Reservations!$E$5:$E$340,Request!A17),0)</f>
        <v/>
      </c>
      <c r="BL10" s="24">
        <f>IF(BF10=1,SUMIFS(Capacity_Reservations!$K$5:$K$340,Capacity_Reservations!$B$5:$B$340,$B10,Capacity_Reservations!$D$5:$D$340,"NonProd",Capacity_Reservations!$E$5:$E$340,Request!A17),0)</f>
        <v/>
      </c>
      <c r="BM10" s="24">
        <f>IF(BF10=1,SUMIFS(Capacity_Reservations!$L$5:$L$340,Capacity_Reservations!$B$5:$B$340,$B10,Capacity_Reservations!$D$5:$D$340,"DR",Capacity_Reservations!$E$5:$E$340,Request!A17),0)</f>
        <v/>
      </c>
      <c r="BN10" s="24">
        <f>IF(BF10=1,SUMIFS(Capacity_Reservations!$K$5:$K$340,Capacity_Reservations!$B$5:$B$340,$B10,Capacity_Reservations!$D$5:$D$340,"DR",Capacity_Reservations!$E$5:$E$340,Request!A17),0)</f>
        <v/>
      </c>
      <c r="BO10" s="24">
        <f>IF(BF10=1,MIN(SUMIFS(Quota_Groups!$H$5:$H$60,Quota_Groups!$C$5:$C$60,$B10,Quota_Groups!$E$5:$E$60,Request!E17),SUMIFS(Quota_Groups!$P$5:$P$60,Quota_Groups!$C$5:$C$60,$B10,Quota_Groups!$E$5:$E$60,"Eadsv5")),0)</f>
        <v/>
      </c>
      <c r="BP10" s="24">
        <f>IF(BF10=1,SUMIFS(Quota_Groups!$F$5:$F$60,Quota_Groups!$C$5:$C$60,$B10,Quota_Groups!$E$5:$E$60,Request!E17),0)</f>
        <v/>
      </c>
      <c r="BQ10" s="24">
        <f>IF(BF10=1,SUMIFS(Quota_Groups!$M$5:$M$60,Quota_Groups!$C$5:$C$60,$B10,Quota_Groups!$E$5:$E$60,Request!E17),0)</f>
        <v/>
      </c>
      <c r="BR10" s="24">
        <f>IF(AND(Request!A18&lt;&gt;"",ISNUMBER(Request!B18),Request!B18&gt;0),1,0)</f>
        <v/>
      </c>
      <c r="BS10" s="24">
        <f>IF(BR10=1,Request!D18,0)</f>
        <v/>
      </c>
      <c r="BT10" s="25">
        <f>IF(BR10=1,Request!E18,"")</f>
        <v/>
      </c>
      <c r="BU10" s="24">
        <f>IF(BR10=1,SUMIFS(Capacity_Reservations!$L$5:$L$340,Capacity_Reservations!$B$5:$B$340,$B10,Capacity_Reservations!$D$5:$D$340,"Prod",Capacity_Reservations!$E$5:$E$340,Request!A18),0)</f>
        <v/>
      </c>
      <c r="BV10" s="24">
        <f>IF(BR10=1,SUMIFS(Capacity_Reservations!$K$5:$K$340,Capacity_Reservations!$B$5:$B$340,$B10,Capacity_Reservations!$D$5:$D$340,"Prod",Capacity_Reservations!$E$5:$E$340,Request!A18),0)</f>
        <v/>
      </c>
      <c r="BW10" s="24">
        <f>IF(BR10=1,SUMIFS(Capacity_Reservations!$L$5:$L$340,Capacity_Reservations!$B$5:$B$340,$B10,Capacity_Reservations!$D$5:$D$340,"NonProd",Capacity_Reservations!$E$5:$E$340,Request!A18),0)</f>
        <v/>
      </c>
      <c r="BX10" s="24">
        <f>IF(BR10=1,SUMIFS(Capacity_Reservations!$K$5:$K$340,Capacity_Reservations!$B$5:$B$340,$B10,Capacity_Reservations!$D$5:$D$340,"NonProd",Capacity_Reservations!$E$5:$E$340,Request!A18),0)</f>
        <v/>
      </c>
      <c r="BY10" s="24">
        <f>IF(BR10=1,SUMIFS(Capacity_Reservations!$L$5:$L$340,Capacity_Reservations!$B$5:$B$340,$B10,Capacity_Reservations!$D$5:$D$340,"DR",Capacity_Reservations!$E$5:$E$340,Request!A18),0)</f>
        <v/>
      </c>
      <c r="BZ10" s="24">
        <f>IF(BR10=1,SUMIFS(Capacity_Reservations!$K$5:$K$340,Capacity_Reservations!$B$5:$B$340,$B10,Capacity_Reservations!$D$5:$D$340,"DR",Capacity_Reservations!$E$5:$E$340,Request!A18),0)</f>
        <v/>
      </c>
      <c r="CA10" s="24">
        <f>IF(BR10=1,MIN(SUMIFS(Quota_Groups!$H$5:$H$60,Quota_Groups!$C$5:$C$60,$B10,Quota_Groups!$E$5:$E$60,Request!E18),SUMIFS(Quota_Groups!$P$5:$P$60,Quota_Groups!$C$5:$C$60,$B10,Quota_Groups!$E$5:$E$60,"Eadsv5")),0)</f>
        <v/>
      </c>
      <c r="CB10" s="24">
        <f>IF(BR10=1,SUMIFS(Quota_Groups!$F$5:$F$60,Quota_Groups!$C$5:$C$60,$B10,Quota_Groups!$E$5:$E$60,Request!E18),0)</f>
        <v/>
      </c>
      <c r="CC10" s="24">
        <f>IF(BR10=1,SUMIFS(Quota_Groups!$M$5:$M$60,Quota_Groups!$C$5:$C$60,$B10,Quota_Groups!$E$5:$E$60,Request!E18),0)</f>
        <v/>
      </c>
      <c r="CD10" s="24">
        <f>IF(AND(Request!A19&lt;&gt;"",ISNUMBER(Request!B19),Request!B19&gt;0),1,0)</f>
        <v/>
      </c>
      <c r="CE10" s="24">
        <f>IF(CD10=1,Request!D19,0)</f>
        <v/>
      </c>
      <c r="CF10" s="25">
        <f>IF(CD10=1,Request!E19,"")</f>
        <v/>
      </c>
      <c r="CG10" s="24">
        <f>IF(CD10=1,SUMIFS(Capacity_Reservations!$L$5:$L$340,Capacity_Reservations!$B$5:$B$340,$B10,Capacity_Reservations!$D$5:$D$340,"Prod",Capacity_Reservations!$E$5:$E$340,Request!A19),0)</f>
        <v/>
      </c>
      <c r="CH10" s="24">
        <f>IF(CD10=1,SUMIFS(Capacity_Reservations!$K$5:$K$340,Capacity_Reservations!$B$5:$B$340,$B10,Capacity_Reservations!$D$5:$D$340,"Prod",Capacity_Reservations!$E$5:$E$340,Request!A19),0)</f>
        <v/>
      </c>
      <c r="CI10" s="24">
        <f>IF(CD10=1,SUMIFS(Capacity_Reservations!$L$5:$L$340,Capacity_Reservations!$B$5:$B$340,$B10,Capacity_Reservations!$D$5:$D$340,"NonProd",Capacity_Reservations!$E$5:$E$340,Request!A19),0)</f>
        <v/>
      </c>
      <c r="CJ10" s="24">
        <f>IF(CD10=1,SUMIFS(Capacity_Reservations!$K$5:$K$340,Capacity_Reservations!$B$5:$B$340,$B10,Capacity_Reservations!$D$5:$D$340,"NonProd",Capacity_Reservations!$E$5:$E$340,Request!A19),0)</f>
        <v/>
      </c>
      <c r="CK10" s="24">
        <f>IF(CD10=1,SUMIFS(Capacity_Reservations!$L$5:$L$340,Capacity_Reservations!$B$5:$B$340,$B10,Capacity_Reservations!$D$5:$D$340,"DR",Capacity_Reservations!$E$5:$E$340,Request!A19),0)</f>
        <v/>
      </c>
      <c r="CL10" s="24">
        <f>IF(CD10=1,SUMIFS(Capacity_Reservations!$K$5:$K$340,Capacity_Reservations!$B$5:$B$340,$B10,Capacity_Reservations!$D$5:$D$340,"DR",Capacity_Reservations!$E$5:$E$340,Request!A19),0)</f>
        <v/>
      </c>
      <c r="CM10" s="24">
        <f>IF(CD10=1,MIN(SUMIFS(Quota_Groups!$H$5:$H$60,Quota_Groups!$C$5:$C$60,$B10,Quota_Groups!$E$5:$E$60,Request!E19),SUMIFS(Quota_Groups!$P$5:$P$60,Quota_Groups!$C$5:$C$60,$B10,Quota_Groups!$E$5:$E$60,"Eadsv5")),0)</f>
        <v/>
      </c>
      <c r="CN10" s="24">
        <f>IF(CD10=1,SUMIFS(Quota_Groups!$F$5:$F$60,Quota_Groups!$C$5:$C$60,$B10,Quota_Groups!$E$5:$E$60,Request!E19),0)</f>
        <v/>
      </c>
      <c r="CO10" s="24">
        <f>IF(CD10=1,SUMIFS(Quota_Groups!$M$5:$M$60,Quota_Groups!$C$5:$C$60,$B10,Quota_Groups!$E$5:$E$60,Request!E19),0)</f>
        <v/>
      </c>
      <c r="CP10" s="24">
        <f>IF(AND(Request!A20&lt;&gt;"",ISNUMBER(Request!B20),Request!B20&gt;0),1,0)</f>
        <v/>
      </c>
      <c r="CQ10" s="24">
        <f>IF(CP10=1,Request!D20,0)</f>
        <v/>
      </c>
      <c r="CR10" s="25">
        <f>IF(CP10=1,Request!E20,"")</f>
        <v/>
      </c>
      <c r="CS10" s="24">
        <f>IF(CP10=1,SUMIFS(Capacity_Reservations!$L$5:$L$340,Capacity_Reservations!$B$5:$B$340,$B10,Capacity_Reservations!$D$5:$D$340,"Prod",Capacity_Reservations!$E$5:$E$340,Request!A20),0)</f>
        <v/>
      </c>
      <c r="CT10" s="24">
        <f>IF(CP10=1,SUMIFS(Capacity_Reservations!$K$5:$K$340,Capacity_Reservations!$B$5:$B$340,$B10,Capacity_Reservations!$D$5:$D$340,"Prod",Capacity_Reservations!$E$5:$E$340,Request!A20),0)</f>
        <v/>
      </c>
      <c r="CU10" s="24">
        <f>IF(CP10=1,SUMIFS(Capacity_Reservations!$L$5:$L$340,Capacity_Reservations!$B$5:$B$340,$B10,Capacity_Reservations!$D$5:$D$340,"NonProd",Capacity_Reservations!$E$5:$E$340,Request!A20),0)</f>
        <v/>
      </c>
      <c r="CV10" s="24">
        <f>IF(CP10=1,SUMIFS(Capacity_Reservations!$K$5:$K$340,Capacity_Reservations!$B$5:$B$340,$B10,Capacity_Reservations!$D$5:$D$340,"NonProd",Capacity_Reservations!$E$5:$E$340,Request!A20),0)</f>
        <v/>
      </c>
      <c r="CW10" s="24">
        <f>IF(CP10=1,SUMIFS(Capacity_Reservations!$L$5:$L$340,Capacity_Reservations!$B$5:$B$340,$B10,Capacity_Reservations!$D$5:$D$340,"DR",Capacity_Reservations!$E$5:$E$340,Request!A20),0)</f>
        <v/>
      </c>
      <c r="CX10" s="24">
        <f>IF(CP10=1,SUMIFS(Capacity_Reservations!$K$5:$K$340,Capacity_Reservations!$B$5:$B$340,$B10,Capacity_Reservations!$D$5:$D$340,"DR",Capacity_Reservations!$E$5:$E$340,Request!A20),0)</f>
        <v/>
      </c>
      <c r="CY10" s="24">
        <f>IF(CP10=1,MIN(SUMIFS(Quota_Groups!$H$5:$H$60,Quota_Groups!$C$5:$C$60,$B10,Quota_Groups!$E$5:$E$60,Request!E20),SUMIFS(Quota_Groups!$P$5:$P$60,Quota_Groups!$C$5:$C$60,$B10,Quota_Groups!$E$5:$E$60,"Eadsv5")),0)</f>
        <v/>
      </c>
      <c r="CZ10" s="24">
        <f>IF(CP10=1,SUMIFS(Quota_Groups!$F$5:$F$60,Quota_Groups!$C$5:$C$60,$B10,Quota_Groups!$E$5:$E$60,Request!E20),0)</f>
        <v/>
      </c>
      <c r="DA10" s="24">
        <f>IF(CP10=1,SUMIFS(Quota_Groups!$M$5:$M$60,Quota_Groups!$C$5:$C$60,$B10,Quota_Groups!$E$5:$E$60,Request!E20),0)</f>
        <v/>
      </c>
    </row>
    <row r="11">
      <c r="A11" s="6">
        <f>Region_Catalogue!A11</f>
        <v/>
      </c>
      <c r="B11" s="6">
        <f>Region_Catalogue!B11</f>
        <v/>
      </c>
      <c r="C11" s="15">
        <f>Region_Catalogue!C11</f>
        <v/>
      </c>
      <c r="D11" s="15">
        <f>Region_Catalogue!G11</f>
        <v/>
      </c>
      <c r="E11" s="15">
        <f>Region_Catalogue!E11</f>
        <v/>
      </c>
      <c r="F11" s="15">
        <f>Region_Catalogue!F11</f>
        <v/>
      </c>
      <c r="G11" s="42">
        <f>Region_Catalogue!D11</f>
        <v/>
      </c>
      <c r="H11" s="42">
        <f>Region_Catalogue!H11</f>
        <v/>
      </c>
      <c r="I11" s="43">
        <f>Region_Catalogue!I11</f>
        <v/>
      </c>
      <c r="J11" s="24">
        <f>IF(AND(Request!A13&lt;&gt;"",ISNUMBER(Request!B13),Request!B13&gt;0),1,0)</f>
        <v/>
      </c>
      <c r="K11" s="24">
        <f>IF(J11=1,Request!D13,0)</f>
        <v/>
      </c>
      <c r="L11" s="25">
        <f>IF(J11=1,Request!E13,"")</f>
        <v/>
      </c>
      <c r="M11" s="24">
        <f>IF(J11=1,SUMIFS(Capacity_Reservations!$L$5:$L$340,Capacity_Reservations!$B$5:$B$340,$B11,Capacity_Reservations!$D$5:$D$340,"Prod",Capacity_Reservations!$E$5:$E$340,Request!A13),0)</f>
        <v/>
      </c>
      <c r="N11" s="24">
        <f>IF(J11=1,SUMIFS(Capacity_Reservations!$K$5:$K$340,Capacity_Reservations!$B$5:$B$340,$B11,Capacity_Reservations!$D$5:$D$340,"Prod",Capacity_Reservations!$E$5:$E$340,Request!A13),0)</f>
        <v/>
      </c>
      <c r="O11" s="24">
        <f>IF(J11=1,SUMIFS(Capacity_Reservations!$L$5:$L$340,Capacity_Reservations!$B$5:$B$340,$B11,Capacity_Reservations!$D$5:$D$340,"NonProd",Capacity_Reservations!$E$5:$E$340,Request!A13),0)</f>
        <v/>
      </c>
      <c r="P11" s="24">
        <f>IF(J11=1,SUMIFS(Capacity_Reservations!$K$5:$K$340,Capacity_Reservations!$B$5:$B$340,$B11,Capacity_Reservations!$D$5:$D$340,"NonProd",Capacity_Reservations!$E$5:$E$340,Request!A13),0)</f>
        <v/>
      </c>
      <c r="Q11" s="24">
        <f>IF(J11=1,SUMIFS(Capacity_Reservations!$L$5:$L$340,Capacity_Reservations!$B$5:$B$340,$B11,Capacity_Reservations!$D$5:$D$340,"DR",Capacity_Reservations!$E$5:$E$340,Request!A13),0)</f>
        <v/>
      </c>
      <c r="R11" s="24">
        <f>IF(J11=1,SUMIFS(Capacity_Reservations!$K$5:$K$340,Capacity_Reservations!$B$5:$B$340,$B11,Capacity_Reservations!$D$5:$D$340,"DR",Capacity_Reservations!$E$5:$E$340,Request!A13),0)</f>
        <v/>
      </c>
      <c r="S11" s="24">
        <f>IF(J11=1,MIN(SUMIFS(Quota_Groups!$H$5:$H$60,Quota_Groups!$C$5:$C$60,$B11,Quota_Groups!$E$5:$E$60,Request!E13),SUMIFS(Quota_Groups!$P$5:$P$60,Quota_Groups!$C$5:$C$60,$B11,Quota_Groups!$E$5:$E$60,"Eadsv5")),0)</f>
        <v/>
      </c>
      <c r="T11" s="24">
        <f>IF(J11=1,SUMIFS(Quota_Groups!$F$5:$F$60,Quota_Groups!$C$5:$C$60,$B11,Quota_Groups!$E$5:$E$60,Request!E13),0)</f>
        <v/>
      </c>
      <c r="U11" s="24">
        <f>IF(J11=1,SUMIFS(Quota_Groups!$M$5:$M$60,Quota_Groups!$C$5:$C$60,$B11,Quota_Groups!$E$5:$E$60,Request!E13),0)</f>
        <v/>
      </c>
      <c r="V11" s="24">
        <f>IF(AND(Request!A14&lt;&gt;"",ISNUMBER(Request!B14),Request!B14&gt;0),1,0)</f>
        <v/>
      </c>
      <c r="W11" s="24">
        <f>IF(V11=1,Request!D14,0)</f>
        <v/>
      </c>
      <c r="X11" s="25">
        <f>IF(V11=1,Request!E14,"")</f>
        <v/>
      </c>
      <c r="Y11" s="24">
        <f>IF(V11=1,SUMIFS(Capacity_Reservations!$L$5:$L$340,Capacity_Reservations!$B$5:$B$340,$B11,Capacity_Reservations!$D$5:$D$340,"Prod",Capacity_Reservations!$E$5:$E$340,Request!A14),0)</f>
        <v/>
      </c>
      <c r="Z11" s="24">
        <f>IF(V11=1,SUMIFS(Capacity_Reservations!$K$5:$K$340,Capacity_Reservations!$B$5:$B$340,$B11,Capacity_Reservations!$D$5:$D$340,"Prod",Capacity_Reservations!$E$5:$E$340,Request!A14),0)</f>
        <v/>
      </c>
      <c r="AA11" s="24">
        <f>IF(V11=1,SUMIFS(Capacity_Reservations!$L$5:$L$340,Capacity_Reservations!$B$5:$B$340,$B11,Capacity_Reservations!$D$5:$D$340,"NonProd",Capacity_Reservations!$E$5:$E$340,Request!A14),0)</f>
        <v/>
      </c>
      <c r="AB11" s="24">
        <f>IF(V11=1,SUMIFS(Capacity_Reservations!$K$5:$K$340,Capacity_Reservations!$B$5:$B$340,$B11,Capacity_Reservations!$D$5:$D$340,"NonProd",Capacity_Reservations!$E$5:$E$340,Request!A14),0)</f>
        <v/>
      </c>
      <c r="AC11" s="24">
        <f>IF(V11=1,SUMIFS(Capacity_Reservations!$L$5:$L$340,Capacity_Reservations!$B$5:$B$340,$B11,Capacity_Reservations!$D$5:$D$340,"DR",Capacity_Reservations!$E$5:$E$340,Request!A14),0)</f>
        <v/>
      </c>
      <c r="AD11" s="24">
        <f>IF(V11=1,SUMIFS(Capacity_Reservations!$K$5:$K$340,Capacity_Reservations!$B$5:$B$340,$B11,Capacity_Reservations!$D$5:$D$340,"DR",Capacity_Reservations!$E$5:$E$340,Request!A14),0)</f>
        <v/>
      </c>
      <c r="AE11" s="24">
        <f>IF(V11=1,MIN(SUMIFS(Quota_Groups!$H$5:$H$60,Quota_Groups!$C$5:$C$60,$B11,Quota_Groups!$E$5:$E$60,Request!E14),SUMIFS(Quota_Groups!$P$5:$P$60,Quota_Groups!$C$5:$C$60,$B11,Quota_Groups!$E$5:$E$60,"Eadsv5")),0)</f>
        <v/>
      </c>
      <c r="AF11" s="24">
        <f>IF(V11=1,SUMIFS(Quota_Groups!$F$5:$F$60,Quota_Groups!$C$5:$C$60,$B11,Quota_Groups!$E$5:$E$60,Request!E14),0)</f>
        <v/>
      </c>
      <c r="AG11" s="24">
        <f>IF(V11=1,SUMIFS(Quota_Groups!$M$5:$M$60,Quota_Groups!$C$5:$C$60,$B11,Quota_Groups!$E$5:$E$60,Request!E14),0)</f>
        <v/>
      </c>
      <c r="AH11" s="24">
        <f>IF(AND(Request!A15&lt;&gt;"",ISNUMBER(Request!B15),Request!B15&gt;0),1,0)</f>
        <v/>
      </c>
      <c r="AI11" s="24">
        <f>IF(AH11=1,Request!D15,0)</f>
        <v/>
      </c>
      <c r="AJ11" s="25">
        <f>IF(AH11=1,Request!E15,"")</f>
        <v/>
      </c>
      <c r="AK11" s="24">
        <f>IF(AH11=1,SUMIFS(Capacity_Reservations!$L$5:$L$340,Capacity_Reservations!$B$5:$B$340,$B11,Capacity_Reservations!$D$5:$D$340,"Prod",Capacity_Reservations!$E$5:$E$340,Request!A15),0)</f>
        <v/>
      </c>
      <c r="AL11" s="24">
        <f>IF(AH11=1,SUMIFS(Capacity_Reservations!$K$5:$K$340,Capacity_Reservations!$B$5:$B$340,$B11,Capacity_Reservations!$D$5:$D$340,"Prod",Capacity_Reservations!$E$5:$E$340,Request!A15),0)</f>
        <v/>
      </c>
      <c r="AM11" s="24">
        <f>IF(AH11=1,SUMIFS(Capacity_Reservations!$L$5:$L$340,Capacity_Reservations!$B$5:$B$340,$B11,Capacity_Reservations!$D$5:$D$340,"NonProd",Capacity_Reservations!$E$5:$E$340,Request!A15),0)</f>
        <v/>
      </c>
      <c r="AN11" s="24">
        <f>IF(AH11=1,SUMIFS(Capacity_Reservations!$K$5:$K$340,Capacity_Reservations!$B$5:$B$340,$B11,Capacity_Reservations!$D$5:$D$340,"NonProd",Capacity_Reservations!$E$5:$E$340,Request!A15),0)</f>
        <v/>
      </c>
      <c r="AO11" s="24">
        <f>IF(AH11=1,SUMIFS(Capacity_Reservations!$L$5:$L$340,Capacity_Reservations!$B$5:$B$340,$B11,Capacity_Reservations!$D$5:$D$340,"DR",Capacity_Reservations!$E$5:$E$340,Request!A15),0)</f>
        <v/>
      </c>
      <c r="AP11" s="24">
        <f>IF(AH11=1,SUMIFS(Capacity_Reservations!$K$5:$K$340,Capacity_Reservations!$B$5:$B$340,$B11,Capacity_Reservations!$D$5:$D$340,"DR",Capacity_Reservations!$E$5:$E$340,Request!A15),0)</f>
        <v/>
      </c>
      <c r="AQ11" s="24">
        <f>IF(AH11=1,MIN(SUMIFS(Quota_Groups!$H$5:$H$60,Quota_Groups!$C$5:$C$60,$B11,Quota_Groups!$E$5:$E$60,Request!E15),SUMIFS(Quota_Groups!$P$5:$P$60,Quota_Groups!$C$5:$C$60,$B11,Quota_Groups!$E$5:$E$60,"Eadsv5")),0)</f>
        <v/>
      </c>
      <c r="AR11" s="24">
        <f>IF(AH11=1,SUMIFS(Quota_Groups!$F$5:$F$60,Quota_Groups!$C$5:$C$60,$B11,Quota_Groups!$E$5:$E$60,Request!E15),0)</f>
        <v/>
      </c>
      <c r="AS11" s="24">
        <f>IF(AH11=1,SUMIFS(Quota_Groups!$M$5:$M$60,Quota_Groups!$C$5:$C$60,$B11,Quota_Groups!$E$5:$E$60,Request!E15),0)</f>
        <v/>
      </c>
      <c r="AT11" s="24">
        <f>IF(AND(Request!A16&lt;&gt;"",ISNUMBER(Request!B16),Request!B16&gt;0),1,0)</f>
        <v/>
      </c>
      <c r="AU11" s="24">
        <f>IF(AT11=1,Request!D16,0)</f>
        <v/>
      </c>
      <c r="AV11" s="25">
        <f>IF(AT11=1,Request!E16,"")</f>
        <v/>
      </c>
      <c r="AW11" s="24">
        <f>IF(AT11=1,SUMIFS(Capacity_Reservations!$L$5:$L$340,Capacity_Reservations!$B$5:$B$340,$B11,Capacity_Reservations!$D$5:$D$340,"Prod",Capacity_Reservations!$E$5:$E$340,Request!A16),0)</f>
        <v/>
      </c>
      <c r="AX11" s="24">
        <f>IF(AT11=1,SUMIFS(Capacity_Reservations!$K$5:$K$340,Capacity_Reservations!$B$5:$B$340,$B11,Capacity_Reservations!$D$5:$D$340,"Prod",Capacity_Reservations!$E$5:$E$340,Request!A16),0)</f>
        <v/>
      </c>
      <c r="AY11" s="24">
        <f>IF(AT11=1,SUMIFS(Capacity_Reservations!$L$5:$L$340,Capacity_Reservations!$B$5:$B$340,$B11,Capacity_Reservations!$D$5:$D$340,"NonProd",Capacity_Reservations!$E$5:$E$340,Request!A16),0)</f>
        <v/>
      </c>
      <c r="AZ11" s="24">
        <f>IF(AT11=1,SUMIFS(Capacity_Reservations!$K$5:$K$340,Capacity_Reservations!$B$5:$B$340,$B11,Capacity_Reservations!$D$5:$D$340,"NonProd",Capacity_Reservations!$E$5:$E$340,Request!A16),0)</f>
        <v/>
      </c>
      <c r="BA11" s="24">
        <f>IF(AT11=1,SUMIFS(Capacity_Reservations!$L$5:$L$340,Capacity_Reservations!$B$5:$B$340,$B11,Capacity_Reservations!$D$5:$D$340,"DR",Capacity_Reservations!$E$5:$E$340,Request!A16),0)</f>
        <v/>
      </c>
      <c r="BB11" s="24">
        <f>IF(AT11=1,SUMIFS(Capacity_Reservations!$K$5:$K$340,Capacity_Reservations!$B$5:$B$340,$B11,Capacity_Reservations!$D$5:$D$340,"DR",Capacity_Reservations!$E$5:$E$340,Request!A16),0)</f>
        <v/>
      </c>
      <c r="BC11" s="24">
        <f>IF(AT11=1,MIN(SUMIFS(Quota_Groups!$H$5:$H$60,Quota_Groups!$C$5:$C$60,$B11,Quota_Groups!$E$5:$E$60,Request!E16),SUMIFS(Quota_Groups!$P$5:$P$60,Quota_Groups!$C$5:$C$60,$B11,Quota_Groups!$E$5:$E$60,"Eadsv5")),0)</f>
        <v/>
      </c>
      <c r="BD11" s="24">
        <f>IF(AT11=1,SUMIFS(Quota_Groups!$F$5:$F$60,Quota_Groups!$C$5:$C$60,$B11,Quota_Groups!$E$5:$E$60,Request!E16),0)</f>
        <v/>
      </c>
      <c r="BE11" s="24">
        <f>IF(AT11=1,SUMIFS(Quota_Groups!$M$5:$M$60,Quota_Groups!$C$5:$C$60,$B11,Quota_Groups!$E$5:$E$60,Request!E16),0)</f>
        <v/>
      </c>
      <c r="BF11" s="24">
        <f>IF(AND(Request!A17&lt;&gt;"",ISNUMBER(Request!B17),Request!B17&gt;0),1,0)</f>
        <v/>
      </c>
      <c r="BG11" s="24">
        <f>IF(BF11=1,Request!D17,0)</f>
        <v/>
      </c>
      <c r="BH11" s="25">
        <f>IF(BF11=1,Request!E17,"")</f>
        <v/>
      </c>
      <c r="BI11" s="24">
        <f>IF(BF11=1,SUMIFS(Capacity_Reservations!$L$5:$L$340,Capacity_Reservations!$B$5:$B$340,$B11,Capacity_Reservations!$D$5:$D$340,"Prod",Capacity_Reservations!$E$5:$E$340,Request!A17),0)</f>
        <v/>
      </c>
      <c r="BJ11" s="24">
        <f>IF(BF11=1,SUMIFS(Capacity_Reservations!$K$5:$K$340,Capacity_Reservations!$B$5:$B$340,$B11,Capacity_Reservations!$D$5:$D$340,"Prod",Capacity_Reservations!$E$5:$E$340,Request!A17),0)</f>
        <v/>
      </c>
      <c r="BK11" s="24">
        <f>IF(BF11=1,SUMIFS(Capacity_Reservations!$L$5:$L$340,Capacity_Reservations!$B$5:$B$340,$B11,Capacity_Reservations!$D$5:$D$340,"NonProd",Capacity_Reservations!$E$5:$E$340,Request!A17),0)</f>
        <v/>
      </c>
      <c r="BL11" s="24">
        <f>IF(BF11=1,SUMIFS(Capacity_Reservations!$K$5:$K$340,Capacity_Reservations!$B$5:$B$340,$B11,Capacity_Reservations!$D$5:$D$340,"NonProd",Capacity_Reservations!$E$5:$E$340,Request!A17),0)</f>
        <v/>
      </c>
      <c r="BM11" s="24">
        <f>IF(BF11=1,SUMIFS(Capacity_Reservations!$L$5:$L$340,Capacity_Reservations!$B$5:$B$340,$B11,Capacity_Reservations!$D$5:$D$340,"DR",Capacity_Reservations!$E$5:$E$340,Request!A17),0)</f>
        <v/>
      </c>
      <c r="BN11" s="24">
        <f>IF(BF11=1,SUMIFS(Capacity_Reservations!$K$5:$K$340,Capacity_Reservations!$B$5:$B$340,$B11,Capacity_Reservations!$D$5:$D$340,"DR",Capacity_Reservations!$E$5:$E$340,Request!A17),0)</f>
        <v/>
      </c>
      <c r="BO11" s="24">
        <f>IF(BF11=1,MIN(SUMIFS(Quota_Groups!$H$5:$H$60,Quota_Groups!$C$5:$C$60,$B11,Quota_Groups!$E$5:$E$60,Request!E17),SUMIFS(Quota_Groups!$P$5:$P$60,Quota_Groups!$C$5:$C$60,$B11,Quota_Groups!$E$5:$E$60,"Eadsv5")),0)</f>
        <v/>
      </c>
      <c r="BP11" s="24">
        <f>IF(BF11=1,SUMIFS(Quota_Groups!$F$5:$F$60,Quota_Groups!$C$5:$C$60,$B11,Quota_Groups!$E$5:$E$60,Request!E17),0)</f>
        <v/>
      </c>
      <c r="BQ11" s="24">
        <f>IF(BF11=1,SUMIFS(Quota_Groups!$M$5:$M$60,Quota_Groups!$C$5:$C$60,$B11,Quota_Groups!$E$5:$E$60,Request!E17),0)</f>
        <v/>
      </c>
      <c r="BR11" s="24">
        <f>IF(AND(Request!A18&lt;&gt;"",ISNUMBER(Request!B18),Request!B18&gt;0),1,0)</f>
        <v/>
      </c>
      <c r="BS11" s="24">
        <f>IF(BR11=1,Request!D18,0)</f>
        <v/>
      </c>
      <c r="BT11" s="25">
        <f>IF(BR11=1,Request!E18,"")</f>
        <v/>
      </c>
      <c r="BU11" s="24">
        <f>IF(BR11=1,SUMIFS(Capacity_Reservations!$L$5:$L$340,Capacity_Reservations!$B$5:$B$340,$B11,Capacity_Reservations!$D$5:$D$340,"Prod",Capacity_Reservations!$E$5:$E$340,Request!A18),0)</f>
        <v/>
      </c>
      <c r="BV11" s="24">
        <f>IF(BR11=1,SUMIFS(Capacity_Reservations!$K$5:$K$340,Capacity_Reservations!$B$5:$B$340,$B11,Capacity_Reservations!$D$5:$D$340,"Prod",Capacity_Reservations!$E$5:$E$340,Request!A18),0)</f>
        <v/>
      </c>
      <c r="BW11" s="24">
        <f>IF(BR11=1,SUMIFS(Capacity_Reservations!$L$5:$L$340,Capacity_Reservations!$B$5:$B$340,$B11,Capacity_Reservations!$D$5:$D$340,"NonProd",Capacity_Reservations!$E$5:$E$340,Request!A18),0)</f>
        <v/>
      </c>
      <c r="BX11" s="24">
        <f>IF(BR11=1,SUMIFS(Capacity_Reservations!$K$5:$K$340,Capacity_Reservations!$B$5:$B$340,$B11,Capacity_Reservations!$D$5:$D$340,"NonProd",Capacity_Reservations!$E$5:$E$340,Request!A18),0)</f>
        <v/>
      </c>
      <c r="BY11" s="24">
        <f>IF(BR11=1,SUMIFS(Capacity_Reservations!$L$5:$L$340,Capacity_Reservations!$B$5:$B$340,$B11,Capacity_Reservations!$D$5:$D$340,"DR",Capacity_Reservations!$E$5:$E$340,Request!A18),0)</f>
        <v/>
      </c>
      <c r="BZ11" s="24">
        <f>IF(BR11=1,SUMIFS(Capacity_Reservations!$K$5:$K$340,Capacity_Reservations!$B$5:$B$340,$B11,Capacity_Reservations!$D$5:$D$340,"DR",Capacity_Reservations!$E$5:$E$340,Request!A18),0)</f>
        <v/>
      </c>
      <c r="CA11" s="24">
        <f>IF(BR11=1,MIN(SUMIFS(Quota_Groups!$H$5:$H$60,Quota_Groups!$C$5:$C$60,$B11,Quota_Groups!$E$5:$E$60,Request!E18),SUMIFS(Quota_Groups!$P$5:$P$60,Quota_Groups!$C$5:$C$60,$B11,Quota_Groups!$E$5:$E$60,"Eadsv5")),0)</f>
        <v/>
      </c>
      <c r="CB11" s="24">
        <f>IF(BR11=1,SUMIFS(Quota_Groups!$F$5:$F$60,Quota_Groups!$C$5:$C$60,$B11,Quota_Groups!$E$5:$E$60,Request!E18),0)</f>
        <v/>
      </c>
      <c r="CC11" s="24">
        <f>IF(BR11=1,SUMIFS(Quota_Groups!$M$5:$M$60,Quota_Groups!$C$5:$C$60,$B11,Quota_Groups!$E$5:$E$60,Request!E18),0)</f>
        <v/>
      </c>
      <c r="CD11" s="24">
        <f>IF(AND(Request!A19&lt;&gt;"",ISNUMBER(Request!B19),Request!B19&gt;0),1,0)</f>
        <v/>
      </c>
      <c r="CE11" s="24">
        <f>IF(CD11=1,Request!D19,0)</f>
        <v/>
      </c>
      <c r="CF11" s="25">
        <f>IF(CD11=1,Request!E19,"")</f>
        <v/>
      </c>
      <c r="CG11" s="24">
        <f>IF(CD11=1,SUMIFS(Capacity_Reservations!$L$5:$L$340,Capacity_Reservations!$B$5:$B$340,$B11,Capacity_Reservations!$D$5:$D$340,"Prod",Capacity_Reservations!$E$5:$E$340,Request!A19),0)</f>
        <v/>
      </c>
      <c r="CH11" s="24">
        <f>IF(CD11=1,SUMIFS(Capacity_Reservations!$K$5:$K$340,Capacity_Reservations!$B$5:$B$340,$B11,Capacity_Reservations!$D$5:$D$340,"Prod",Capacity_Reservations!$E$5:$E$340,Request!A19),0)</f>
        <v/>
      </c>
      <c r="CI11" s="24">
        <f>IF(CD11=1,SUMIFS(Capacity_Reservations!$L$5:$L$340,Capacity_Reservations!$B$5:$B$340,$B11,Capacity_Reservations!$D$5:$D$340,"NonProd",Capacity_Reservations!$E$5:$E$340,Request!A19),0)</f>
        <v/>
      </c>
      <c r="CJ11" s="24">
        <f>IF(CD11=1,SUMIFS(Capacity_Reservations!$K$5:$K$340,Capacity_Reservations!$B$5:$B$340,$B11,Capacity_Reservations!$D$5:$D$340,"NonProd",Capacity_Reservations!$E$5:$E$340,Request!A19),0)</f>
        <v/>
      </c>
      <c r="CK11" s="24">
        <f>IF(CD11=1,SUMIFS(Capacity_Reservations!$L$5:$L$340,Capacity_Reservations!$B$5:$B$340,$B11,Capacity_Reservations!$D$5:$D$340,"DR",Capacity_Reservations!$E$5:$E$340,Request!A19),0)</f>
        <v/>
      </c>
      <c r="CL11" s="24">
        <f>IF(CD11=1,SUMIFS(Capacity_Reservations!$K$5:$K$340,Capacity_Reservations!$B$5:$B$340,$B11,Capacity_Reservations!$D$5:$D$340,"DR",Capacity_Reservations!$E$5:$E$340,Request!A19),0)</f>
        <v/>
      </c>
      <c r="CM11" s="24">
        <f>IF(CD11=1,MIN(SUMIFS(Quota_Groups!$H$5:$H$60,Quota_Groups!$C$5:$C$60,$B11,Quota_Groups!$E$5:$E$60,Request!E19),SUMIFS(Quota_Groups!$P$5:$P$60,Quota_Groups!$C$5:$C$60,$B11,Quota_Groups!$E$5:$E$60,"Eadsv5")),0)</f>
        <v/>
      </c>
      <c r="CN11" s="24">
        <f>IF(CD11=1,SUMIFS(Quota_Groups!$F$5:$F$60,Quota_Groups!$C$5:$C$60,$B11,Quota_Groups!$E$5:$E$60,Request!E19),0)</f>
        <v/>
      </c>
      <c r="CO11" s="24">
        <f>IF(CD11=1,SUMIFS(Quota_Groups!$M$5:$M$60,Quota_Groups!$C$5:$C$60,$B11,Quota_Groups!$E$5:$E$60,Request!E19),0)</f>
        <v/>
      </c>
      <c r="CP11" s="24">
        <f>IF(AND(Request!A20&lt;&gt;"",ISNUMBER(Request!B20),Request!B20&gt;0),1,0)</f>
        <v/>
      </c>
      <c r="CQ11" s="24">
        <f>IF(CP11=1,Request!D20,0)</f>
        <v/>
      </c>
      <c r="CR11" s="25">
        <f>IF(CP11=1,Request!E20,"")</f>
        <v/>
      </c>
      <c r="CS11" s="24">
        <f>IF(CP11=1,SUMIFS(Capacity_Reservations!$L$5:$L$340,Capacity_Reservations!$B$5:$B$340,$B11,Capacity_Reservations!$D$5:$D$340,"Prod",Capacity_Reservations!$E$5:$E$340,Request!A20),0)</f>
        <v/>
      </c>
      <c r="CT11" s="24">
        <f>IF(CP11=1,SUMIFS(Capacity_Reservations!$K$5:$K$340,Capacity_Reservations!$B$5:$B$340,$B11,Capacity_Reservations!$D$5:$D$340,"Prod",Capacity_Reservations!$E$5:$E$340,Request!A20),0)</f>
        <v/>
      </c>
      <c r="CU11" s="24">
        <f>IF(CP11=1,SUMIFS(Capacity_Reservations!$L$5:$L$340,Capacity_Reservations!$B$5:$B$340,$B11,Capacity_Reservations!$D$5:$D$340,"NonProd",Capacity_Reservations!$E$5:$E$340,Request!A20),0)</f>
        <v/>
      </c>
      <c r="CV11" s="24">
        <f>IF(CP11=1,SUMIFS(Capacity_Reservations!$K$5:$K$340,Capacity_Reservations!$B$5:$B$340,$B11,Capacity_Reservations!$D$5:$D$340,"NonProd",Capacity_Reservations!$E$5:$E$340,Request!A20),0)</f>
        <v/>
      </c>
      <c r="CW11" s="24">
        <f>IF(CP11=1,SUMIFS(Capacity_Reservations!$L$5:$L$340,Capacity_Reservations!$B$5:$B$340,$B11,Capacity_Reservations!$D$5:$D$340,"DR",Capacity_Reservations!$E$5:$E$340,Request!A20),0)</f>
        <v/>
      </c>
      <c r="CX11" s="24">
        <f>IF(CP11=1,SUMIFS(Capacity_Reservations!$K$5:$K$340,Capacity_Reservations!$B$5:$B$340,$B11,Capacity_Reservations!$D$5:$D$340,"DR",Capacity_Reservations!$E$5:$E$340,Request!A20),0)</f>
        <v/>
      </c>
      <c r="CY11" s="24">
        <f>IF(CP11=1,MIN(SUMIFS(Quota_Groups!$H$5:$H$60,Quota_Groups!$C$5:$C$60,$B11,Quota_Groups!$E$5:$E$60,Request!E20),SUMIFS(Quota_Groups!$P$5:$P$60,Quota_Groups!$C$5:$C$60,$B11,Quota_Groups!$E$5:$E$60,"Eadsv5")),0)</f>
        <v/>
      </c>
      <c r="CZ11" s="24">
        <f>IF(CP11=1,SUMIFS(Quota_Groups!$F$5:$F$60,Quota_Groups!$C$5:$C$60,$B11,Quota_Groups!$E$5:$E$60,Request!E20),0)</f>
        <v/>
      </c>
      <c r="DA11" s="24">
        <f>IF(CP11=1,SUMIFS(Quota_Groups!$M$5:$M$60,Quota_Groups!$C$5:$C$60,$B11,Quota_Groups!$E$5:$E$60,Request!E20),0)</f>
        <v/>
      </c>
    </row>
    <row r="12">
      <c r="A12" s="6">
        <f>Region_Catalogue!A12</f>
        <v/>
      </c>
      <c r="B12" s="6">
        <f>Region_Catalogue!B12</f>
        <v/>
      </c>
      <c r="C12" s="15">
        <f>Region_Catalogue!C12</f>
        <v/>
      </c>
      <c r="D12" s="15">
        <f>Region_Catalogue!G12</f>
        <v/>
      </c>
      <c r="E12" s="15">
        <f>Region_Catalogue!E12</f>
        <v/>
      </c>
      <c r="F12" s="15">
        <f>Region_Catalogue!F12</f>
        <v/>
      </c>
      <c r="G12" s="42">
        <f>Region_Catalogue!D12</f>
        <v/>
      </c>
      <c r="H12" s="42">
        <f>Region_Catalogue!H12</f>
        <v/>
      </c>
      <c r="I12" s="43">
        <f>Region_Catalogue!I12</f>
        <v/>
      </c>
      <c r="J12" s="24">
        <f>IF(AND(Request!A13&lt;&gt;"",ISNUMBER(Request!B13),Request!B13&gt;0),1,0)</f>
        <v/>
      </c>
      <c r="K12" s="24">
        <f>IF(J12=1,Request!D13,0)</f>
        <v/>
      </c>
      <c r="L12" s="25">
        <f>IF(J12=1,Request!E13,"")</f>
        <v/>
      </c>
      <c r="M12" s="24">
        <f>IF(J12=1,SUMIFS(Capacity_Reservations!$L$5:$L$340,Capacity_Reservations!$B$5:$B$340,$B12,Capacity_Reservations!$D$5:$D$340,"Prod",Capacity_Reservations!$E$5:$E$340,Request!A13),0)</f>
        <v/>
      </c>
      <c r="N12" s="24">
        <f>IF(J12=1,SUMIFS(Capacity_Reservations!$K$5:$K$340,Capacity_Reservations!$B$5:$B$340,$B12,Capacity_Reservations!$D$5:$D$340,"Prod",Capacity_Reservations!$E$5:$E$340,Request!A13),0)</f>
        <v/>
      </c>
      <c r="O12" s="24">
        <f>IF(J12=1,SUMIFS(Capacity_Reservations!$L$5:$L$340,Capacity_Reservations!$B$5:$B$340,$B12,Capacity_Reservations!$D$5:$D$340,"NonProd",Capacity_Reservations!$E$5:$E$340,Request!A13),0)</f>
        <v/>
      </c>
      <c r="P12" s="24">
        <f>IF(J12=1,SUMIFS(Capacity_Reservations!$K$5:$K$340,Capacity_Reservations!$B$5:$B$340,$B12,Capacity_Reservations!$D$5:$D$340,"NonProd",Capacity_Reservations!$E$5:$E$340,Request!A13),0)</f>
        <v/>
      </c>
      <c r="Q12" s="24">
        <f>IF(J12=1,SUMIFS(Capacity_Reservations!$L$5:$L$340,Capacity_Reservations!$B$5:$B$340,$B12,Capacity_Reservations!$D$5:$D$340,"DR",Capacity_Reservations!$E$5:$E$340,Request!A13),0)</f>
        <v/>
      </c>
      <c r="R12" s="24">
        <f>IF(J12=1,SUMIFS(Capacity_Reservations!$K$5:$K$340,Capacity_Reservations!$B$5:$B$340,$B12,Capacity_Reservations!$D$5:$D$340,"DR",Capacity_Reservations!$E$5:$E$340,Request!A13),0)</f>
        <v/>
      </c>
      <c r="S12" s="24">
        <f>IF(J12=1,MIN(SUMIFS(Quota_Groups!$H$5:$H$60,Quota_Groups!$C$5:$C$60,$B12,Quota_Groups!$E$5:$E$60,Request!E13),SUMIFS(Quota_Groups!$P$5:$P$60,Quota_Groups!$C$5:$C$60,$B12,Quota_Groups!$E$5:$E$60,"Eadsv5")),0)</f>
        <v/>
      </c>
      <c r="T12" s="24">
        <f>IF(J12=1,SUMIFS(Quota_Groups!$F$5:$F$60,Quota_Groups!$C$5:$C$60,$B12,Quota_Groups!$E$5:$E$60,Request!E13),0)</f>
        <v/>
      </c>
      <c r="U12" s="24">
        <f>IF(J12=1,SUMIFS(Quota_Groups!$M$5:$M$60,Quota_Groups!$C$5:$C$60,$B12,Quota_Groups!$E$5:$E$60,Request!E13),0)</f>
        <v/>
      </c>
      <c r="V12" s="24">
        <f>IF(AND(Request!A14&lt;&gt;"",ISNUMBER(Request!B14),Request!B14&gt;0),1,0)</f>
        <v/>
      </c>
      <c r="W12" s="24">
        <f>IF(V12=1,Request!D14,0)</f>
        <v/>
      </c>
      <c r="X12" s="25">
        <f>IF(V12=1,Request!E14,"")</f>
        <v/>
      </c>
      <c r="Y12" s="24">
        <f>IF(V12=1,SUMIFS(Capacity_Reservations!$L$5:$L$340,Capacity_Reservations!$B$5:$B$340,$B12,Capacity_Reservations!$D$5:$D$340,"Prod",Capacity_Reservations!$E$5:$E$340,Request!A14),0)</f>
        <v/>
      </c>
      <c r="Z12" s="24">
        <f>IF(V12=1,SUMIFS(Capacity_Reservations!$K$5:$K$340,Capacity_Reservations!$B$5:$B$340,$B12,Capacity_Reservations!$D$5:$D$340,"Prod",Capacity_Reservations!$E$5:$E$340,Request!A14),0)</f>
        <v/>
      </c>
      <c r="AA12" s="24">
        <f>IF(V12=1,SUMIFS(Capacity_Reservations!$L$5:$L$340,Capacity_Reservations!$B$5:$B$340,$B12,Capacity_Reservations!$D$5:$D$340,"NonProd",Capacity_Reservations!$E$5:$E$340,Request!A14),0)</f>
        <v/>
      </c>
      <c r="AB12" s="24">
        <f>IF(V12=1,SUMIFS(Capacity_Reservations!$K$5:$K$340,Capacity_Reservations!$B$5:$B$340,$B12,Capacity_Reservations!$D$5:$D$340,"NonProd",Capacity_Reservations!$E$5:$E$340,Request!A14),0)</f>
        <v/>
      </c>
      <c r="AC12" s="24">
        <f>IF(V12=1,SUMIFS(Capacity_Reservations!$L$5:$L$340,Capacity_Reservations!$B$5:$B$340,$B12,Capacity_Reservations!$D$5:$D$340,"DR",Capacity_Reservations!$E$5:$E$340,Request!A14),0)</f>
        <v/>
      </c>
      <c r="AD12" s="24">
        <f>IF(V12=1,SUMIFS(Capacity_Reservations!$K$5:$K$340,Capacity_Reservations!$B$5:$B$340,$B12,Capacity_Reservations!$D$5:$D$340,"DR",Capacity_Reservations!$E$5:$E$340,Request!A14),0)</f>
        <v/>
      </c>
      <c r="AE12" s="24">
        <f>IF(V12=1,MIN(SUMIFS(Quota_Groups!$H$5:$H$60,Quota_Groups!$C$5:$C$60,$B12,Quota_Groups!$E$5:$E$60,Request!E14),SUMIFS(Quota_Groups!$P$5:$P$60,Quota_Groups!$C$5:$C$60,$B12,Quota_Groups!$E$5:$E$60,"Eadsv5")),0)</f>
        <v/>
      </c>
      <c r="AF12" s="24">
        <f>IF(V12=1,SUMIFS(Quota_Groups!$F$5:$F$60,Quota_Groups!$C$5:$C$60,$B12,Quota_Groups!$E$5:$E$60,Request!E14),0)</f>
        <v/>
      </c>
      <c r="AG12" s="24">
        <f>IF(V12=1,SUMIFS(Quota_Groups!$M$5:$M$60,Quota_Groups!$C$5:$C$60,$B12,Quota_Groups!$E$5:$E$60,Request!E14),0)</f>
        <v/>
      </c>
      <c r="AH12" s="24">
        <f>IF(AND(Request!A15&lt;&gt;"",ISNUMBER(Request!B15),Request!B15&gt;0),1,0)</f>
        <v/>
      </c>
      <c r="AI12" s="24">
        <f>IF(AH12=1,Request!D15,0)</f>
        <v/>
      </c>
      <c r="AJ12" s="25">
        <f>IF(AH12=1,Request!E15,"")</f>
        <v/>
      </c>
      <c r="AK12" s="24">
        <f>IF(AH12=1,SUMIFS(Capacity_Reservations!$L$5:$L$340,Capacity_Reservations!$B$5:$B$340,$B12,Capacity_Reservations!$D$5:$D$340,"Prod",Capacity_Reservations!$E$5:$E$340,Request!A15),0)</f>
        <v/>
      </c>
      <c r="AL12" s="24">
        <f>IF(AH12=1,SUMIFS(Capacity_Reservations!$K$5:$K$340,Capacity_Reservations!$B$5:$B$340,$B12,Capacity_Reservations!$D$5:$D$340,"Prod",Capacity_Reservations!$E$5:$E$340,Request!A15),0)</f>
        <v/>
      </c>
      <c r="AM12" s="24">
        <f>IF(AH12=1,SUMIFS(Capacity_Reservations!$L$5:$L$340,Capacity_Reservations!$B$5:$B$340,$B12,Capacity_Reservations!$D$5:$D$340,"NonProd",Capacity_Reservations!$E$5:$E$340,Request!A15),0)</f>
        <v/>
      </c>
      <c r="AN12" s="24">
        <f>IF(AH12=1,SUMIFS(Capacity_Reservations!$K$5:$K$340,Capacity_Reservations!$B$5:$B$340,$B12,Capacity_Reservations!$D$5:$D$340,"NonProd",Capacity_Reservations!$E$5:$E$340,Request!A15),0)</f>
        <v/>
      </c>
      <c r="AO12" s="24">
        <f>IF(AH12=1,SUMIFS(Capacity_Reservations!$L$5:$L$340,Capacity_Reservations!$B$5:$B$340,$B12,Capacity_Reservations!$D$5:$D$340,"DR",Capacity_Reservations!$E$5:$E$340,Request!A15),0)</f>
        <v/>
      </c>
      <c r="AP12" s="24">
        <f>IF(AH12=1,SUMIFS(Capacity_Reservations!$K$5:$K$340,Capacity_Reservations!$B$5:$B$340,$B12,Capacity_Reservations!$D$5:$D$340,"DR",Capacity_Reservations!$E$5:$E$340,Request!A15),0)</f>
        <v/>
      </c>
      <c r="AQ12" s="24">
        <f>IF(AH12=1,MIN(SUMIFS(Quota_Groups!$H$5:$H$60,Quota_Groups!$C$5:$C$60,$B12,Quota_Groups!$E$5:$E$60,Request!E15),SUMIFS(Quota_Groups!$P$5:$P$60,Quota_Groups!$C$5:$C$60,$B12,Quota_Groups!$E$5:$E$60,"Eadsv5")),0)</f>
        <v/>
      </c>
      <c r="AR12" s="24">
        <f>IF(AH12=1,SUMIFS(Quota_Groups!$F$5:$F$60,Quota_Groups!$C$5:$C$60,$B12,Quota_Groups!$E$5:$E$60,Request!E15),0)</f>
        <v/>
      </c>
      <c r="AS12" s="24">
        <f>IF(AH12=1,SUMIFS(Quota_Groups!$M$5:$M$60,Quota_Groups!$C$5:$C$60,$B12,Quota_Groups!$E$5:$E$60,Request!E15),0)</f>
        <v/>
      </c>
      <c r="AT12" s="24">
        <f>IF(AND(Request!A16&lt;&gt;"",ISNUMBER(Request!B16),Request!B16&gt;0),1,0)</f>
        <v/>
      </c>
      <c r="AU12" s="24">
        <f>IF(AT12=1,Request!D16,0)</f>
        <v/>
      </c>
      <c r="AV12" s="25">
        <f>IF(AT12=1,Request!E16,"")</f>
        <v/>
      </c>
      <c r="AW12" s="24">
        <f>IF(AT12=1,SUMIFS(Capacity_Reservations!$L$5:$L$340,Capacity_Reservations!$B$5:$B$340,$B12,Capacity_Reservations!$D$5:$D$340,"Prod",Capacity_Reservations!$E$5:$E$340,Request!A16),0)</f>
        <v/>
      </c>
      <c r="AX12" s="24">
        <f>IF(AT12=1,SUMIFS(Capacity_Reservations!$K$5:$K$340,Capacity_Reservations!$B$5:$B$340,$B12,Capacity_Reservations!$D$5:$D$340,"Prod",Capacity_Reservations!$E$5:$E$340,Request!A16),0)</f>
        <v/>
      </c>
      <c r="AY12" s="24">
        <f>IF(AT12=1,SUMIFS(Capacity_Reservations!$L$5:$L$340,Capacity_Reservations!$B$5:$B$340,$B12,Capacity_Reservations!$D$5:$D$340,"NonProd",Capacity_Reservations!$E$5:$E$340,Request!A16),0)</f>
        <v/>
      </c>
      <c r="AZ12" s="24">
        <f>IF(AT12=1,SUMIFS(Capacity_Reservations!$K$5:$K$340,Capacity_Reservations!$B$5:$B$340,$B12,Capacity_Reservations!$D$5:$D$340,"NonProd",Capacity_Reservations!$E$5:$E$340,Request!A16),0)</f>
        <v/>
      </c>
      <c r="BA12" s="24">
        <f>IF(AT12=1,SUMIFS(Capacity_Reservations!$L$5:$L$340,Capacity_Reservations!$B$5:$B$340,$B12,Capacity_Reservations!$D$5:$D$340,"DR",Capacity_Reservations!$E$5:$E$340,Request!A16),0)</f>
        <v/>
      </c>
      <c r="BB12" s="24">
        <f>IF(AT12=1,SUMIFS(Capacity_Reservations!$K$5:$K$340,Capacity_Reservations!$B$5:$B$340,$B12,Capacity_Reservations!$D$5:$D$340,"DR",Capacity_Reservations!$E$5:$E$340,Request!A16),0)</f>
        <v/>
      </c>
      <c r="BC12" s="24">
        <f>IF(AT12=1,MIN(SUMIFS(Quota_Groups!$H$5:$H$60,Quota_Groups!$C$5:$C$60,$B12,Quota_Groups!$E$5:$E$60,Request!E16),SUMIFS(Quota_Groups!$P$5:$P$60,Quota_Groups!$C$5:$C$60,$B12,Quota_Groups!$E$5:$E$60,"Eadsv5")),0)</f>
        <v/>
      </c>
      <c r="BD12" s="24">
        <f>IF(AT12=1,SUMIFS(Quota_Groups!$F$5:$F$60,Quota_Groups!$C$5:$C$60,$B12,Quota_Groups!$E$5:$E$60,Request!E16),0)</f>
        <v/>
      </c>
      <c r="BE12" s="24">
        <f>IF(AT12=1,SUMIFS(Quota_Groups!$M$5:$M$60,Quota_Groups!$C$5:$C$60,$B12,Quota_Groups!$E$5:$E$60,Request!E16),0)</f>
        <v/>
      </c>
      <c r="BF12" s="24">
        <f>IF(AND(Request!A17&lt;&gt;"",ISNUMBER(Request!B17),Request!B17&gt;0),1,0)</f>
        <v/>
      </c>
      <c r="BG12" s="24">
        <f>IF(BF12=1,Request!D17,0)</f>
        <v/>
      </c>
      <c r="BH12" s="25">
        <f>IF(BF12=1,Request!E17,"")</f>
        <v/>
      </c>
      <c r="BI12" s="24">
        <f>IF(BF12=1,SUMIFS(Capacity_Reservations!$L$5:$L$340,Capacity_Reservations!$B$5:$B$340,$B12,Capacity_Reservations!$D$5:$D$340,"Prod",Capacity_Reservations!$E$5:$E$340,Request!A17),0)</f>
        <v/>
      </c>
      <c r="BJ12" s="24">
        <f>IF(BF12=1,SUMIFS(Capacity_Reservations!$K$5:$K$340,Capacity_Reservations!$B$5:$B$340,$B12,Capacity_Reservations!$D$5:$D$340,"Prod",Capacity_Reservations!$E$5:$E$340,Request!A17),0)</f>
        <v/>
      </c>
      <c r="BK12" s="24">
        <f>IF(BF12=1,SUMIFS(Capacity_Reservations!$L$5:$L$340,Capacity_Reservations!$B$5:$B$340,$B12,Capacity_Reservations!$D$5:$D$340,"NonProd",Capacity_Reservations!$E$5:$E$340,Request!A17),0)</f>
        <v/>
      </c>
      <c r="BL12" s="24">
        <f>IF(BF12=1,SUMIFS(Capacity_Reservations!$K$5:$K$340,Capacity_Reservations!$B$5:$B$340,$B12,Capacity_Reservations!$D$5:$D$340,"NonProd",Capacity_Reservations!$E$5:$E$340,Request!A17),0)</f>
        <v/>
      </c>
      <c r="BM12" s="24">
        <f>IF(BF12=1,SUMIFS(Capacity_Reservations!$L$5:$L$340,Capacity_Reservations!$B$5:$B$340,$B12,Capacity_Reservations!$D$5:$D$340,"DR",Capacity_Reservations!$E$5:$E$340,Request!A17),0)</f>
        <v/>
      </c>
      <c r="BN12" s="24">
        <f>IF(BF12=1,SUMIFS(Capacity_Reservations!$K$5:$K$340,Capacity_Reservations!$B$5:$B$340,$B12,Capacity_Reservations!$D$5:$D$340,"DR",Capacity_Reservations!$E$5:$E$340,Request!A17),0)</f>
        <v/>
      </c>
      <c r="BO12" s="24">
        <f>IF(BF12=1,MIN(SUMIFS(Quota_Groups!$H$5:$H$60,Quota_Groups!$C$5:$C$60,$B12,Quota_Groups!$E$5:$E$60,Request!E17),SUMIFS(Quota_Groups!$P$5:$P$60,Quota_Groups!$C$5:$C$60,$B12,Quota_Groups!$E$5:$E$60,"Eadsv5")),0)</f>
        <v/>
      </c>
      <c r="BP12" s="24">
        <f>IF(BF12=1,SUMIFS(Quota_Groups!$F$5:$F$60,Quota_Groups!$C$5:$C$60,$B12,Quota_Groups!$E$5:$E$60,Request!E17),0)</f>
        <v/>
      </c>
      <c r="BQ12" s="24">
        <f>IF(BF12=1,SUMIFS(Quota_Groups!$M$5:$M$60,Quota_Groups!$C$5:$C$60,$B12,Quota_Groups!$E$5:$E$60,Request!E17),0)</f>
        <v/>
      </c>
      <c r="BR12" s="24">
        <f>IF(AND(Request!A18&lt;&gt;"",ISNUMBER(Request!B18),Request!B18&gt;0),1,0)</f>
        <v/>
      </c>
      <c r="BS12" s="24">
        <f>IF(BR12=1,Request!D18,0)</f>
        <v/>
      </c>
      <c r="BT12" s="25">
        <f>IF(BR12=1,Request!E18,"")</f>
        <v/>
      </c>
      <c r="BU12" s="24">
        <f>IF(BR12=1,SUMIFS(Capacity_Reservations!$L$5:$L$340,Capacity_Reservations!$B$5:$B$340,$B12,Capacity_Reservations!$D$5:$D$340,"Prod",Capacity_Reservations!$E$5:$E$340,Request!A18),0)</f>
        <v/>
      </c>
      <c r="BV12" s="24">
        <f>IF(BR12=1,SUMIFS(Capacity_Reservations!$K$5:$K$340,Capacity_Reservations!$B$5:$B$340,$B12,Capacity_Reservations!$D$5:$D$340,"Prod",Capacity_Reservations!$E$5:$E$340,Request!A18),0)</f>
        <v/>
      </c>
      <c r="BW12" s="24">
        <f>IF(BR12=1,SUMIFS(Capacity_Reservations!$L$5:$L$340,Capacity_Reservations!$B$5:$B$340,$B12,Capacity_Reservations!$D$5:$D$340,"NonProd",Capacity_Reservations!$E$5:$E$340,Request!A18),0)</f>
        <v/>
      </c>
      <c r="BX12" s="24">
        <f>IF(BR12=1,SUMIFS(Capacity_Reservations!$K$5:$K$340,Capacity_Reservations!$B$5:$B$340,$B12,Capacity_Reservations!$D$5:$D$340,"NonProd",Capacity_Reservations!$E$5:$E$340,Request!A18),0)</f>
        <v/>
      </c>
      <c r="BY12" s="24">
        <f>IF(BR12=1,SUMIFS(Capacity_Reservations!$L$5:$L$340,Capacity_Reservations!$B$5:$B$340,$B12,Capacity_Reservations!$D$5:$D$340,"DR",Capacity_Reservations!$E$5:$E$340,Request!A18),0)</f>
        <v/>
      </c>
      <c r="BZ12" s="24">
        <f>IF(BR12=1,SUMIFS(Capacity_Reservations!$K$5:$K$340,Capacity_Reservations!$B$5:$B$340,$B12,Capacity_Reservations!$D$5:$D$340,"DR",Capacity_Reservations!$E$5:$E$340,Request!A18),0)</f>
        <v/>
      </c>
      <c r="CA12" s="24">
        <f>IF(BR12=1,MIN(SUMIFS(Quota_Groups!$H$5:$H$60,Quota_Groups!$C$5:$C$60,$B12,Quota_Groups!$E$5:$E$60,Request!E18),SUMIFS(Quota_Groups!$P$5:$P$60,Quota_Groups!$C$5:$C$60,$B12,Quota_Groups!$E$5:$E$60,"Eadsv5")),0)</f>
        <v/>
      </c>
      <c r="CB12" s="24">
        <f>IF(BR12=1,SUMIFS(Quota_Groups!$F$5:$F$60,Quota_Groups!$C$5:$C$60,$B12,Quota_Groups!$E$5:$E$60,Request!E18),0)</f>
        <v/>
      </c>
      <c r="CC12" s="24">
        <f>IF(BR12=1,SUMIFS(Quota_Groups!$M$5:$M$60,Quota_Groups!$C$5:$C$60,$B12,Quota_Groups!$E$5:$E$60,Request!E18),0)</f>
        <v/>
      </c>
      <c r="CD12" s="24">
        <f>IF(AND(Request!A19&lt;&gt;"",ISNUMBER(Request!B19),Request!B19&gt;0),1,0)</f>
        <v/>
      </c>
      <c r="CE12" s="24">
        <f>IF(CD12=1,Request!D19,0)</f>
        <v/>
      </c>
      <c r="CF12" s="25">
        <f>IF(CD12=1,Request!E19,"")</f>
        <v/>
      </c>
      <c r="CG12" s="24">
        <f>IF(CD12=1,SUMIFS(Capacity_Reservations!$L$5:$L$340,Capacity_Reservations!$B$5:$B$340,$B12,Capacity_Reservations!$D$5:$D$340,"Prod",Capacity_Reservations!$E$5:$E$340,Request!A19),0)</f>
        <v/>
      </c>
      <c r="CH12" s="24">
        <f>IF(CD12=1,SUMIFS(Capacity_Reservations!$K$5:$K$340,Capacity_Reservations!$B$5:$B$340,$B12,Capacity_Reservations!$D$5:$D$340,"Prod",Capacity_Reservations!$E$5:$E$340,Request!A19),0)</f>
        <v/>
      </c>
      <c r="CI12" s="24">
        <f>IF(CD12=1,SUMIFS(Capacity_Reservations!$L$5:$L$340,Capacity_Reservations!$B$5:$B$340,$B12,Capacity_Reservations!$D$5:$D$340,"NonProd",Capacity_Reservations!$E$5:$E$340,Request!A19),0)</f>
        <v/>
      </c>
      <c r="CJ12" s="24">
        <f>IF(CD12=1,SUMIFS(Capacity_Reservations!$K$5:$K$340,Capacity_Reservations!$B$5:$B$340,$B12,Capacity_Reservations!$D$5:$D$340,"NonProd",Capacity_Reservations!$E$5:$E$340,Request!A19),0)</f>
        <v/>
      </c>
      <c r="CK12" s="24">
        <f>IF(CD12=1,SUMIFS(Capacity_Reservations!$L$5:$L$340,Capacity_Reservations!$B$5:$B$340,$B12,Capacity_Reservations!$D$5:$D$340,"DR",Capacity_Reservations!$E$5:$E$340,Request!A19),0)</f>
        <v/>
      </c>
      <c r="CL12" s="24">
        <f>IF(CD12=1,SUMIFS(Capacity_Reservations!$K$5:$K$340,Capacity_Reservations!$B$5:$B$340,$B12,Capacity_Reservations!$D$5:$D$340,"DR",Capacity_Reservations!$E$5:$E$340,Request!A19),0)</f>
        <v/>
      </c>
      <c r="CM12" s="24">
        <f>IF(CD12=1,MIN(SUMIFS(Quota_Groups!$H$5:$H$60,Quota_Groups!$C$5:$C$60,$B12,Quota_Groups!$E$5:$E$60,Request!E19),SUMIFS(Quota_Groups!$P$5:$P$60,Quota_Groups!$C$5:$C$60,$B12,Quota_Groups!$E$5:$E$60,"Eadsv5")),0)</f>
        <v/>
      </c>
      <c r="CN12" s="24">
        <f>IF(CD12=1,SUMIFS(Quota_Groups!$F$5:$F$60,Quota_Groups!$C$5:$C$60,$B12,Quota_Groups!$E$5:$E$60,Request!E19),0)</f>
        <v/>
      </c>
      <c r="CO12" s="24">
        <f>IF(CD12=1,SUMIFS(Quota_Groups!$M$5:$M$60,Quota_Groups!$C$5:$C$60,$B12,Quota_Groups!$E$5:$E$60,Request!E19),0)</f>
        <v/>
      </c>
      <c r="CP12" s="24">
        <f>IF(AND(Request!A20&lt;&gt;"",ISNUMBER(Request!B20),Request!B20&gt;0),1,0)</f>
        <v/>
      </c>
      <c r="CQ12" s="24">
        <f>IF(CP12=1,Request!D20,0)</f>
        <v/>
      </c>
      <c r="CR12" s="25">
        <f>IF(CP12=1,Request!E20,"")</f>
        <v/>
      </c>
      <c r="CS12" s="24">
        <f>IF(CP12=1,SUMIFS(Capacity_Reservations!$L$5:$L$340,Capacity_Reservations!$B$5:$B$340,$B12,Capacity_Reservations!$D$5:$D$340,"Prod",Capacity_Reservations!$E$5:$E$340,Request!A20),0)</f>
        <v/>
      </c>
      <c r="CT12" s="24">
        <f>IF(CP12=1,SUMIFS(Capacity_Reservations!$K$5:$K$340,Capacity_Reservations!$B$5:$B$340,$B12,Capacity_Reservations!$D$5:$D$340,"Prod",Capacity_Reservations!$E$5:$E$340,Request!A20),0)</f>
        <v/>
      </c>
      <c r="CU12" s="24">
        <f>IF(CP12=1,SUMIFS(Capacity_Reservations!$L$5:$L$340,Capacity_Reservations!$B$5:$B$340,$B12,Capacity_Reservations!$D$5:$D$340,"NonProd",Capacity_Reservations!$E$5:$E$340,Request!A20),0)</f>
        <v/>
      </c>
      <c r="CV12" s="24">
        <f>IF(CP12=1,SUMIFS(Capacity_Reservations!$K$5:$K$340,Capacity_Reservations!$B$5:$B$340,$B12,Capacity_Reservations!$D$5:$D$340,"NonProd",Capacity_Reservations!$E$5:$E$340,Request!A20),0)</f>
        <v/>
      </c>
      <c r="CW12" s="24">
        <f>IF(CP12=1,SUMIFS(Capacity_Reservations!$L$5:$L$340,Capacity_Reservations!$B$5:$B$340,$B12,Capacity_Reservations!$D$5:$D$340,"DR",Capacity_Reservations!$E$5:$E$340,Request!A20),0)</f>
        <v/>
      </c>
      <c r="CX12" s="24">
        <f>IF(CP12=1,SUMIFS(Capacity_Reservations!$K$5:$K$340,Capacity_Reservations!$B$5:$B$340,$B12,Capacity_Reservations!$D$5:$D$340,"DR",Capacity_Reservations!$E$5:$E$340,Request!A20),0)</f>
        <v/>
      </c>
      <c r="CY12" s="24">
        <f>IF(CP12=1,MIN(SUMIFS(Quota_Groups!$H$5:$H$60,Quota_Groups!$C$5:$C$60,$B12,Quota_Groups!$E$5:$E$60,Request!E20),SUMIFS(Quota_Groups!$P$5:$P$60,Quota_Groups!$C$5:$C$60,$B12,Quota_Groups!$E$5:$E$60,"Eadsv5")),0)</f>
        <v/>
      </c>
      <c r="CZ12" s="24">
        <f>IF(CP12=1,SUMIFS(Quota_Groups!$F$5:$F$60,Quota_Groups!$C$5:$C$60,$B12,Quota_Groups!$E$5:$E$60,Request!E20),0)</f>
        <v/>
      </c>
      <c r="DA12" s="24">
        <f>IF(CP12=1,SUMIFS(Quota_Groups!$M$5:$M$60,Quota_Groups!$C$5:$C$60,$B12,Quota_Groups!$E$5:$E$60,Request!E20),0)</f>
        <v/>
      </c>
    </row>
    <row r="13">
      <c r="A13" s="6">
        <f>Region_Catalogue!A13</f>
        <v/>
      </c>
      <c r="B13" s="6">
        <f>Region_Catalogue!B13</f>
        <v/>
      </c>
      <c r="C13" s="15">
        <f>Region_Catalogue!C13</f>
        <v/>
      </c>
      <c r="D13" s="15">
        <f>Region_Catalogue!G13</f>
        <v/>
      </c>
      <c r="E13" s="15">
        <f>Region_Catalogue!E13</f>
        <v/>
      </c>
      <c r="F13" s="15">
        <f>Region_Catalogue!F13</f>
        <v/>
      </c>
      <c r="G13" s="42">
        <f>Region_Catalogue!D13</f>
        <v/>
      </c>
      <c r="H13" s="42">
        <f>Region_Catalogue!H13</f>
        <v/>
      </c>
      <c r="I13" s="43">
        <f>Region_Catalogue!I13</f>
        <v/>
      </c>
      <c r="J13" s="24">
        <f>IF(AND(Request!A13&lt;&gt;"",ISNUMBER(Request!B13),Request!B13&gt;0),1,0)</f>
        <v/>
      </c>
      <c r="K13" s="24">
        <f>IF(J13=1,Request!D13,0)</f>
        <v/>
      </c>
      <c r="L13" s="25">
        <f>IF(J13=1,Request!E13,"")</f>
        <v/>
      </c>
      <c r="M13" s="24">
        <f>IF(J13=1,SUMIFS(Capacity_Reservations!$L$5:$L$340,Capacity_Reservations!$B$5:$B$340,$B13,Capacity_Reservations!$D$5:$D$340,"Prod",Capacity_Reservations!$E$5:$E$340,Request!A13),0)</f>
        <v/>
      </c>
      <c r="N13" s="24">
        <f>IF(J13=1,SUMIFS(Capacity_Reservations!$K$5:$K$340,Capacity_Reservations!$B$5:$B$340,$B13,Capacity_Reservations!$D$5:$D$340,"Prod",Capacity_Reservations!$E$5:$E$340,Request!A13),0)</f>
        <v/>
      </c>
      <c r="O13" s="24">
        <f>IF(J13=1,SUMIFS(Capacity_Reservations!$L$5:$L$340,Capacity_Reservations!$B$5:$B$340,$B13,Capacity_Reservations!$D$5:$D$340,"NonProd",Capacity_Reservations!$E$5:$E$340,Request!A13),0)</f>
        <v/>
      </c>
      <c r="P13" s="24">
        <f>IF(J13=1,SUMIFS(Capacity_Reservations!$K$5:$K$340,Capacity_Reservations!$B$5:$B$340,$B13,Capacity_Reservations!$D$5:$D$340,"NonProd",Capacity_Reservations!$E$5:$E$340,Request!A13),0)</f>
        <v/>
      </c>
      <c r="Q13" s="24">
        <f>IF(J13=1,SUMIFS(Capacity_Reservations!$L$5:$L$340,Capacity_Reservations!$B$5:$B$340,$B13,Capacity_Reservations!$D$5:$D$340,"DR",Capacity_Reservations!$E$5:$E$340,Request!A13),0)</f>
        <v/>
      </c>
      <c r="R13" s="24">
        <f>IF(J13=1,SUMIFS(Capacity_Reservations!$K$5:$K$340,Capacity_Reservations!$B$5:$B$340,$B13,Capacity_Reservations!$D$5:$D$340,"DR",Capacity_Reservations!$E$5:$E$340,Request!A13),0)</f>
        <v/>
      </c>
      <c r="S13" s="24">
        <f>IF(J13=1,MIN(SUMIFS(Quota_Groups!$H$5:$H$60,Quota_Groups!$C$5:$C$60,$B13,Quota_Groups!$E$5:$E$60,Request!E13),SUMIFS(Quota_Groups!$P$5:$P$60,Quota_Groups!$C$5:$C$60,$B13,Quota_Groups!$E$5:$E$60,"Eadsv5")),0)</f>
        <v/>
      </c>
      <c r="T13" s="24">
        <f>IF(J13=1,SUMIFS(Quota_Groups!$F$5:$F$60,Quota_Groups!$C$5:$C$60,$B13,Quota_Groups!$E$5:$E$60,Request!E13),0)</f>
        <v/>
      </c>
      <c r="U13" s="24">
        <f>IF(J13=1,SUMIFS(Quota_Groups!$M$5:$M$60,Quota_Groups!$C$5:$C$60,$B13,Quota_Groups!$E$5:$E$60,Request!E13),0)</f>
        <v/>
      </c>
      <c r="V13" s="24">
        <f>IF(AND(Request!A14&lt;&gt;"",ISNUMBER(Request!B14),Request!B14&gt;0),1,0)</f>
        <v/>
      </c>
      <c r="W13" s="24">
        <f>IF(V13=1,Request!D14,0)</f>
        <v/>
      </c>
      <c r="X13" s="25">
        <f>IF(V13=1,Request!E14,"")</f>
        <v/>
      </c>
      <c r="Y13" s="24">
        <f>IF(V13=1,SUMIFS(Capacity_Reservations!$L$5:$L$340,Capacity_Reservations!$B$5:$B$340,$B13,Capacity_Reservations!$D$5:$D$340,"Prod",Capacity_Reservations!$E$5:$E$340,Request!A14),0)</f>
        <v/>
      </c>
      <c r="Z13" s="24">
        <f>IF(V13=1,SUMIFS(Capacity_Reservations!$K$5:$K$340,Capacity_Reservations!$B$5:$B$340,$B13,Capacity_Reservations!$D$5:$D$340,"Prod",Capacity_Reservations!$E$5:$E$340,Request!A14),0)</f>
        <v/>
      </c>
      <c r="AA13" s="24">
        <f>IF(V13=1,SUMIFS(Capacity_Reservations!$L$5:$L$340,Capacity_Reservations!$B$5:$B$340,$B13,Capacity_Reservations!$D$5:$D$340,"NonProd",Capacity_Reservations!$E$5:$E$340,Request!A14),0)</f>
        <v/>
      </c>
      <c r="AB13" s="24">
        <f>IF(V13=1,SUMIFS(Capacity_Reservations!$K$5:$K$340,Capacity_Reservations!$B$5:$B$340,$B13,Capacity_Reservations!$D$5:$D$340,"NonProd",Capacity_Reservations!$E$5:$E$340,Request!A14),0)</f>
        <v/>
      </c>
      <c r="AC13" s="24">
        <f>IF(V13=1,SUMIFS(Capacity_Reservations!$L$5:$L$340,Capacity_Reservations!$B$5:$B$340,$B13,Capacity_Reservations!$D$5:$D$340,"DR",Capacity_Reservations!$E$5:$E$340,Request!A14),0)</f>
        <v/>
      </c>
      <c r="AD13" s="24">
        <f>IF(V13=1,SUMIFS(Capacity_Reservations!$K$5:$K$340,Capacity_Reservations!$B$5:$B$340,$B13,Capacity_Reservations!$D$5:$D$340,"DR",Capacity_Reservations!$E$5:$E$340,Request!A14),0)</f>
        <v/>
      </c>
      <c r="AE13" s="24">
        <f>IF(V13=1,MIN(SUMIFS(Quota_Groups!$H$5:$H$60,Quota_Groups!$C$5:$C$60,$B13,Quota_Groups!$E$5:$E$60,Request!E14),SUMIFS(Quota_Groups!$P$5:$P$60,Quota_Groups!$C$5:$C$60,$B13,Quota_Groups!$E$5:$E$60,"Eadsv5")),0)</f>
        <v/>
      </c>
      <c r="AF13" s="24">
        <f>IF(V13=1,SUMIFS(Quota_Groups!$F$5:$F$60,Quota_Groups!$C$5:$C$60,$B13,Quota_Groups!$E$5:$E$60,Request!E14),0)</f>
        <v/>
      </c>
      <c r="AG13" s="24">
        <f>IF(V13=1,SUMIFS(Quota_Groups!$M$5:$M$60,Quota_Groups!$C$5:$C$60,$B13,Quota_Groups!$E$5:$E$60,Request!E14),0)</f>
        <v/>
      </c>
      <c r="AH13" s="24">
        <f>IF(AND(Request!A15&lt;&gt;"",ISNUMBER(Request!B15),Request!B15&gt;0),1,0)</f>
        <v/>
      </c>
      <c r="AI13" s="24">
        <f>IF(AH13=1,Request!D15,0)</f>
        <v/>
      </c>
      <c r="AJ13" s="25">
        <f>IF(AH13=1,Request!E15,"")</f>
        <v/>
      </c>
      <c r="AK13" s="24">
        <f>IF(AH13=1,SUMIFS(Capacity_Reservations!$L$5:$L$340,Capacity_Reservations!$B$5:$B$340,$B13,Capacity_Reservations!$D$5:$D$340,"Prod",Capacity_Reservations!$E$5:$E$340,Request!A15),0)</f>
        <v/>
      </c>
      <c r="AL13" s="24">
        <f>IF(AH13=1,SUMIFS(Capacity_Reservations!$K$5:$K$340,Capacity_Reservations!$B$5:$B$340,$B13,Capacity_Reservations!$D$5:$D$340,"Prod",Capacity_Reservations!$E$5:$E$340,Request!A15),0)</f>
        <v/>
      </c>
      <c r="AM13" s="24">
        <f>IF(AH13=1,SUMIFS(Capacity_Reservations!$L$5:$L$340,Capacity_Reservations!$B$5:$B$340,$B13,Capacity_Reservations!$D$5:$D$340,"NonProd",Capacity_Reservations!$E$5:$E$340,Request!A15),0)</f>
        <v/>
      </c>
      <c r="AN13" s="24">
        <f>IF(AH13=1,SUMIFS(Capacity_Reservations!$K$5:$K$340,Capacity_Reservations!$B$5:$B$340,$B13,Capacity_Reservations!$D$5:$D$340,"NonProd",Capacity_Reservations!$E$5:$E$340,Request!A15),0)</f>
        <v/>
      </c>
      <c r="AO13" s="24">
        <f>IF(AH13=1,SUMIFS(Capacity_Reservations!$L$5:$L$340,Capacity_Reservations!$B$5:$B$340,$B13,Capacity_Reservations!$D$5:$D$340,"DR",Capacity_Reservations!$E$5:$E$340,Request!A15),0)</f>
        <v/>
      </c>
      <c r="AP13" s="24">
        <f>IF(AH13=1,SUMIFS(Capacity_Reservations!$K$5:$K$340,Capacity_Reservations!$B$5:$B$340,$B13,Capacity_Reservations!$D$5:$D$340,"DR",Capacity_Reservations!$E$5:$E$340,Request!A15),0)</f>
        <v/>
      </c>
      <c r="AQ13" s="24">
        <f>IF(AH13=1,MIN(SUMIFS(Quota_Groups!$H$5:$H$60,Quota_Groups!$C$5:$C$60,$B13,Quota_Groups!$E$5:$E$60,Request!E15),SUMIFS(Quota_Groups!$P$5:$P$60,Quota_Groups!$C$5:$C$60,$B13,Quota_Groups!$E$5:$E$60,"Eadsv5")),0)</f>
        <v/>
      </c>
      <c r="AR13" s="24">
        <f>IF(AH13=1,SUMIFS(Quota_Groups!$F$5:$F$60,Quota_Groups!$C$5:$C$60,$B13,Quota_Groups!$E$5:$E$60,Request!E15),0)</f>
        <v/>
      </c>
      <c r="AS13" s="24">
        <f>IF(AH13=1,SUMIFS(Quota_Groups!$M$5:$M$60,Quota_Groups!$C$5:$C$60,$B13,Quota_Groups!$E$5:$E$60,Request!E15),0)</f>
        <v/>
      </c>
      <c r="AT13" s="24">
        <f>IF(AND(Request!A16&lt;&gt;"",ISNUMBER(Request!B16),Request!B16&gt;0),1,0)</f>
        <v/>
      </c>
      <c r="AU13" s="24">
        <f>IF(AT13=1,Request!D16,0)</f>
        <v/>
      </c>
      <c r="AV13" s="25">
        <f>IF(AT13=1,Request!E16,"")</f>
        <v/>
      </c>
      <c r="AW13" s="24">
        <f>IF(AT13=1,SUMIFS(Capacity_Reservations!$L$5:$L$340,Capacity_Reservations!$B$5:$B$340,$B13,Capacity_Reservations!$D$5:$D$340,"Prod",Capacity_Reservations!$E$5:$E$340,Request!A16),0)</f>
        <v/>
      </c>
      <c r="AX13" s="24">
        <f>IF(AT13=1,SUMIFS(Capacity_Reservations!$K$5:$K$340,Capacity_Reservations!$B$5:$B$340,$B13,Capacity_Reservations!$D$5:$D$340,"Prod",Capacity_Reservations!$E$5:$E$340,Request!A16),0)</f>
        <v/>
      </c>
      <c r="AY13" s="24">
        <f>IF(AT13=1,SUMIFS(Capacity_Reservations!$L$5:$L$340,Capacity_Reservations!$B$5:$B$340,$B13,Capacity_Reservations!$D$5:$D$340,"NonProd",Capacity_Reservations!$E$5:$E$340,Request!A16),0)</f>
        <v/>
      </c>
      <c r="AZ13" s="24">
        <f>IF(AT13=1,SUMIFS(Capacity_Reservations!$K$5:$K$340,Capacity_Reservations!$B$5:$B$340,$B13,Capacity_Reservations!$D$5:$D$340,"NonProd",Capacity_Reservations!$E$5:$E$340,Request!A16),0)</f>
        <v/>
      </c>
      <c r="BA13" s="24">
        <f>IF(AT13=1,SUMIFS(Capacity_Reservations!$L$5:$L$340,Capacity_Reservations!$B$5:$B$340,$B13,Capacity_Reservations!$D$5:$D$340,"DR",Capacity_Reservations!$E$5:$E$340,Request!A16),0)</f>
        <v/>
      </c>
      <c r="BB13" s="24">
        <f>IF(AT13=1,SUMIFS(Capacity_Reservations!$K$5:$K$340,Capacity_Reservations!$B$5:$B$340,$B13,Capacity_Reservations!$D$5:$D$340,"DR",Capacity_Reservations!$E$5:$E$340,Request!A16),0)</f>
        <v/>
      </c>
      <c r="BC13" s="24">
        <f>IF(AT13=1,MIN(SUMIFS(Quota_Groups!$H$5:$H$60,Quota_Groups!$C$5:$C$60,$B13,Quota_Groups!$E$5:$E$60,Request!E16),SUMIFS(Quota_Groups!$P$5:$P$60,Quota_Groups!$C$5:$C$60,$B13,Quota_Groups!$E$5:$E$60,"Eadsv5")),0)</f>
        <v/>
      </c>
      <c r="BD13" s="24">
        <f>IF(AT13=1,SUMIFS(Quota_Groups!$F$5:$F$60,Quota_Groups!$C$5:$C$60,$B13,Quota_Groups!$E$5:$E$60,Request!E16),0)</f>
        <v/>
      </c>
      <c r="BE13" s="24">
        <f>IF(AT13=1,SUMIFS(Quota_Groups!$M$5:$M$60,Quota_Groups!$C$5:$C$60,$B13,Quota_Groups!$E$5:$E$60,Request!E16),0)</f>
        <v/>
      </c>
      <c r="BF13" s="24">
        <f>IF(AND(Request!A17&lt;&gt;"",ISNUMBER(Request!B17),Request!B17&gt;0),1,0)</f>
        <v/>
      </c>
      <c r="BG13" s="24">
        <f>IF(BF13=1,Request!D17,0)</f>
        <v/>
      </c>
      <c r="BH13" s="25">
        <f>IF(BF13=1,Request!E17,"")</f>
        <v/>
      </c>
      <c r="BI13" s="24">
        <f>IF(BF13=1,SUMIFS(Capacity_Reservations!$L$5:$L$340,Capacity_Reservations!$B$5:$B$340,$B13,Capacity_Reservations!$D$5:$D$340,"Prod",Capacity_Reservations!$E$5:$E$340,Request!A17),0)</f>
        <v/>
      </c>
      <c r="BJ13" s="24">
        <f>IF(BF13=1,SUMIFS(Capacity_Reservations!$K$5:$K$340,Capacity_Reservations!$B$5:$B$340,$B13,Capacity_Reservations!$D$5:$D$340,"Prod",Capacity_Reservations!$E$5:$E$340,Request!A17),0)</f>
        <v/>
      </c>
      <c r="BK13" s="24">
        <f>IF(BF13=1,SUMIFS(Capacity_Reservations!$L$5:$L$340,Capacity_Reservations!$B$5:$B$340,$B13,Capacity_Reservations!$D$5:$D$340,"NonProd",Capacity_Reservations!$E$5:$E$340,Request!A17),0)</f>
        <v/>
      </c>
      <c r="BL13" s="24">
        <f>IF(BF13=1,SUMIFS(Capacity_Reservations!$K$5:$K$340,Capacity_Reservations!$B$5:$B$340,$B13,Capacity_Reservations!$D$5:$D$340,"NonProd",Capacity_Reservations!$E$5:$E$340,Request!A17),0)</f>
        <v/>
      </c>
      <c r="BM13" s="24">
        <f>IF(BF13=1,SUMIFS(Capacity_Reservations!$L$5:$L$340,Capacity_Reservations!$B$5:$B$340,$B13,Capacity_Reservations!$D$5:$D$340,"DR",Capacity_Reservations!$E$5:$E$340,Request!A17),0)</f>
        <v/>
      </c>
      <c r="BN13" s="24">
        <f>IF(BF13=1,SUMIFS(Capacity_Reservations!$K$5:$K$340,Capacity_Reservations!$B$5:$B$340,$B13,Capacity_Reservations!$D$5:$D$340,"DR",Capacity_Reservations!$E$5:$E$340,Request!A17),0)</f>
        <v/>
      </c>
      <c r="BO13" s="24">
        <f>IF(BF13=1,MIN(SUMIFS(Quota_Groups!$H$5:$H$60,Quota_Groups!$C$5:$C$60,$B13,Quota_Groups!$E$5:$E$60,Request!E17),SUMIFS(Quota_Groups!$P$5:$P$60,Quota_Groups!$C$5:$C$60,$B13,Quota_Groups!$E$5:$E$60,"Eadsv5")),0)</f>
        <v/>
      </c>
      <c r="BP13" s="24">
        <f>IF(BF13=1,SUMIFS(Quota_Groups!$F$5:$F$60,Quota_Groups!$C$5:$C$60,$B13,Quota_Groups!$E$5:$E$60,Request!E17),0)</f>
        <v/>
      </c>
      <c r="BQ13" s="24">
        <f>IF(BF13=1,SUMIFS(Quota_Groups!$M$5:$M$60,Quota_Groups!$C$5:$C$60,$B13,Quota_Groups!$E$5:$E$60,Request!E17),0)</f>
        <v/>
      </c>
      <c r="BR13" s="24">
        <f>IF(AND(Request!A18&lt;&gt;"",ISNUMBER(Request!B18),Request!B18&gt;0),1,0)</f>
        <v/>
      </c>
      <c r="BS13" s="24">
        <f>IF(BR13=1,Request!D18,0)</f>
        <v/>
      </c>
      <c r="BT13" s="25">
        <f>IF(BR13=1,Request!E18,"")</f>
        <v/>
      </c>
      <c r="BU13" s="24">
        <f>IF(BR13=1,SUMIFS(Capacity_Reservations!$L$5:$L$340,Capacity_Reservations!$B$5:$B$340,$B13,Capacity_Reservations!$D$5:$D$340,"Prod",Capacity_Reservations!$E$5:$E$340,Request!A18),0)</f>
        <v/>
      </c>
      <c r="BV13" s="24">
        <f>IF(BR13=1,SUMIFS(Capacity_Reservations!$K$5:$K$340,Capacity_Reservations!$B$5:$B$340,$B13,Capacity_Reservations!$D$5:$D$340,"Prod",Capacity_Reservations!$E$5:$E$340,Request!A18),0)</f>
        <v/>
      </c>
      <c r="BW13" s="24">
        <f>IF(BR13=1,SUMIFS(Capacity_Reservations!$L$5:$L$340,Capacity_Reservations!$B$5:$B$340,$B13,Capacity_Reservations!$D$5:$D$340,"NonProd",Capacity_Reservations!$E$5:$E$340,Request!A18),0)</f>
        <v/>
      </c>
      <c r="BX13" s="24">
        <f>IF(BR13=1,SUMIFS(Capacity_Reservations!$K$5:$K$340,Capacity_Reservations!$B$5:$B$340,$B13,Capacity_Reservations!$D$5:$D$340,"NonProd",Capacity_Reservations!$E$5:$E$340,Request!A18),0)</f>
        <v/>
      </c>
      <c r="BY13" s="24">
        <f>IF(BR13=1,SUMIFS(Capacity_Reservations!$L$5:$L$340,Capacity_Reservations!$B$5:$B$340,$B13,Capacity_Reservations!$D$5:$D$340,"DR",Capacity_Reservations!$E$5:$E$340,Request!A18),0)</f>
        <v/>
      </c>
      <c r="BZ13" s="24">
        <f>IF(BR13=1,SUMIFS(Capacity_Reservations!$K$5:$K$340,Capacity_Reservations!$B$5:$B$340,$B13,Capacity_Reservations!$D$5:$D$340,"DR",Capacity_Reservations!$E$5:$E$340,Request!A18),0)</f>
        <v/>
      </c>
      <c r="CA13" s="24">
        <f>IF(BR13=1,MIN(SUMIFS(Quota_Groups!$H$5:$H$60,Quota_Groups!$C$5:$C$60,$B13,Quota_Groups!$E$5:$E$60,Request!E18),SUMIFS(Quota_Groups!$P$5:$P$60,Quota_Groups!$C$5:$C$60,$B13,Quota_Groups!$E$5:$E$60,"Eadsv5")),0)</f>
        <v/>
      </c>
      <c r="CB13" s="24">
        <f>IF(BR13=1,SUMIFS(Quota_Groups!$F$5:$F$60,Quota_Groups!$C$5:$C$60,$B13,Quota_Groups!$E$5:$E$60,Request!E18),0)</f>
        <v/>
      </c>
      <c r="CC13" s="24">
        <f>IF(BR13=1,SUMIFS(Quota_Groups!$M$5:$M$60,Quota_Groups!$C$5:$C$60,$B13,Quota_Groups!$E$5:$E$60,Request!E18),0)</f>
        <v/>
      </c>
      <c r="CD13" s="24">
        <f>IF(AND(Request!A19&lt;&gt;"",ISNUMBER(Request!B19),Request!B19&gt;0),1,0)</f>
        <v/>
      </c>
      <c r="CE13" s="24">
        <f>IF(CD13=1,Request!D19,0)</f>
        <v/>
      </c>
      <c r="CF13" s="25">
        <f>IF(CD13=1,Request!E19,"")</f>
        <v/>
      </c>
      <c r="CG13" s="24">
        <f>IF(CD13=1,SUMIFS(Capacity_Reservations!$L$5:$L$340,Capacity_Reservations!$B$5:$B$340,$B13,Capacity_Reservations!$D$5:$D$340,"Prod",Capacity_Reservations!$E$5:$E$340,Request!A19),0)</f>
        <v/>
      </c>
      <c r="CH13" s="24">
        <f>IF(CD13=1,SUMIFS(Capacity_Reservations!$K$5:$K$340,Capacity_Reservations!$B$5:$B$340,$B13,Capacity_Reservations!$D$5:$D$340,"Prod",Capacity_Reservations!$E$5:$E$340,Request!A19),0)</f>
        <v/>
      </c>
      <c r="CI13" s="24">
        <f>IF(CD13=1,SUMIFS(Capacity_Reservations!$L$5:$L$340,Capacity_Reservations!$B$5:$B$340,$B13,Capacity_Reservations!$D$5:$D$340,"NonProd",Capacity_Reservations!$E$5:$E$340,Request!A19),0)</f>
        <v/>
      </c>
      <c r="CJ13" s="24">
        <f>IF(CD13=1,SUMIFS(Capacity_Reservations!$K$5:$K$340,Capacity_Reservations!$B$5:$B$340,$B13,Capacity_Reservations!$D$5:$D$340,"NonProd",Capacity_Reservations!$E$5:$E$340,Request!A19),0)</f>
        <v/>
      </c>
      <c r="CK13" s="24">
        <f>IF(CD13=1,SUMIFS(Capacity_Reservations!$L$5:$L$340,Capacity_Reservations!$B$5:$B$340,$B13,Capacity_Reservations!$D$5:$D$340,"DR",Capacity_Reservations!$E$5:$E$340,Request!A19),0)</f>
        <v/>
      </c>
      <c r="CL13" s="24">
        <f>IF(CD13=1,SUMIFS(Capacity_Reservations!$K$5:$K$340,Capacity_Reservations!$B$5:$B$340,$B13,Capacity_Reservations!$D$5:$D$340,"DR",Capacity_Reservations!$E$5:$E$340,Request!A19),0)</f>
        <v/>
      </c>
      <c r="CM13" s="24">
        <f>IF(CD13=1,MIN(SUMIFS(Quota_Groups!$H$5:$H$60,Quota_Groups!$C$5:$C$60,$B13,Quota_Groups!$E$5:$E$60,Request!E19),SUMIFS(Quota_Groups!$P$5:$P$60,Quota_Groups!$C$5:$C$60,$B13,Quota_Groups!$E$5:$E$60,"Eadsv5")),0)</f>
        <v/>
      </c>
      <c r="CN13" s="24">
        <f>IF(CD13=1,SUMIFS(Quota_Groups!$F$5:$F$60,Quota_Groups!$C$5:$C$60,$B13,Quota_Groups!$E$5:$E$60,Request!E19),0)</f>
        <v/>
      </c>
      <c r="CO13" s="24">
        <f>IF(CD13=1,SUMIFS(Quota_Groups!$M$5:$M$60,Quota_Groups!$C$5:$C$60,$B13,Quota_Groups!$E$5:$E$60,Request!E19),0)</f>
        <v/>
      </c>
      <c r="CP13" s="24">
        <f>IF(AND(Request!A20&lt;&gt;"",ISNUMBER(Request!B20),Request!B20&gt;0),1,0)</f>
        <v/>
      </c>
      <c r="CQ13" s="24">
        <f>IF(CP13=1,Request!D20,0)</f>
        <v/>
      </c>
      <c r="CR13" s="25">
        <f>IF(CP13=1,Request!E20,"")</f>
        <v/>
      </c>
      <c r="CS13" s="24">
        <f>IF(CP13=1,SUMIFS(Capacity_Reservations!$L$5:$L$340,Capacity_Reservations!$B$5:$B$340,$B13,Capacity_Reservations!$D$5:$D$340,"Prod",Capacity_Reservations!$E$5:$E$340,Request!A20),0)</f>
        <v/>
      </c>
      <c r="CT13" s="24">
        <f>IF(CP13=1,SUMIFS(Capacity_Reservations!$K$5:$K$340,Capacity_Reservations!$B$5:$B$340,$B13,Capacity_Reservations!$D$5:$D$340,"Prod",Capacity_Reservations!$E$5:$E$340,Request!A20),0)</f>
        <v/>
      </c>
      <c r="CU13" s="24">
        <f>IF(CP13=1,SUMIFS(Capacity_Reservations!$L$5:$L$340,Capacity_Reservations!$B$5:$B$340,$B13,Capacity_Reservations!$D$5:$D$340,"NonProd",Capacity_Reservations!$E$5:$E$340,Request!A20),0)</f>
        <v/>
      </c>
      <c r="CV13" s="24">
        <f>IF(CP13=1,SUMIFS(Capacity_Reservations!$K$5:$K$340,Capacity_Reservations!$B$5:$B$340,$B13,Capacity_Reservations!$D$5:$D$340,"NonProd",Capacity_Reservations!$E$5:$E$340,Request!A20),0)</f>
        <v/>
      </c>
      <c r="CW13" s="24">
        <f>IF(CP13=1,SUMIFS(Capacity_Reservations!$L$5:$L$340,Capacity_Reservations!$B$5:$B$340,$B13,Capacity_Reservations!$D$5:$D$340,"DR",Capacity_Reservations!$E$5:$E$340,Request!A20),0)</f>
        <v/>
      </c>
      <c r="CX13" s="24">
        <f>IF(CP13=1,SUMIFS(Capacity_Reservations!$K$5:$K$340,Capacity_Reservations!$B$5:$B$340,$B13,Capacity_Reservations!$D$5:$D$340,"DR",Capacity_Reservations!$E$5:$E$340,Request!A20),0)</f>
        <v/>
      </c>
      <c r="CY13" s="24">
        <f>IF(CP13=1,MIN(SUMIFS(Quota_Groups!$H$5:$H$60,Quota_Groups!$C$5:$C$60,$B13,Quota_Groups!$E$5:$E$60,Request!E20),SUMIFS(Quota_Groups!$P$5:$P$60,Quota_Groups!$C$5:$C$60,$B13,Quota_Groups!$E$5:$E$60,"Eadsv5")),0)</f>
        <v/>
      </c>
      <c r="CZ13" s="24">
        <f>IF(CP13=1,SUMIFS(Quota_Groups!$F$5:$F$60,Quota_Groups!$C$5:$C$60,$B13,Quota_Groups!$E$5:$E$60,Request!E20),0)</f>
        <v/>
      </c>
      <c r="DA13" s="24">
        <f>IF(CP13=1,SUMIFS(Quota_Groups!$M$5:$M$60,Quota_Groups!$C$5:$C$60,$B13,Quota_Groups!$E$5:$E$60,Request!E20),0)</f>
        <v/>
      </c>
    </row>
    <row r="14">
      <c r="A14" s="6">
        <f>Region_Catalogue!A14</f>
        <v/>
      </c>
      <c r="B14" s="6">
        <f>Region_Catalogue!B14</f>
        <v/>
      </c>
      <c r="C14" s="15">
        <f>Region_Catalogue!C14</f>
        <v/>
      </c>
      <c r="D14" s="15">
        <f>Region_Catalogue!G14</f>
        <v/>
      </c>
      <c r="E14" s="15">
        <f>Region_Catalogue!E14</f>
        <v/>
      </c>
      <c r="F14" s="15">
        <f>Region_Catalogue!F14</f>
        <v/>
      </c>
      <c r="G14" s="42">
        <f>Region_Catalogue!D14</f>
        <v/>
      </c>
      <c r="H14" s="42">
        <f>Region_Catalogue!H14</f>
        <v/>
      </c>
      <c r="I14" s="43">
        <f>Region_Catalogue!I14</f>
        <v/>
      </c>
      <c r="J14" s="24">
        <f>IF(AND(Request!A13&lt;&gt;"",ISNUMBER(Request!B13),Request!B13&gt;0),1,0)</f>
        <v/>
      </c>
      <c r="K14" s="24">
        <f>IF(J14=1,Request!D13,0)</f>
        <v/>
      </c>
      <c r="L14" s="25">
        <f>IF(J14=1,Request!E13,"")</f>
        <v/>
      </c>
      <c r="M14" s="24">
        <f>IF(J14=1,SUMIFS(Capacity_Reservations!$L$5:$L$340,Capacity_Reservations!$B$5:$B$340,$B14,Capacity_Reservations!$D$5:$D$340,"Prod",Capacity_Reservations!$E$5:$E$340,Request!A13),0)</f>
        <v/>
      </c>
      <c r="N14" s="24">
        <f>IF(J14=1,SUMIFS(Capacity_Reservations!$K$5:$K$340,Capacity_Reservations!$B$5:$B$340,$B14,Capacity_Reservations!$D$5:$D$340,"Prod",Capacity_Reservations!$E$5:$E$340,Request!A13),0)</f>
        <v/>
      </c>
      <c r="O14" s="24">
        <f>IF(J14=1,SUMIFS(Capacity_Reservations!$L$5:$L$340,Capacity_Reservations!$B$5:$B$340,$B14,Capacity_Reservations!$D$5:$D$340,"NonProd",Capacity_Reservations!$E$5:$E$340,Request!A13),0)</f>
        <v/>
      </c>
      <c r="P14" s="24">
        <f>IF(J14=1,SUMIFS(Capacity_Reservations!$K$5:$K$340,Capacity_Reservations!$B$5:$B$340,$B14,Capacity_Reservations!$D$5:$D$340,"NonProd",Capacity_Reservations!$E$5:$E$340,Request!A13),0)</f>
        <v/>
      </c>
      <c r="Q14" s="24">
        <f>IF(J14=1,SUMIFS(Capacity_Reservations!$L$5:$L$340,Capacity_Reservations!$B$5:$B$340,$B14,Capacity_Reservations!$D$5:$D$340,"DR",Capacity_Reservations!$E$5:$E$340,Request!A13),0)</f>
        <v/>
      </c>
      <c r="R14" s="24">
        <f>IF(J14=1,SUMIFS(Capacity_Reservations!$K$5:$K$340,Capacity_Reservations!$B$5:$B$340,$B14,Capacity_Reservations!$D$5:$D$340,"DR",Capacity_Reservations!$E$5:$E$340,Request!A13),0)</f>
        <v/>
      </c>
      <c r="S14" s="24">
        <f>IF(J14=1,MIN(SUMIFS(Quota_Groups!$H$5:$H$60,Quota_Groups!$C$5:$C$60,$B14,Quota_Groups!$E$5:$E$60,Request!E13),SUMIFS(Quota_Groups!$P$5:$P$60,Quota_Groups!$C$5:$C$60,$B14,Quota_Groups!$E$5:$E$60,"Eadsv5")),0)</f>
        <v/>
      </c>
      <c r="T14" s="24">
        <f>IF(J14=1,SUMIFS(Quota_Groups!$F$5:$F$60,Quota_Groups!$C$5:$C$60,$B14,Quota_Groups!$E$5:$E$60,Request!E13),0)</f>
        <v/>
      </c>
      <c r="U14" s="24">
        <f>IF(J14=1,SUMIFS(Quota_Groups!$M$5:$M$60,Quota_Groups!$C$5:$C$60,$B14,Quota_Groups!$E$5:$E$60,Request!E13),0)</f>
        <v/>
      </c>
      <c r="V14" s="24">
        <f>IF(AND(Request!A14&lt;&gt;"",ISNUMBER(Request!B14),Request!B14&gt;0),1,0)</f>
        <v/>
      </c>
      <c r="W14" s="24">
        <f>IF(V14=1,Request!D14,0)</f>
        <v/>
      </c>
      <c r="X14" s="25">
        <f>IF(V14=1,Request!E14,"")</f>
        <v/>
      </c>
      <c r="Y14" s="24">
        <f>IF(V14=1,SUMIFS(Capacity_Reservations!$L$5:$L$340,Capacity_Reservations!$B$5:$B$340,$B14,Capacity_Reservations!$D$5:$D$340,"Prod",Capacity_Reservations!$E$5:$E$340,Request!A14),0)</f>
        <v/>
      </c>
      <c r="Z14" s="24">
        <f>IF(V14=1,SUMIFS(Capacity_Reservations!$K$5:$K$340,Capacity_Reservations!$B$5:$B$340,$B14,Capacity_Reservations!$D$5:$D$340,"Prod",Capacity_Reservations!$E$5:$E$340,Request!A14),0)</f>
        <v/>
      </c>
      <c r="AA14" s="24">
        <f>IF(V14=1,SUMIFS(Capacity_Reservations!$L$5:$L$340,Capacity_Reservations!$B$5:$B$340,$B14,Capacity_Reservations!$D$5:$D$340,"NonProd",Capacity_Reservations!$E$5:$E$340,Request!A14),0)</f>
        <v/>
      </c>
      <c r="AB14" s="24">
        <f>IF(V14=1,SUMIFS(Capacity_Reservations!$K$5:$K$340,Capacity_Reservations!$B$5:$B$340,$B14,Capacity_Reservations!$D$5:$D$340,"NonProd",Capacity_Reservations!$E$5:$E$340,Request!A14),0)</f>
        <v/>
      </c>
      <c r="AC14" s="24">
        <f>IF(V14=1,SUMIFS(Capacity_Reservations!$L$5:$L$340,Capacity_Reservations!$B$5:$B$340,$B14,Capacity_Reservations!$D$5:$D$340,"DR",Capacity_Reservations!$E$5:$E$340,Request!A14),0)</f>
        <v/>
      </c>
      <c r="AD14" s="24">
        <f>IF(V14=1,SUMIFS(Capacity_Reservations!$K$5:$K$340,Capacity_Reservations!$B$5:$B$340,$B14,Capacity_Reservations!$D$5:$D$340,"DR",Capacity_Reservations!$E$5:$E$340,Request!A14),0)</f>
        <v/>
      </c>
      <c r="AE14" s="24">
        <f>IF(V14=1,MIN(SUMIFS(Quota_Groups!$H$5:$H$60,Quota_Groups!$C$5:$C$60,$B14,Quota_Groups!$E$5:$E$60,Request!E14),SUMIFS(Quota_Groups!$P$5:$P$60,Quota_Groups!$C$5:$C$60,$B14,Quota_Groups!$E$5:$E$60,"Eadsv5")),0)</f>
        <v/>
      </c>
      <c r="AF14" s="24">
        <f>IF(V14=1,SUMIFS(Quota_Groups!$F$5:$F$60,Quota_Groups!$C$5:$C$60,$B14,Quota_Groups!$E$5:$E$60,Request!E14),0)</f>
        <v/>
      </c>
      <c r="AG14" s="24">
        <f>IF(V14=1,SUMIFS(Quota_Groups!$M$5:$M$60,Quota_Groups!$C$5:$C$60,$B14,Quota_Groups!$E$5:$E$60,Request!E14),0)</f>
        <v/>
      </c>
      <c r="AH14" s="24">
        <f>IF(AND(Request!A15&lt;&gt;"",ISNUMBER(Request!B15),Request!B15&gt;0),1,0)</f>
        <v/>
      </c>
      <c r="AI14" s="24">
        <f>IF(AH14=1,Request!D15,0)</f>
        <v/>
      </c>
      <c r="AJ14" s="25">
        <f>IF(AH14=1,Request!E15,"")</f>
        <v/>
      </c>
      <c r="AK14" s="24">
        <f>IF(AH14=1,SUMIFS(Capacity_Reservations!$L$5:$L$340,Capacity_Reservations!$B$5:$B$340,$B14,Capacity_Reservations!$D$5:$D$340,"Prod",Capacity_Reservations!$E$5:$E$340,Request!A15),0)</f>
        <v/>
      </c>
      <c r="AL14" s="24">
        <f>IF(AH14=1,SUMIFS(Capacity_Reservations!$K$5:$K$340,Capacity_Reservations!$B$5:$B$340,$B14,Capacity_Reservations!$D$5:$D$340,"Prod",Capacity_Reservations!$E$5:$E$340,Request!A15),0)</f>
        <v/>
      </c>
      <c r="AM14" s="24">
        <f>IF(AH14=1,SUMIFS(Capacity_Reservations!$L$5:$L$340,Capacity_Reservations!$B$5:$B$340,$B14,Capacity_Reservations!$D$5:$D$340,"NonProd",Capacity_Reservations!$E$5:$E$340,Request!A15),0)</f>
        <v/>
      </c>
      <c r="AN14" s="24">
        <f>IF(AH14=1,SUMIFS(Capacity_Reservations!$K$5:$K$340,Capacity_Reservations!$B$5:$B$340,$B14,Capacity_Reservations!$D$5:$D$340,"NonProd",Capacity_Reservations!$E$5:$E$340,Request!A15),0)</f>
        <v/>
      </c>
      <c r="AO14" s="24">
        <f>IF(AH14=1,SUMIFS(Capacity_Reservations!$L$5:$L$340,Capacity_Reservations!$B$5:$B$340,$B14,Capacity_Reservations!$D$5:$D$340,"DR",Capacity_Reservations!$E$5:$E$340,Request!A15),0)</f>
        <v/>
      </c>
      <c r="AP14" s="24">
        <f>IF(AH14=1,SUMIFS(Capacity_Reservations!$K$5:$K$340,Capacity_Reservations!$B$5:$B$340,$B14,Capacity_Reservations!$D$5:$D$340,"DR",Capacity_Reservations!$E$5:$E$340,Request!A15),0)</f>
        <v/>
      </c>
      <c r="AQ14" s="24">
        <f>IF(AH14=1,MIN(SUMIFS(Quota_Groups!$H$5:$H$60,Quota_Groups!$C$5:$C$60,$B14,Quota_Groups!$E$5:$E$60,Request!E15),SUMIFS(Quota_Groups!$P$5:$P$60,Quota_Groups!$C$5:$C$60,$B14,Quota_Groups!$E$5:$E$60,"Eadsv5")),0)</f>
        <v/>
      </c>
      <c r="AR14" s="24">
        <f>IF(AH14=1,SUMIFS(Quota_Groups!$F$5:$F$60,Quota_Groups!$C$5:$C$60,$B14,Quota_Groups!$E$5:$E$60,Request!E15),0)</f>
        <v/>
      </c>
      <c r="AS14" s="24">
        <f>IF(AH14=1,SUMIFS(Quota_Groups!$M$5:$M$60,Quota_Groups!$C$5:$C$60,$B14,Quota_Groups!$E$5:$E$60,Request!E15),0)</f>
        <v/>
      </c>
      <c r="AT14" s="24">
        <f>IF(AND(Request!A16&lt;&gt;"",ISNUMBER(Request!B16),Request!B16&gt;0),1,0)</f>
        <v/>
      </c>
      <c r="AU14" s="24">
        <f>IF(AT14=1,Request!D16,0)</f>
        <v/>
      </c>
      <c r="AV14" s="25">
        <f>IF(AT14=1,Request!E16,"")</f>
        <v/>
      </c>
      <c r="AW14" s="24">
        <f>IF(AT14=1,SUMIFS(Capacity_Reservations!$L$5:$L$340,Capacity_Reservations!$B$5:$B$340,$B14,Capacity_Reservations!$D$5:$D$340,"Prod",Capacity_Reservations!$E$5:$E$340,Request!A16),0)</f>
        <v/>
      </c>
      <c r="AX14" s="24">
        <f>IF(AT14=1,SUMIFS(Capacity_Reservations!$K$5:$K$340,Capacity_Reservations!$B$5:$B$340,$B14,Capacity_Reservations!$D$5:$D$340,"Prod",Capacity_Reservations!$E$5:$E$340,Request!A16),0)</f>
        <v/>
      </c>
      <c r="AY14" s="24">
        <f>IF(AT14=1,SUMIFS(Capacity_Reservations!$L$5:$L$340,Capacity_Reservations!$B$5:$B$340,$B14,Capacity_Reservations!$D$5:$D$340,"NonProd",Capacity_Reservations!$E$5:$E$340,Request!A16),0)</f>
        <v/>
      </c>
      <c r="AZ14" s="24">
        <f>IF(AT14=1,SUMIFS(Capacity_Reservations!$K$5:$K$340,Capacity_Reservations!$B$5:$B$340,$B14,Capacity_Reservations!$D$5:$D$340,"NonProd",Capacity_Reservations!$E$5:$E$340,Request!A16),0)</f>
        <v/>
      </c>
      <c r="BA14" s="24">
        <f>IF(AT14=1,SUMIFS(Capacity_Reservations!$L$5:$L$340,Capacity_Reservations!$B$5:$B$340,$B14,Capacity_Reservations!$D$5:$D$340,"DR",Capacity_Reservations!$E$5:$E$340,Request!A16),0)</f>
        <v/>
      </c>
      <c r="BB14" s="24">
        <f>IF(AT14=1,SUMIFS(Capacity_Reservations!$K$5:$K$340,Capacity_Reservations!$B$5:$B$340,$B14,Capacity_Reservations!$D$5:$D$340,"DR",Capacity_Reservations!$E$5:$E$340,Request!A16),0)</f>
        <v/>
      </c>
      <c r="BC14" s="24">
        <f>IF(AT14=1,MIN(SUMIFS(Quota_Groups!$H$5:$H$60,Quota_Groups!$C$5:$C$60,$B14,Quota_Groups!$E$5:$E$60,Request!E16),SUMIFS(Quota_Groups!$P$5:$P$60,Quota_Groups!$C$5:$C$60,$B14,Quota_Groups!$E$5:$E$60,"Eadsv5")),0)</f>
        <v/>
      </c>
      <c r="BD14" s="24">
        <f>IF(AT14=1,SUMIFS(Quota_Groups!$F$5:$F$60,Quota_Groups!$C$5:$C$60,$B14,Quota_Groups!$E$5:$E$60,Request!E16),0)</f>
        <v/>
      </c>
      <c r="BE14" s="24">
        <f>IF(AT14=1,SUMIFS(Quota_Groups!$M$5:$M$60,Quota_Groups!$C$5:$C$60,$B14,Quota_Groups!$E$5:$E$60,Request!E16),0)</f>
        <v/>
      </c>
      <c r="BF14" s="24">
        <f>IF(AND(Request!A17&lt;&gt;"",ISNUMBER(Request!B17),Request!B17&gt;0),1,0)</f>
        <v/>
      </c>
      <c r="BG14" s="24">
        <f>IF(BF14=1,Request!D17,0)</f>
        <v/>
      </c>
      <c r="BH14" s="25">
        <f>IF(BF14=1,Request!E17,"")</f>
        <v/>
      </c>
      <c r="BI14" s="24">
        <f>IF(BF14=1,SUMIFS(Capacity_Reservations!$L$5:$L$340,Capacity_Reservations!$B$5:$B$340,$B14,Capacity_Reservations!$D$5:$D$340,"Prod",Capacity_Reservations!$E$5:$E$340,Request!A17),0)</f>
        <v/>
      </c>
      <c r="BJ14" s="24">
        <f>IF(BF14=1,SUMIFS(Capacity_Reservations!$K$5:$K$340,Capacity_Reservations!$B$5:$B$340,$B14,Capacity_Reservations!$D$5:$D$340,"Prod",Capacity_Reservations!$E$5:$E$340,Request!A17),0)</f>
        <v/>
      </c>
      <c r="BK14" s="24">
        <f>IF(BF14=1,SUMIFS(Capacity_Reservations!$L$5:$L$340,Capacity_Reservations!$B$5:$B$340,$B14,Capacity_Reservations!$D$5:$D$340,"NonProd",Capacity_Reservations!$E$5:$E$340,Request!A17),0)</f>
        <v/>
      </c>
      <c r="BL14" s="24">
        <f>IF(BF14=1,SUMIFS(Capacity_Reservations!$K$5:$K$340,Capacity_Reservations!$B$5:$B$340,$B14,Capacity_Reservations!$D$5:$D$340,"NonProd",Capacity_Reservations!$E$5:$E$340,Request!A17),0)</f>
        <v/>
      </c>
      <c r="BM14" s="24">
        <f>IF(BF14=1,SUMIFS(Capacity_Reservations!$L$5:$L$340,Capacity_Reservations!$B$5:$B$340,$B14,Capacity_Reservations!$D$5:$D$340,"DR",Capacity_Reservations!$E$5:$E$340,Request!A17),0)</f>
        <v/>
      </c>
      <c r="BN14" s="24">
        <f>IF(BF14=1,SUMIFS(Capacity_Reservations!$K$5:$K$340,Capacity_Reservations!$B$5:$B$340,$B14,Capacity_Reservations!$D$5:$D$340,"DR",Capacity_Reservations!$E$5:$E$340,Request!A17),0)</f>
        <v/>
      </c>
      <c r="BO14" s="24">
        <f>IF(BF14=1,MIN(SUMIFS(Quota_Groups!$H$5:$H$60,Quota_Groups!$C$5:$C$60,$B14,Quota_Groups!$E$5:$E$60,Request!E17),SUMIFS(Quota_Groups!$P$5:$P$60,Quota_Groups!$C$5:$C$60,$B14,Quota_Groups!$E$5:$E$60,"Eadsv5")),0)</f>
        <v/>
      </c>
      <c r="BP14" s="24">
        <f>IF(BF14=1,SUMIFS(Quota_Groups!$F$5:$F$60,Quota_Groups!$C$5:$C$60,$B14,Quota_Groups!$E$5:$E$60,Request!E17),0)</f>
        <v/>
      </c>
      <c r="BQ14" s="24">
        <f>IF(BF14=1,SUMIFS(Quota_Groups!$M$5:$M$60,Quota_Groups!$C$5:$C$60,$B14,Quota_Groups!$E$5:$E$60,Request!E17),0)</f>
        <v/>
      </c>
      <c r="BR14" s="24">
        <f>IF(AND(Request!A18&lt;&gt;"",ISNUMBER(Request!B18),Request!B18&gt;0),1,0)</f>
        <v/>
      </c>
      <c r="BS14" s="24">
        <f>IF(BR14=1,Request!D18,0)</f>
        <v/>
      </c>
      <c r="BT14" s="25">
        <f>IF(BR14=1,Request!E18,"")</f>
        <v/>
      </c>
      <c r="BU14" s="24">
        <f>IF(BR14=1,SUMIFS(Capacity_Reservations!$L$5:$L$340,Capacity_Reservations!$B$5:$B$340,$B14,Capacity_Reservations!$D$5:$D$340,"Prod",Capacity_Reservations!$E$5:$E$340,Request!A18),0)</f>
        <v/>
      </c>
      <c r="BV14" s="24">
        <f>IF(BR14=1,SUMIFS(Capacity_Reservations!$K$5:$K$340,Capacity_Reservations!$B$5:$B$340,$B14,Capacity_Reservations!$D$5:$D$340,"Prod",Capacity_Reservations!$E$5:$E$340,Request!A18),0)</f>
        <v/>
      </c>
      <c r="BW14" s="24">
        <f>IF(BR14=1,SUMIFS(Capacity_Reservations!$L$5:$L$340,Capacity_Reservations!$B$5:$B$340,$B14,Capacity_Reservations!$D$5:$D$340,"NonProd",Capacity_Reservations!$E$5:$E$340,Request!A18),0)</f>
        <v/>
      </c>
      <c r="BX14" s="24">
        <f>IF(BR14=1,SUMIFS(Capacity_Reservations!$K$5:$K$340,Capacity_Reservations!$B$5:$B$340,$B14,Capacity_Reservations!$D$5:$D$340,"NonProd",Capacity_Reservations!$E$5:$E$340,Request!A18),0)</f>
        <v/>
      </c>
      <c r="BY14" s="24">
        <f>IF(BR14=1,SUMIFS(Capacity_Reservations!$L$5:$L$340,Capacity_Reservations!$B$5:$B$340,$B14,Capacity_Reservations!$D$5:$D$340,"DR",Capacity_Reservations!$E$5:$E$340,Request!A18),0)</f>
        <v/>
      </c>
      <c r="BZ14" s="24">
        <f>IF(BR14=1,SUMIFS(Capacity_Reservations!$K$5:$K$340,Capacity_Reservations!$B$5:$B$340,$B14,Capacity_Reservations!$D$5:$D$340,"DR",Capacity_Reservations!$E$5:$E$340,Request!A18),0)</f>
        <v/>
      </c>
      <c r="CA14" s="24">
        <f>IF(BR14=1,MIN(SUMIFS(Quota_Groups!$H$5:$H$60,Quota_Groups!$C$5:$C$60,$B14,Quota_Groups!$E$5:$E$60,Request!E18),SUMIFS(Quota_Groups!$P$5:$P$60,Quota_Groups!$C$5:$C$60,$B14,Quota_Groups!$E$5:$E$60,"Eadsv5")),0)</f>
        <v/>
      </c>
      <c r="CB14" s="24">
        <f>IF(BR14=1,SUMIFS(Quota_Groups!$F$5:$F$60,Quota_Groups!$C$5:$C$60,$B14,Quota_Groups!$E$5:$E$60,Request!E18),0)</f>
        <v/>
      </c>
      <c r="CC14" s="24">
        <f>IF(BR14=1,SUMIFS(Quota_Groups!$M$5:$M$60,Quota_Groups!$C$5:$C$60,$B14,Quota_Groups!$E$5:$E$60,Request!E18),0)</f>
        <v/>
      </c>
      <c r="CD14" s="24">
        <f>IF(AND(Request!A19&lt;&gt;"",ISNUMBER(Request!B19),Request!B19&gt;0),1,0)</f>
        <v/>
      </c>
      <c r="CE14" s="24">
        <f>IF(CD14=1,Request!D19,0)</f>
        <v/>
      </c>
      <c r="CF14" s="25">
        <f>IF(CD14=1,Request!E19,"")</f>
        <v/>
      </c>
      <c r="CG14" s="24">
        <f>IF(CD14=1,SUMIFS(Capacity_Reservations!$L$5:$L$340,Capacity_Reservations!$B$5:$B$340,$B14,Capacity_Reservations!$D$5:$D$340,"Prod",Capacity_Reservations!$E$5:$E$340,Request!A19),0)</f>
        <v/>
      </c>
      <c r="CH14" s="24">
        <f>IF(CD14=1,SUMIFS(Capacity_Reservations!$K$5:$K$340,Capacity_Reservations!$B$5:$B$340,$B14,Capacity_Reservations!$D$5:$D$340,"Prod",Capacity_Reservations!$E$5:$E$340,Request!A19),0)</f>
        <v/>
      </c>
      <c r="CI14" s="24">
        <f>IF(CD14=1,SUMIFS(Capacity_Reservations!$L$5:$L$340,Capacity_Reservations!$B$5:$B$340,$B14,Capacity_Reservations!$D$5:$D$340,"NonProd",Capacity_Reservations!$E$5:$E$340,Request!A19),0)</f>
        <v/>
      </c>
      <c r="CJ14" s="24">
        <f>IF(CD14=1,SUMIFS(Capacity_Reservations!$K$5:$K$340,Capacity_Reservations!$B$5:$B$340,$B14,Capacity_Reservations!$D$5:$D$340,"NonProd",Capacity_Reservations!$E$5:$E$340,Request!A19),0)</f>
        <v/>
      </c>
      <c r="CK14" s="24">
        <f>IF(CD14=1,SUMIFS(Capacity_Reservations!$L$5:$L$340,Capacity_Reservations!$B$5:$B$340,$B14,Capacity_Reservations!$D$5:$D$340,"DR",Capacity_Reservations!$E$5:$E$340,Request!A19),0)</f>
        <v/>
      </c>
      <c r="CL14" s="24">
        <f>IF(CD14=1,SUMIFS(Capacity_Reservations!$K$5:$K$340,Capacity_Reservations!$B$5:$B$340,$B14,Capacity_Reservations!$D$5:$D$340,"DR",Capacity_Reservations!$E$5:$E$340,Request!A19),0)</f>
        <v/>
      </c>
      <c r="CM14" s="24">
        <f>IF(CD14=1,MIN(SUMIFS(Quota_Groups!$H$5:$H$60,Quota_Groups!$C$5:$C$60,$B14,Quota_Groups!$E$5:$E$60,Request!E19),SUMIFS(Quota_Groups!$P$5:$P$60,Quota_Groups!$C$5:$C$60,$B14,Quota_Groups!$E$5:$E$60,"Eadsv5")),0)</f>
        <v/>
      </c>
      <c r="CN14" s="24">
        <f>IF(CD14=1,SUMIFS(Quota_Groups!$F$5:$F$60,Quota_Groups!$C$5:$C$60,$B14,Quota_Groups!$E$5:$E$60,Request!E19),0)</f>
        <v/>
      </c>
      <c r="CO14" s="24">
        <f>IF(CD14=1,SUMIFS(Quota_Groups!$M$5:$M$60,Quota_Groups!$C$5:$C$60,$B14,Quota_Groups!$E$5:$E$60,Request!E19),0)</f>
        <v/>
      </c>
      <c r="CP14" s="24">
        <f>IF(AND(Request!A20&lt;&gt;"",ISNUMBER(Request!B20),Request!B20&gt;0),1,0)</f>
        <v/>
      </c>
      <c r="CQ14" s="24">
        <f>IF(CP14=1,Request!D20,0)</f>
        <v/>
      </c>
      <c r="CR14" s="25">
        <f>IF(CP14=1,Request!E20,"")</f>
        <v/>
      </c>
      <c r="CS14" s="24">
        <f>IF(CP14=1,SUMIFS(Capacity_Reservations!$L$5:$L$340,Capacity_Reservations!$B$5:$B$340,$B14,Capacity_Reservations!$D$5:$D$340,"Prod",Capacity_Reservations!$E$5:$E$340,Request!A20),0)</f>
        <v/>
      </c>
      <c r="CT14" s="24">
        <f>IF(CP14=1,SUMIFS(Capacity_Reservations!$K$5:$K$340,Capacity_Reservations!$B$5:$B$340,$B14,Capacity_Reservations!$D$5:$D$340,"Prod",Capacity_Reservations!$E$5:$E$340,Request!A20),0)</f>
        <v/>
      </c>
      <c r="CU14" s="24">
        <f>IF(CP14=1,SUMIFS(Capacity_Reservations!$L$5:$L$340,Capacity_Reservations!$B$5:$B$340,$B14,Capacity_Reservations!$D$5:$D$340,"NonProd",Capacity_Reservations!$E$5:$E$340,Request!A20),0)</f>
        <v/>
      </c>
      <c r="CV14" s="24">
        <f>IF(CP14=1,SUMIFS(Capacity_Reservations!$K$5:$K$340,Capacity_Reservations!$B$5:$B$340,$B14,Capacity_Reservations!$D$5:$D$340,"NonProd",Capacity_Reservations!$E$5:$E$340,Request!A20),0)</f>
        <v/>
      </c>
      <c r="CW14" s="24">
        <f>IF(CP14=1,SUMIFS(Capacity_Reservations!$L$5:$L$340,Capacity_Reservations!$B$5:$B$340,$B14,Capacity_Reservations!$D$5:$D$340,"DR",Capacity_Reservations!$E$5:$E$340,Request!A20),0)</f>
        <v/>
      </c>
      <c r="CX14" s="24">
        <f>IF(CP14=1,SUMIFS(Capacity_Reservations!$K$5:$K$340,Capacity_Reservations!$B$5:$B$340,$B14,Capacity_Reservations!$D$5:$D$340,"DR",Capacity_Reservations!$E$5:$E$340,Request!A20),0)</f>
        <v/>
      </c>
      <c r="CY14" s="24">
        <f>IF(CP14=1,MIN(SUMIFS(Quota_Groups!$H$5:$H$60,Quota_Groups!$C$5:$C$60,$B14,Quota_Groups!$E$5:$E$60,Request!E20),SUMIFS(Quota_Groups!$P$5:$P$60,Quota_Groups!$C$5:$C$60,$B14,Quota_Groups!$E$5:$E$60,"Eadsv5")),0)</f>
        <v/>
      </c>
      <c r="CZ14" s="24">
        <f>IF(CP14=1,SUMIFS(Quota_Groups!$F$5:$F$60,Quota_Groups!$C$5:$C$60,$B14,Quota_Groups!$E$5:$E$60,Request!E20),0)</f>
        <v/>
      </c>
      <c r="DA14" s="24">
        <f>IF(CP14=1,SUMIFS(Quota_Groups!$M$5:$M$60,Quota_Groups!$C$5:$C$60,$B14,Quota_Groups!$E$5:$E$60,Request!E20),0)</f>
        <v/>
      </c>
    </row>
    <row r="15">
      <c r="A15" s="6">
        <f>Region_Catalogue!A15</f>
        <v/>
      </c>
      <c r="B15" s="6">
        <f>Region_Catalogue!B15</f>
        <v/>
      </c>
      <c r="C15" s="15">
        <f>Region_Catalogue!C15</f>
        <v/>
      </c>
      <c r="D15" s="15">
        <f>Region_Catalogue!G15</f>
        <v/>
      </c>
      <c r="E15" s="15">
        <f>Region_Catalogue!E15</f>
        <v/>
      </c>
      <c r="F15" s="15">
        <f>Region_Catalogue!F15</f>
        <v/>
      </c>
      <c r="G15" s="42">
        <f>Region_Catalogue!D15</f>
        <v/>
      </c>
      <c r="H15" s="42">
        <f>Region_Catalogue!H15</f>
        <v/>
      </c>
      <c r="I15" s="43">
        <f>Region_Catalogue!I15</f>
        <v/>
      </c>
      <c r="J15" s="24">
        <f>IF(AND(Request!A13&lt;&gt;"",ISNUMBER(Request!B13),Request!B13&gt;0),1,0)</f>
        <v/>
      </c>
      <c r="K15" s="24">
        <f>IF(J15=1,Request!D13,0)</f>
        <v/>
      </c>
      <c r="L15" s="25">
        <f>IF(J15=1,Request!E13,"")</f>
        <v/>
      </c>
      <c r="M15" s="24">
        <f>IF(J15=1,SUMIFS(Capacity_Reservations!$L$5:$L$340,Capacity_Reservations!$B$5:$B$340,$B15,Capacity_Reservations!$D$5:$D$340,"Prod",Capacity_Reservations!$E$5:$E$340,Request!A13),0)</f>
        <v/>
      </c>
      <c r="N15" s="24">
        <f>IF(J15=1,SUMIFS(Capacity_Reservations!$K$5:$K$340,Capacity_Reservations!$B$5:$B$340,$B15,Capacity_Reservations!$D$5:$D$340,"Prod",Capacity_Reservations!$E$5:$E$340,Request!A13),0)</f>
        <v/>
      </c>
      <c r="O15" s="24">
        <f>IF(J15=1,SUMIFS(Capacity_Reservations!$L$5:$L$340,Capacity_Reservations!$B$5:$B$340,$B15,Capacity_Reservations!$D$5:$D$340,"NonProd",Capacity_Reservations!$E$5:$E$340,Request!A13),0)</f>
        <v/>
      </c>
      <c r="P15" s="24">
        <f>IF(J15=1,SUMIFS(Capacity_Reservations!$K$5:$K$340,Capacity_Reservations!$B$5:$B$340,$B15,Capacity_Reservations!$D$5:$D$340,"NonProd",Capacity_Reservations!$E$5:$E$340,Request!A13),0)</f>
        <v/>
      </c>
      <c r="Q15" s="24">
        <f>IF(J15=1,SUMIFS(Capacity_Reservations!$L$5:$L$340,Capacity_Reservations!$B$5:$B$340,$B15,Capacity_Reservations!$D$5:$D$340,"DR",Capacity_Reservations!$E$5:$E$340,Request!A13),0)</f>
        <v/>
      </c>
      <c r="R15" s="24">
        <f>IF(J15=1,SUMIFS(Capacity_Reservations!$K$5:$K$340,Capacity_Reservations!$B$5:$B$340,$B15,Capacity_Reservations!$D$5:$D$340,"DR",Capacity_Reservations!$E$5:$E$340,Request!A13),0)</f>
        <v/>
      </c>
      <c r="S15" s="24">
        <f>IF(J15=1,MIN(SUMIFS(Quota_Groups!$H$5:$H$60,Quota_Groups!$C$5:$C$60,$B15,Quota_Groups!$E$5:$E$60,Request!E13),SUMIFS(Quota_Groups!$P$5:$P$60,Quota_Groups!$C$5:$C$60,$B15,Quota_Groups!$E$5:$E$60,"Eadsv5")),0)</f>
        <v/>
      </c>
      <c r="T15" s="24">
        <f>IF(J15=1,SUMIFS(Quota_Groups!$F$5:$F$60,Quota_Groups!$C$5:$C$60,$B15,Quota_Groups!$E$5:$E$60,Request!E13),0)</f>
        <v/>
      </c>
      <c r="U15" s="24">
        <f>IF(J15=1,SUMIFS(Quota_Groups!$M$5:$M$60,Quota_Groups!$C$5:$C$60,$B15,Quota_Groups!$E$5:$E$60,Request!E13),0)</f>
        <v/>
      </c>
      <c r="V15" s="24">
        <f>IF(AND(Request!A14&lt;&gt;"",ISNUMBER(Request!B14),Request!B14&gt;0),1,0)</f>
        <v/>
      </c>
      <c r="W15" s="24">
        <f>IF(V15=1,Request!D14,0)</f>
        <v/>
      </c>
      <c r="X15" s="25">
        <f>IF(V15=1,Request!E14,"")</f>
        <v/>
      </c>
      <c r="Y15" s="24">
        <f>IF(V15=1,SUMIFS(Capacity_Reservations!$L$5:$L$340,Capacity_Reservations!$B$5:$B$340,$B15,Capacity_Reservations!$D$5:$D$340,"Prod",Capacity_Reservations!$E$5:$E$340,Request!A14),0)</f>
        <v/>
      </c>
      <c r="Z15" s="24">
        <f>IF(V15=1,SUMIFS(Capacity_Reservations!$K$5:$K$340,Capacity_Reservations!$B$5:$B$340,$B15,Capacity_Reservations!$D$5:$D$340,"Prod",Capacity_Reservations!$E$5:$E$340,Request!A14),0)</f>
        <v/>
      </c>
      <c r="AA15" s="24">
        <f>IF(V15=1,SUMIFS(Capacity_Reservations!$L$5:$L$340,Capacity_Reservations!$B$5:$B$340,$B15,Capacity_Reservations!$D$5:$D$340,"NonProd",Capacity_Reservations!$E$5:$E$340,Request!A14),0)</f>
        <v/>
      </c>
      <c r="AB15" s="24">
        <f>IF(V15=1,SUMIFS(Capacity_Reservations!$K$5:$K$340,Capacity_Reservations!$B$5:$B$340,$B15,Capacity_Reservations!$D$5:$D$340,"NonProd",Capacity_Reservations!$E$5:$E$340,Request!A14),0)</f>
        <v/>
      </c>
      <c r="AC15" s="24">
        <f>IF(V15=1,SUMIFS(Capacity_Reservations!$L$5:$L$340,Capacity_Reservations!$B$5:$B$340,$B15,Capacity_Reservations!$D$5:$D$340,"DR",Capacity_Reservations!$E$5:$E$340,Request!A14),0)</f>
        <v/>
      </c>
      <c r="AD15" s="24">
        <f>IF(V15=1,SUMIFS(Capacity_Reservations!$K$5:$K$340,Capacity_Reservations!$B$5:$B$340,$B15,Capacity_Reservations!$D$5:$D$340,"DR",Capacity_Reservations!$E$5:$E$340,Request!A14),0)</f>
        <v/>
      </c>
      <c r="AE15" s="24">
        <f>IF(V15=1,MIN(SUMIFS(Quota_Groups!$H$5:$H$60,Quota_Groups!$C$5:$C$60,$B15,Quota_Groups!$E$5:$E$60,Request!E14),SUMIFS(Quota_Groups!$P$5:$P$60,Quota_Groups!$C$5:$C$60,$B15,Quota_Groups!$E$5:$E$60,"Eadsv5")),0)</f>
        <v/>
      </c>
      <c r="AF15" s="24">
        <f>IF(V15=1,SUMIFS(Quota_Groups!$F$5:$F$60,Quota_Groups!$C$5:$C$60,$B15,Quota_Groups!$E$5:$E$60,Request!E14),0)</f>
        <v/>
      </c>
      <c r="AG15" s="24">
        <f>IF(V15=1,SUMIFS(Quota_Groups!$M$5:$M$60,Quota_Groups!$C$5:$C$60,$B15,Quota_Groups!$E$5:$E$60,Request!E14),0)</f>
        <v/>
      </c>
      <c r="AH15" s="24">
        <f>IF(AND(Request!A15&lt;&gt;"",ISNUMBER(Request!B15),Request!B15&gt;0),1,0)</f>
        <v/>
      </c>
      <c r="AI15" s="24">
        <f>IF(AH15=1,Request!D15,0)</f>
        <v/>
      </c>
      <c r="AJ15" s="25">
        <f>IF(AH15=1,Request!E15,"")</f>
        <v/>
      </c>
      <c r="AK15" s="24">
        <f>IF(AH15=1,SUMIFS(Capacity_Reservations!$L$5:$L$340,Capacity_Reservations!$B$5:$B$340,$B15,Capacity_Reservations!$D$5:$D$340,"Prod",Capacity_Reservations!$E$5:$E$340,Request!A15),0)</f>
        <v/>
      </c>
      <c r="AL15" s="24">
        <f>IF(AH15=1,SUMIFS(Capacity_Reservations!$K$5:$K$340,Capacity_Reservations!$B$5:$B$340,$B15,Capacity_Reservations!$D$5:$D$340,"Prod",Capacity_Reservations!$E$5:$E$340,Request!A15),0)</f>
        <v/>
      </c>
      <c r="AM15" s="24">
        <f>IF(AH15=1,SUMIFS(Capacity_Reservations!$L$5:$L$340,Capacity_Reservations!$B$5:$B$340,$B15,Capacity_Reservations!$D$5:$D$340,"NonProd",Capacity_Reservations!$E$5:$E$340,Request!A15),0)</f>
        <v/>
      </c>
      <c r="AN15" s="24">
        <f>IF(AH15=1,SUMIFS(Capacity_Reservations!$K$5:$K$340,Capacity_Reservations!$B$5:$B$340,$B15,Capacity_Reservations!$D$5:$D$340,"NonProd",Capacity_Reservations!$E$5:$E$340,Request!A15),0)</f>
        <v/>
      </c>
      <c r="AO15" s="24">
        <f>IF(AH15=1,SUMIFS(Capacity_Reservations!$L$5:$L$340,Capacity_Reservations!$B$5:$B$340,$B15,Capacity_Reservations!$D$5:$D$340,"DR",Capacity_Reservations!$E$5:$E$340,Request!A15),0)</f>
        <v/>
      </c>
      <c r="AP15" s="24">
        <f>IF(AH15=1,SUMIFS(Capacity_Reservations!$K$5:$K$340,Capacity_Reservations!$B$5:$B$340,$B15,Capacity_Reservations!$D$5:$D$340,"DR",Capacity_Reservations!$E$5:$E$340,Request!A15),0)</f>
        <v/>
      </c>
      <c r="AQ15" s="24">
        <f>IF(AH15=1,MIN(SUMIFS(Quota_Groups!$H$5:$H$60,Quota_Groups!$C$5:$C$60,$B15,Quota_Groups!$E$5:$E$60,Request!E15),SUMIFS(Quota_Groups!$P$5:$P$60,Quota_Groups!$C$5:$C$60,$B15,Quota_Groups!$E$5:$E$60,"Eadsv5")),0)</f>
        <v/>
      </c>
      <c r="AR15" s="24">
        <f>IF(AH15=1,SUMIFS(Quota_Groups!$F$5:$F$60,Quota_Groups!$C$5:$C$60,$B15,Quota_Groups!$E$5:$E$60,Request!E15),0)</f>
        <v/>
      </c>
      <c r="AS15" s="24">
        <f>IF(AH15=1,SUMIFS(Quota_Groups!$M$5:$M$60,Quota_Groups!$C$5:$C$60,$B15,Quota_Groups!$E$5:$E$60,Request!E15),0)</f>
        <v/>
      </c>
      <c r="AT15" s="24">
        <f>IF(AND(Request!A16&lt;&gt;"",ISNUMBER(Request!B16),Request!B16&gt;0),1,0)</f>
        <v/>
      </c>
      <c r="AU15" s="24">
        <f>IF(AT15=1,Request!D16,0)</f>
        <v/>
      </c>
      <c r="AV15" s="25">
        <f>IF(AT15=1,Request!E16,"")</f>
        <v/>
      </c>
      <c r="AW15" s="24">
        <f>IF(AT15=1,SUMIFS(Capacity_Reservations!$L$5:$L$340,Capacity_Reservations!$B$5:$B$340,$B15,Capacity_Reservations!$D$5:$D$340,"Prod",Capacity_Reservations!$E$5:$E$340,Request!A16),0)</f>
        <v/>
      </c>
      <c r="AX15" s="24">
        <f>IF(AT15=1,SUMIFS(Capacity_Reservations!$K$5:$K$340,Capacity_Reservations!$B$5:$B$340,$B15,Capacity_Reservations!$D$5:$D$340,"Prod",Capacity_Reservations!$E$5:$E$340,Request!A16),0)</f>
        <v/>
      </c>
      <c r="AY15" s="24">
        <f>IF(AT15=1,SUMIFS(Capacity_Reservations!$L$5:$L$340,Capacity_Reservations!$B$5:$B$340,$B15,Capacity_Reservations!$D$5:$D$340,"NonProd",Capacity_Reservations!$E$5:$E$340,Request!A16),0)</f>
        <v/>
      </c>
      <c r="AZ15" s="24">
        <f>IF(AT15=1,SUMIFS(Capacity_Reservations!$K$5:$K$340,Capacity_Reservations!$B$5:$B$340,$B15,Capacity_Reservations!$D$5:$D$340,"NonProd",Capacity_Reservations!$E$5:$E$340,Request!A16),0)</f>
        <v/>
      </c>
      <c r="BA15" s="24">
        <f>IF(AT15=1,SUMIFS(Capacity_Reservations!$L$5:$L$340,Capacity_Reservations!$B$5:$B$340,$B15,Capacity_Reservations!$D$5:$D$340,"DR",Capacity_Reservations!$E$5:$E$340,Request!A16),0)</f>
        <v/>
      </c>
      <c r="BB15" s="24">
        <f>IF(AT15=1,SUMIFS(Capacity_Reservations!$K$5:$K$340,Capacity_Reservations!$B$5:$B$340,$B15,Capacity_Reservations!$D$5:$D$340,"DR",Capacity_Reservations!$E$5:$E$340,Request!A16),0)</f>
        <v/>
      </c>
      <c r="BC15" s="24">
        <f>IF(AT15=1,MIN(SUMIFS(Quota_Groups!$H$5:$H$60,Quota_Groups!$C$5:$C$60,$B15,Quota_Groups!$E$5:$E$60,Request!E16),SUMIFS(Quota_Groups!$P$5:$P$60,Quota_Groups!$C$5:$C$60,$B15,Quota_Groups!$E$5:$E$60,"Eadsv5")),0)</f>
        <v/>
      </c>
      <c r="BD15" s="24">
        <f>IF(AT15=1,SUMIFS(Quota_Groups!$F$5:$F$60,Quota_Groups!$C$5:$C$60,$B15,Quota_Groups!$E$5:$E$60,Request!E16),0)</f>
        <v/>
      </c>
      <c r="BE15" s="24">
        <f>IF(AT15=1,SUMIFS(Quota_Groups!$M$5:$M$60,Quota_Groups!$C$5:$C$60,$B15,Quota_Groups!$E$5:$E$60,Request!E16),0)</f>
        <v/>
      </c>
      <c r="BF15" s="24">
        <f>IF(AND(Request!A17&lt;&gt;"",ISNUMBER(Request!B17),Request!B17&gt;0),1,0)</f>
        <v/>
      </c>
      <c r="BG15" s="24">
        <f>IF(BF15=1,Request!D17,0)</f>
        <v/>
      </c>
      <c r="BH15" s="25">
        <f>IF(BF15=1,Request!E17,"")</f>
        <v/>
      </c>
      <c r="BI15" s="24">
        <f>IF(BF15=1,SUMIFS(Capacity_Reservations!$L$5:$L$340,Capacity_Reservations!$B$5:$B$340,$B15,Capacity_Reservations!$D$5:$D$340,"Prod",Capacity_Reservations!$E$5:$E$340,Request!A17),0)</f>
        <v/>
      </c>
      <c r="BJ15" s="24">
        <f>IF(BF15=1,SUMIFS(Capacity_Reservations!$K$5:$K$340,Capacity_Reservations!$B$5:$B$340,$B15,Capacity_Reservations!$D$5:$D$340,"Prod",Capacity_Reservations!$E$5:$E$340,Request!A17),0)</f>
        <v/>
      </c>
      <c r="BK15" s="24">
        <f>IF(BF15=1,SUMIFS(Capacity_Reservations!$L$5:$L$340,Capacity_Reservations!$B$5:$B$340,$B15,Capacity_Reservations!$D$5:$D$340,"NonProd",Capacity_Reservations!$E$5:$E$340,Request!A17),0)</f>
        <v/>
      </c>
      <c r="BL15" s="24">
        <f>IF(BF15=1,SUMIFS(Capacity_Reservations!$K$5:$K$340,Capacity_Reservations!$B$5:$B$340,$B15,Capacity_Reservations!$D$5:$D$340,"NonProd",Capacity_Reservations!$E$5:$E$340,Request!A17),0)</f>
        <v/>
      </c>
      <c r="BM15" s="24">
        <f>IF(BF15=1,SUMIFS(Capacity_Reservations!$L$5:$L$340,Capacity_Reservations!$B$5:$B$340,$B15,Capacity_Reservations!$D$5:$D$340,"DR",Capacity_Reservations!$E$5:$E$340,Request!A17),0)</f>
        <v/>
      </c>
      <c r="BN15" s="24">
        <f>IF(BF15=1,SUMIFS(Capacity_Reservations!$K$5:$K$340,Capacity_Reservations!$B$5:$B$340,$B15,Capacity_Reservations!$D$5:$D$340,"DR",Capacity_Reservations!$E$5:$E$340,Request!A17),0)</f>
        <v/>
      </c>
      <c r="BO15" s="24">
        <f>IF(BF15=1,MIN(SUMIFS(Quota_Groups!$H$5:$H$60,Quota_Groups!$C$5:$C$60,$B15,Quota_Groups!$E$5:$E$60,Request!E17),SUMIFS(Quota_Groups!$P$5:$P$60,Quota_Groups!$C$5:$C$60,$B15,Quota_Groups!$E$5:$E$60,"Eadsv5")),0)</f>
        <v/>
      </c>
      <c r="BP15" s="24">
        <f>IF(BF15=1,SUMIFS(Quota_Groups!$F$5:$F$60,Quota_Groups!$C$5:$C$60,$B15,Quota_Groups!$E$5:$E$60,Request!E17),0)</f>
        <v/>
      </c>
      <c r="BQ15" s="24">
        <f>IF(BF15=1,SUMIFS(Quota_Groups!$M$5:$M$60,Quota_Groups!$C$5:$C$60,$B15,Quota_Groups!$E$5:$E$60,Request!E17),0)</f>
        <v/>
      </c>
      <c r="BR15" s="24">
        <f>IF(AND(Request!A18&lt;&gt;"",ISNUMBER(Request!B18),Request!B18&gt;0),1,0)</f>
        <v/>
      </c>
      <c r="BS15" s="24">
        <f>IF(BR15=1,Request!D18,0)</f>
        <v/>
      </c>
      <c r="BT15" s="25">
        <f>IF(BR15=1,Request!E18,"")</f>
        <v/>
      </c>
      <c r="BU15" s="24">
        <f>IF(BR15=1,SUMIFS(Capacity_Reservations!$L$5:$L$340,Capacity_Reservations!$B$5:$B$340,$B15,Capacity_Reservations!$D$5:$D$340,"Prod",Capacity_Reservations!$E$5:$E$340,Request!A18),0)</f>
        <v/>
      </c>
      <c r="BV15" s="24">
        <f>IF(BR15=1,SUMIFS(Capacity_Reservations!$K$5:$K$340,Capacity_Reservations!$B$5:$B$340,$B15,Capacity_Reservations!$D$5:$D$340,"Prod",Capacity_Reservations!$E$5:$E$340,Request!A18),0)</f>
        <v/>
      </c>
      <c r="BW15" s="24">
        <f>IF(BR15=1,SUMIFS(Capacity_Reservations!$L$5:$L$340,Capacity_Reservations!$B$5:$B$340,$B15,Capacity_Reservations!$D$5:$D$340,"NonProd",Capacity_Reservations!$E$5:$E$340,Request!A18),0)</f>
        <v/>
      </c>
      <c r="BX15" s="24">
        <f>IF(BR15=1,SUMIFS(Capacity_Reservations!$K$5:$K$340,Capacity_Reservations!$B$5:$B$340,$B15,Capacity_Reservations!$D$5:$D$340,"NonProd",Capacity_Reservations!$E$5:$E$340,Request!A18),0)</f>
        <v/>
      </c>
      <c r="BY15" s="24">
        <f>IF(BR15=1,SUMIFS(Capacity_Reservations!$L$5:$L$340,Capacity_Reservations!$B$5:$B$340,$B15,Capacity_Reservations!$D$5:$D$340,"DR",Capacity_Reservations!$E$5:$E$340,Request!A18),0)</f>
        <v/>
      </c>
      <c r="BZ15" s="24">
        <f>IF(BR15=1,SUMIFS(Capacity_Reservations!$K$5:$K$340,Capacity_Reservations!$B$5:$B$340,$B15,Capacity_Reservations!$D$5:$D$340,"DR",Capacity_Reservations!$E$5:$E$340,Request!A18),0)</f>
        <v/>
      </c>
      <c r="CA15" s="24">
        <f>IF(BR15=1,MIN(SUMIFS(Quota_Groups!$H$5:$H$60,Quota_Groups!$C$5:$C$60,$B15,Quota_Groups!$E$5:$E$60,Request!E18),SUMIFS(Quota_Groups!$P$5:$P$60,Quota_Groups!$C$5:$C$60,$B15,Quota_Groups!$E$5:$E$60,"Eadsv5")),0)</f>
        <v/>
      </c>
      <c r="CB15" s="24">
        <f>IF(BR15=1,SUMIFS(Quota_Groups!$F$5:$F$60,Quota_Groups!$C$5:$C$60,$B15,Quota_Groups!$E$5:$E$60,Request!E18),0)</f>
        <v/>
      </c>
      <c r="CC15" s="24">
        <f>IF(BR15=1,SUMIFS(Quota_Groups!$M$5:$M$60,Quota_Groups!$C$5:$C$60,$B15,Quota_Groups!$E$5:$E$60,Request!E18),0)</f>
        <v/>
      </c>
      <c r="CD15" s="24">
        <f>IF(AND(Request!A19&lt;&gt;"",ISNUMBER(Request!B19),Request!B19&gt;0),1,0)</f>
        <v/>
      </c>
      <c r="CE15" s="24">
        <f>IF(CD15=1,Request!D19,0)</f>
        <v/>
      </c>
      <c r="CF15" s="25">
        <f>IF(CD15=1,Request!E19,"")</f>
        <v/>
      </c>
      <c r="CG15" s="24">
        <f>IF(CD15=1,SUMIFS(Capacity_Reservations!$L$5:$L$340,Capacity_Reservations!$B$5:$B$340,$B15,Capacity_Reservations!$D$5:$D$340,"Prod",Capacity_Reservations!$E$5:$E$340,Request!A19),0)</f>
        <v/>
      </c>
      <c r="CH15" s="24">
        <f>IF(CD15=1,SUMIFS(Capacity_Reservations!$K$5:$K$340,Capacity_Reservations!$B$5:$B$340,$B15,Capacity_Reservations!$D$5:$D$340,"Prod",Capacity_Reservations!$E$5:$E$340,Request!A19),0)</f>
        <v/>
      </c>
      <c r="CI15" s="24">
        <f>IF(CD15=1,SUMIFS(Capacity_Reservations!$L$5:$L$340,Capacity_Reservations!$B$5:$B$340,$B15,Capacity_Reservations!$D$5:$D$340,"NonProd",Capacity_Reservations!$E$5:$E$340,Request!A19),0)</f>
        <v/>
      </c>
      <c r="CJ15" s="24">
        <f>IF(CD15=1,SUMIFS(Capacity_Reservations!$K$5:$K$340,Capacity_Reservations!$B$5:$B$340,$B15,Capacity_Reservations!$D$5:$D$340,"NonProd",Capacity_Reservations!$E$5:$E$340,Request!A19),0)</f>
        <v/>
      </c>
      <c r="CK15" s="24">
        <f>IF(CD15=1,SUMIFS(Capacity_Reservations!$L$5:$L$340,Capacity_Reservations!$B$5:$B$340,$B15,Capacity_Reservations!$D$5:$D$340,"DR",Capacity_Reservations!$E$5:$E$340,Request!A19),0)</f>
        <v/>
      </c>
      <c r="CL15" s="24">
        <f>IF(CD15=1,SUMIFS(Capacity_Reservations!$K$5:$K$340,Capacity_Reservations!$B$5:$B$340,$B15,Capacity_Reservations!$D$5:$D$340,"DR",Capacity_Reservations!$E$5:$E$340,Request!A19),0)</f>
        <v/>
      </c>
      <c r="CM15" s="24">
        <f>IF(CD15=1,MIN(SUMIFS(Quota_Groups!$H$5:$H$60,Quota_Groups!$C$5:$C$60,$B15,Quota_Groups!$E$5:$E$60,Request!E19),SUMIFS(Quota_Groups!$P$5:$P$60,Quota_Groups!$C$5:$C$60,$B15,Quota_Groups!$E$5:$E$60,"Eadsv5")),0)</f>
        <v/>
      </c>
      <c r="CN15" s="24">
        <f>IF(CD15=1,SUMIFS(Quota_Groups!$F$5:$F$60,Quota_Groups!$C$5:$C$60,$B15,Quota_Groups!$E$5:$E$60,Request!E19),0)</f>
        <v/>
      </c>
      <c r="CO15" s="24">
        <f>IF(CD15=1,SUMIFS(Quota_Groups!$M$5:$M$60,Quota_Groups!$C$5:$C$60,$B15,Quota_Groups!$E$5:$E$60,Request!E19),0)</f>
        <v/>
      </c>
      <c r="CP15" s="24">
        <f>IF(AND(Request!A20&lt;&gt;"",ISNUMBER(Request!B20),Request!B20&gt;0),1,0)</f>
        <v/>
      </c>
      <c r="CQ15" s="24">
        <f>IF(CP15=1,Request!D20,0)</f>
        <v/>
      </c>
      <c r="CR15" s="25">
        <f>IF(CP15=1,Request!E20,"")</f>
        <v/>
      </c>
      <c r="CS15" s="24">
        <f>IF(CP15=1,SUMIFS(Capacity_Reservations!$L$5:$L$340,Capacity_Reservations!$B$5:$B$340,$B15,Capacity_Reservations!$D$5:$D$340,"Prod",Capacity_Reservations!$E$5:$E$340,Request!A20),0)</f>
        <v/>
      </c>
      <c r="CT15" s="24">
        <f>IF(CP15=1,SUMIFS(Capacity_Reservations!$K$5:$K$340,Capacity_Reservations!$B$5:$B$340,$B15,Capacity_Reservations!$D$5:$D$340,"Prod",Capacity_Reservations!$E$5:$E$340,Request!A20),0)</f>
        <v/>
      </c>
      <c r="CU15" s="24">
        <f>IF(CP15=1,SUMIFS(Capacity_Reservations!$L$5:$L$340,Capacity_Reservations!$B$5:$B$340,$B15,Capacity_Reservations!$D$5:$D$340,"NonProd",Capacity_Reservations!$E$5:$E$340,Request!A20),0)</f>
        <v/>
      </c>
      <c r="CV15" s="24">
        <f>IF(CP15=1,SUMIFS(Capacity_Reservations!$K$5:$K$340,Capacity_Reservations!$B$5:$B$340,$B15,Capacity_Reservations!$D$5:$D$340,"NonProd",Capacity_Reservations!$E$5:$E$340,Request!A20),0)</f>
        <v/>
      </c>
      <c r="CW15" s="24">
        <f>IF(CP15=1,SUMIFS(Capacity_Reservations!$L$5:$L$340,Capacity_Reservations!$B$5:$B$340,$B15,Capacity_Reservations!$D$5:$D$340,"DR",Capacity_Reservations!$E$5:$E$340,Request!A20),0)</f>
        <v/>
      </c>
      <c r="CX15" s="24">
        <f>IF(CP15=1,SUMIFS(Capacity_Reservations!$K$5:$K$340,Capacity_Reservations!$B$5:$B$340,$B15,Capacity_Reservations!$D$5:$D$340,"DR",Capacity_Reservations!$E$5:$E$340,Request!A20),0)</f>
        <v/>
      </c>
      <c r="CY15" s="24">
        <f>IF(CP15=1,MIN(SUMIFS(Quota_Groups!$H$5:$H$60,Quota_Groups!$C$5:$C$60,$B15,Quota_Groups!$E$5:$E$60,Request!E20),SUMIFS(Quota_Groups!$P$5:$P$60,Quota_Groups!$C$5:$C$60,$B15,Quota_Groups!$E$5:$E$60,"Eadsv5")),0)</f>
        <v/>
      </c>
      <c r="CZ15" s="24">
        <f>IF(CP15=1,SUMIFS(Quota_Groups!$F$5:$F$60,Quota_Groups!$C$5:$C$60,$B15,Quota_Groups!$E$5:$E$60,Request!E20),0)</f>
        <v/>
      </c>
      <c r="DA15" s="24">
        <f>IF(CP15=1,SUMIFS(Quota_Groups!$M$5:$M$60,Quota_Groups!$C$5:$C$60,$B15,Quota_Groups!$E$5:$E$60,Request!E20),0)</f>
        <v/>
      </c>
    </row>
    <row r="16">
      <c r="A16" s="6">
        <f>Region_Catalogue!A16</f>
        <v/>
      </c>
      <c r="B16" s="6">
        <f>Region_Catalogue!B16</f>
        <v/>
      </c>
      <c r="C16" s="15">
        <f>Region_Catalogue!C16</f>
        <v/>
      </c>
      <c r="D16" s="15">
        <f>Region_Catalogue!G16</f>
        <v/>
      </c>
      <c r="E16" s="15">
        <f>Region_Catalogue!E16</f>
        <v/>
      </c>
      <c r="F16" s="15">
        <f>Region_Catalogue!F16</f>
        <v/>
      </c>
      <c r="G16" s="42">
        <f>Region_Catalogue!D16</f>
        <v/>
      </c>
      <c r="H16" s="42">
        <f>Region_Catalogue!H16</f>
        <v/>
      </c>
      <c r="I16" s="43">
        <f>Region_Catalogue!I16</f>
        <v/>
      </c>
      <c r="J16" s="24">
        <f>IF(AND(Request!A13&lt;&gt;"",ISNUMBER(Request!B13),Request!B13&gt;0),1,0)</f>
        <v/>
      </c>
      <c r="K16" s="24">
        <f>IF(J16=1,Request!D13,0)</f>
        <v/>
      </c>
      <c r="L16" s="25">
        <f>IF(J16=1,Request!E13,"")</f>
        <v/>
      </c>
      <c r="M16" s="24">
        <f>IF(J16=1,SUMIFS(Capacity_Reservations!$L$5:$L$340,Capacity_Reservations!$B$5:$B$340,$B16,Capacity_Reservations!$D$5:$D$340,"Prod",Capacity_Reservations!$E$5:$E$340,Request!A13),0)</f>
        <v/>
      </c>
      <c r="N16" s="24">
        <f>IF(J16=1,SUMIFS(Capacity_Reservations!$K$5:$K$340,Capacity_Reservations!$B$5:$B$340,$B16,Capacity_Reservations!$D$5:$D$340,"Prod",Capacity_Reservations!$E$5:$E$340,Request!A13),0)</f>
        <v/>
      </c>
      <c r="O16" s="24">
        <f>IF(J16=1,SUMIFS(Capacity_Reservations!$L$5:$L$340,Capacity_Reservations!$B$5:$B$340,$B16,Capacity_Reservations!$D$5:$D$340,"NonProd",Capacity_Reservations!$E$5:$E$340,Request!A13),0)</f>
        <v/>
      </c>
      <c r="P16" s="24">
        <f>IF(J16=1,SUMIFS(Capacity_Reservations!$K$5:$K$340,Capacity_Reservations!$B$5:$B$340,$B16,Capacity_Reservations!$D$5:$D$340,"NonProd",Capacity_Reservations!$E$5:$E$340,Request!A13),0)</f>
        <v/>
      </c>
      <c r="Q16" s="24">
        <f>IF(J16=1,SUMIFS(Capacity_Reservations!$L$5:$L$340,Capacity_Reservations!$B$5:$B$340,$B16,Capacity_Reservations!$D$5:$D$340,"DR",Capacity_Reservations!$E$5:$E$340,Request!A13),0)</f>
        <v/>
      </c>
      <c r="R16" s="24">
        <f>IF(J16=1,SUMIFS(Capacity_Reservations!$K$5:$K$340,Capacity_Reservations!$B$5:$B$340,$B16,Capacity_Reservations!$D$5:$D$340,"DR",Capacity_Reservations!$E$5:$E$340,Request!A13),0)</f>
        <v/>
      </c>
      <c r="S16" s="24">
        <f>IF(J16=1,MIN(SUMIFS(Quota_Groups!$H$5:$H$60,Quota_Groups!$C$5:$C$60,$B16,Quota_Groups!$E$5:$E$60,Request!E13),SUMIFS(Quota_Groups!$P$5:$P$60,Quota_Groups!$C$5:$C$60,$B16,Quota_Groups!$E$5:$E$60,"Eadsv5")),0)</f>
        <v/>
      </c>
      <c r="T16" s="24">
        <f>IF(J16=1,SUMIFS(Quota_Groups!$F$5:$F$60,Quota_Groups!$C$5:$C$60,$B16,Quota_Groups!$E$5:$E$60,Request!E13),0)</f>
        <v/>
      </c>
      <c r="U16" s="24">
        <f>IF(J16=1,SUMIFS(Quota_Groups!$M$5:$M$60,Quota_Groups!$C$5:$C$60,$B16,Quota_Groups!$E$5:$E$60,Request!E13),0)</f>
        <v/>
      </c>
      <c r="V16" s="24">
        <f>IF(AND(Request!A14&lt;&gt;"",ISNUMBER(Request!B14),Request!B14&gt;0),1,0)</f>
        <v/>
      </c>
      <c r="W16" s="24">
        <f>IF(V16=1,Request!D14,0)</f>
        <v/>
      </c>
      <c r="X16" s="25">
        <f>IF(V16=1,Request!E14,"")</f>
        <v/>
      </c>
      <c r="Y16" s="24">
        <f>IF(V16=1,SUMIFS(Capacity_Reservations!$L$5:$L$340,Capacity_Reservations!$B$5:$B$340,$B16,Capacity_Reservations!$D$5:$D$340,"Prod",Capacity_Reservations!$E$5:$E$340,Request!A14),0)</f>
        <v/>
      </c>
      <c r="Z16" s="24">
        <f>IF(V16=1,SUMIFS(Capacity_Reservations!$K$5:$K$340,Capacity_Reservations!$B$5:$B$340,$B16,Capacity_Reservations!$D$5:$D$340,"Prod",Capacity_Reservations!$E$5:$E$340,Request!A14),0)</f>
        <v/>
      </c>
      <c r="AA16" s="24">
        <f>IF(V16=1,SUMIFS(Capacity_Reservations!$L$5:$L$340,Capacity_Reservations!$B$5:$B$340,$B16,Capacity_Reservations!$D$5:$D$340,"NonProd",Capacity_Reservations!$E$5:$E$340,Request!A14),0)</f>
        <v/>
      </c>
      <c r="AB16" s="24">
        <f>IF(V16=1,SUMIFS(Capacity_Reservations!$K$5:$K$340,Capacity_Reservations!$B$5:$B$340,$B16,Capacity_Reservations!$D$5:$D$340,"NonProd",Capacity_Reservations!$E$5:$E$340,Request!A14),0)</f>
        <v/>
      </c>
      <c r="AC16" s="24">
        <f>IF(V16=1,SUMIFS(Capacity_Reservations!$L$5:$L$340,Capacity_Reservations!$B$5:$B$340,$B16,Capacity_Reservations!$D$5:$D$340,"DR",Capacity_Reservations!$E$5:$E$340,Request!A14),0)</f>
        <v/>
      </c>
      <c r="AD16" s="24">
        <f>IF(V16=1,SUMIFS(Capacity_Reservations!$K$5:$K$340,Capacity_Reservations!$B$5:$B$340,$B16,Capacity_Reservations!$D$5:$D$340,"DR",Capacity_Reservations!$E$5:$E$340,Request!A14),0)</f>
        <v/>
      </c>
      <c r="AE16" s="24">
        <f>IF(V16=1,MIN(SUMIFS(Quota_Groups!$H$5:$H$60,Quota_Groups!$C$5:$C$60,$B16,Quota_Groups!$E$5:$E$60,Request!E14),SUMIFS(Quota_Groups!$P$5:$P$60,Quota_Groups!$C$5:$C$60,$B16,Quota_Groups!$E$5:$E$60,"Eadsv5")),0)</f>
        <v/>
      </c>
      <c r="AF16" s="24">
        <f>IF(V16=1,SUMIFS(Quota_Groups!$F$5:$F$60,Quota_Groups!$C$5:$C$60,$B16,Quota_Groups!$E$5:$E$60,Request!E14),0)</f>
        <v/>
      </c>
      <c r="AG16" s="24">
        <f>IF(V16=1,SUMIFS(Quota_Groups!$M$5:$M$60,Quota_Groups!$C$5:$C$60,$B16,Quota_Groups!$E$5:$E$60,Request!E14),0)</f>
        <v/>
      </c>
      <c r="AH16" s="24">
        <f>IF(AND(Request!A15&lt;&gt;"",ISNUMBER(Request!B15),Request!B15&gt;0),1,0)</f>
        <v/>
      </c>
      <c r="AI16" s="24">
        <f>IF(AH16=1,Request!D15,0)</f>
        <v/>
      </c>
      <c r="AJ16" s="25">
        <f>IF(AH16=1,Request!E15,"")</f>
        <v/>
      </c>
      <c r="AK16" s="24">
        <f>IF(AH16=1,SUMIFS(Capacity_Reservations!$L$5:$L$340,Capacity_Reservations!$B$5:$B$340,$B16,Capacity_Reservations!$D$5:$D$340,"Prod",Capacity_Reservations!$E$5:$E$340,Request!A15),0)</f>
        <v/>
      </c>
      <c r="AL16" s="24">
        <f>IF(AH16=1,SUMIFS(Capacity_Reservations!$K$5:$K$340,Capacity_Reservations!$B$5:$B$340,$B16,Capacity_Reservations!$D$5:$D$340,"Prod",Capacity_Reservations!$E$5:$E$340,Request!A15),0)</f>
        <v/>
      </c>
      <c r="AM16" s="24">
        <f>IF(AH16=1,SUMIFS(Capacity_Reservations!$L$5:$L$340,Capacity_Reservations!$B$5:$B$340,$B16,Capacity_Reservations!$D$5:$D$340,"NonProd",Capacity_Reservations!$E$5:$E$340,Request!A15),0)</f>
        <v/>
      </c>
      <c r="AN16" s="24">
        <f>IF(AH16=1,SUMIFS(Capacity_Reservations!$K$5:$K$340,Capacity_Reservations!$B$5:$B$340,$B16,Capacity_Reservations!$D$5:$D$340,"NonProd",Capacity_Reservations!$E$5:$E$340,Request!A15),0)</f>
        <v/>
      </c>
      <c r="AO16" s="24">
        <f>IF(AH16=1,SUMIFS(Capacity_Reservations!$L$5:$L$340,Capacity_Reservations!$B$5:$B$340,$B16,Capacity_Reservations!$D$5:$D$340,"DR",Capacity_Reservations!$E$5:$E$340,Request!A15),0)</f>
        <v/>
      </c>
      <c r="AP16" s="24">
        <f>IF(AH16=1,SUMIFS(Capacity_Reservations!$K$5:$K$340,Capacity_Reservations!$B$5:$B$340,$B16,Capacity_Reservations!$D$5:$D$340,"DR",Capacity_Reservations!$E$5:$E$340,Request!A15),0)</f>
        <v/>
      </c>
      <c r="AQ16" s="24">
        <f>IF(AH16=1,MIN(SUMIFS(Quota_Groups!$H$5:$H$60,Quota_Groups!$C$5:$C$60,$B16,Quota_Groups!$E$5:$E$60,Request!E15),SUMIFS(Quota_Groups!$P$5:$P$60,Quota_Groups!$C$5:$C$60,$B16,Quota_Groups!$E$5:$E$60,"Eadsv5")),0)</f>
        <v/>
      </c>
      <c r="AR16" s="24">
        <f>IF(AH16=1,SUMIFS(Quota_Groups!$F$5:$F$60,Quota_Groups!$C$5:$C$60,$B16,Quota_Groups!$E$5:$E$60,Request!E15),0)</f>
        <v/>
      </c>
      <c r="AS16" s="24">
        <f>IF(AH16=1,SUMIFS(Quota_Groups!$M$5:$M$60,Quota_Groups!$C$5:$C$60,$B16,Quota_Groups!$E$5:$E$60,Request!E15),0)</f>
        <v/>
      </c>
      <c r="AT16" s="24">
        <f>IF(AND(Request!A16&lt;&gt;"",ISNUMBER(Request!B16),Request!B16&gt;0),1,0)</f>
        <v/>
      </c>
      <c r="AU16" s="24">
        <f>IF(AT16=1,Request!D16,0)</f>
        <v/>
      </c>
      <c r="AV16" s="25">
        <f>IF(AT16=1,Request!E16,"")</f>
        <v/>
      </c>
      <c r="AW16" s="24">
        <f>IF(AT16=1,SUMIFS(Capacity_Reservations!$L$5:$L$340,Capacity_Reservations!$B$5:$B$340,$B16,Capacity_Reservations!$D$5:$D$340,"Prod",Capacity_Reservations!$E$5:$E$340,Request!A16),0)</f>
        <v/>
      </c>
      <c r="AX16" s="24">
        <f>IF(AT16=1,SUMIFS(Capacity_Reservations!$K$5:$K$340,Capacity_Reservations!$B$5:$B$340,$B16,Capacity_Reservations!$D$5:$D$340,"Prod",Capacity_Reservations!$E$5:$E$340,Request!A16),0)</f>
        <v/>
      </c>
      <c r="AY16" s="24">
        <f>IF(AT16=1,SUMIFS(Capacity_Reservations!$L$5:$L$340,Capacity_Reservations!$B$5:$B$340,$B16,Capacity_Reservations!$D$5:$D$340,"NonProd",Capacity_Reservations!$E$5:$E$340,Request!A16),0)</f>
        <v/>
      </c>
      <c r="AZ16" s="24">
        <f>IF(AT16=1,SUMIFS(Capacity_Reservations!$K$5:$K$340,Capacity_Reservations!$B$5:$B$340,$B16,Capacity_Reservations!$D$5:$D$340,"NonProd",Capacity_Reservations!$E$5:$E$340,Request!A16),0)</f>
        <v/>
      </c>
      <c r="BA16" s="24">
        <f>IF(AT16=1,SUMIFS(Capacity_Reservations!$L$5:$L$340,Capacity_Reservations!$B$5:$B$340,$B16,Capacity_Reservations!$D$5:$D$340,"DR",Capacity_Reservations!$E$5:$E$340,Request!A16),0)</f>
        <v/>
      </c>
      <c r="BB16" s="24">
        <f>IF(AT16=1,SUMIFS(Capacity_Reservations!$K$5:$K$340,Capacity_Reservations!$B$5:$B$340,$B16,Capacity_Reservations!$D$5:$D$340,"DR",Capacity_Reservations!$E$5:$E$340,Request!A16),0)</f>
        <v/>
      </c>
      <c r="BC16" s="24">
        <f>IF(AT16=1,MIN(SUMIFS(Quota_Groups!$H$5:$H$60,Quota_Groups!$C$5:$C$60,$B16,Quota_Groups!$E$5:$E$60,Request!E16),SUMIFS(Quota_Groups!$P$5:$P$60,Quota_Groups!$C$5:$C$60,$B16,Quota_Groups!$E$5:$E$60,"Eadsv5")),0)</f>
        <v/>
      </c>
      <c r="BD16" s="24">
        <f>IF(AT16=1,SUMIFS(Quota_Groups!$F$5:$F$60,Quota_Groups!$C$5:$C$60,$B16,Quota_Groups!$E$5:$E$60,Request!E16),0)</f>
        <v/>
      </c>
      <c r="BE16" s="24">
        <f>IF(AT16=1,SUMIFS(Quota_Groups!$M$5:$M$60,Quota_Groups!$C$5:$C$60,$B16,Quota_Groups!$E$5:$E$60,Request!E16),0)</f>
        <v/>
      </c>
      <c r="BF16" s="24">
        <f>IF(AND(Request!A17&lt;&gt;"",ISNUMBER(Request!B17),Request!B17&gt;0),1,0)</f>
        <v/>
      </c>
      <c r="BG16" s="24">
        <f>IF(BF16=1,Request!D17,0)</f>
        <v/>
      </c>
      <c r="BH16" s="25">
        <f>IF(BF16=1,Request!E17,"")</f>
        <v/>
      </c>
      <c r="BI16" s="24">
        <f>IF(BF16=1,SUMIFS(Capacity_Reservations!$L$5:$L$340,Capacity_Reservations!$B$5:$B$340,$B16,Capacity_Reservations!$D$5:$D$340,"Prod",Capacity_Reservations!$E$5:$E$340,Request!A17),0)</f>
        <v/>
      </c>
      <c r="BJ16" s="24">
        <f>IF(BF16=1,SUMIFS(Capacity_Reservations!$K$5:$K$340,Capacity_Reservations!$B$5:$B$340,$B16,Capacity_Reservations!$D$5:$D$340,"Prod",Capacity_Reservations!$E$5:$E$340,Request!A17),0)</f>
        <v/>
      </c>
      <c r="BK16" s="24">
        <f>IF(BF16=1,SUMIFS(Capacity_Reservations!$L$5:$L$340,Capacity_Reservations!$B$5:$B$340,$B16,Capacity_Reservations!$D$5:$D$340,"NonProd",Capacity_Reservations!$E$5:$E$340,Request!A17),0)</f>
        <v/>
      </c>
      <c r="BL16" s="24">
        <f>IF(BF16=1,SUMIFS(Capacity_Reservations!$K$5:$K$340,Capacity_Reservations!$B$5:$B$340,$B16,Capacity_Reservations!$D$5:$D$340,"NonProd",Capacity_Reservations!$E$5:$E$340,Request!A17),0)</f>
        <v/>
      </c>
      <c r="BM16" s="24">
        <f>IF(BF16=1,SUMIFS(Capacity_Reservations!$L$5:$L$340,Capacity_Reservations!$B$5:$B$340,$B16,Capacity_Reservations!$D$5:$D$340,"DR",Capacity_Reservations!$E$5:$E$340,Request!A17),0)</f>
        <v/>
      </c>
      <c r="BN16" s="24">
        <f>IF(BF16=1,SUMIFS(Capacity_Reservations!$K$5:$K$340,Capacity_Reservations!$B$5:$B$340,$B16,Capacity_Reservations!$D$5:$D$340,"DR",Capacity_Reservations!$E$5:$E$340,Request!A17),0)</f>
        <v/>
      </c>
      <c r="BO16" s="24">
        <f>IF(BF16=1,MIN(SUMIFS(Quota_Groups!$H$5:$H$60,Quota_Groups!$C$5:$C$60,$B16,Quota_Groups!$E$5:$E$60,Request!E17),SUMIFS(Quota_Groups!$P$5:$P$60,Quota_Groups!$C$5:$C$60,$B16,Quota_Groups!$E$5:$E$60,"Eadsv5")),0)</f>
        <v/>
      </c>
      <c r="BP16" s="24">
        <f>IF(BF16=1,SUMIFS(Quota_Groups!$F$5:$F$60,Quota_Groups!$C$5:$C$60,$B16,Quota_Groups!$E$5:$E$60,Request!E17),0)</f>
        <v/>
      </c>
      <c r="BQ16" s="24">
        <f>IF(BF16=1,SUMIFS(Quota_Groups!$M$5:$M$60,Quota_Groups!$C$5:$C$60,$B16,Quota_Groups!$E$5:$E$60,Request!E17),0)</f>
        <v/>
      </c>
      <c r="BR16" s="24">
        <f>IF(AND(Request!A18&lt;&gt;"",ISNUMBER(Request!B18),Request!B18&gt;0),1,0)</f>
        <v/>
      </c>
      <c r="BS16" s="24">
        <f>IF(BR16=1,Request!D18,0)</f>
        <v/>
      </c>
      <c r="BT16" s="25">
        <f>IF(BR16=1,Request!E18,"")</f>
        <v/>
      </c>
      <c r="BU16" s="24">
        <f>IF(BR16=1,SUMIFS(Capacity_Reservations!$L$5:$L$340,Capacity_Reservations!$B$5:$B$340,$B16,Capacity_Reservations!$D$5:$D$340,"Prod",Capacity_Reservations!$E$5:$E$340,Request!A18),0)</f>
        <v/>
      </c>
      <c r="BV16" s="24">
        <f>IF(BR16=1,SUMIFS(Capacity_Reservations!$K$5:$K$340,Capacity_Reservations!$B$5:$B$340,$B16,Capacity_Reservations!$D$5:$D$340,"Prod",Capacity_Reservations!$E$5:$E$340,Request!A18),0)</f>
        <v/>
      </c>
      <c r="BW16" s="24">
        <f>IF(BR16=1,SUMIFS(Capacity_Reservations!$L$5:$L$340,Capacity_Reservations!$B$5:$B$340,$B16,Capacity_Reservations!$D$5:$D$340,"NonProd",Capacity_Reservations!$E$5:$E$340,Request!A18),0)</f>
        <v/>
      </c>
      <c r="BX16" s="24">
        <f>IF(BR16=1,SUMIFS(Capacity_Reservations!$K$5:$K$340,Capacity_Reservations!$B$5:$B$340,$B16,Capacity_Reservations!$D$5:$D$340,"NonProd",Capacity_Reservations!$E$5:$E$340,Request!A18),0)</f>
        <v/>
      </c>
      <c r="BY16" s="24">
        <f>IF(BR16=1,SUMIFS(Capacity_Reservations!$L$5:$L$340,Capacity_Reservations!$B$5:$B$340,$B16,Capacity_Reservations!$D$5:$D$340,"DR",Capacity_Reservations!$E$5:$E$340,Request!A18),0)</f>
        <v/>
      </c>
      <c r="BZ16" s="24">
        <f>IF(BR16=1,SUMIFS(Capacity_Reservations!$K$5:$K$340,Capacity_Reservations!$B$5:$B$340,$B16,Capacity_Reservations!$D$5:$D$340,"DR",Capacity_Reservations!$E$5:$E$340,Request!A18),0)</f>
        <v/>
      </c>
      <c r="CA16" s="24">
        <f>IF(BR16=1,MIN(SUMIFS(Quota_Groups!$H$5:$H$60,Quota_Groups!$C$5:$C$60,$B16,Quota_Groups!$E$5:$E$60,Request!E18),SUMIFS(Quota_Groups!$P$5:$P$60,Quota_Groups!$C$5:$C$60,$B16,Quota_Groups!$E$5:$E$60,"Eadsv5")),0)</f>
        <v/>
      </c>
      <c r="CB16" s="24">
        <f>IF(BR16=1,SUMIFS(Quota_Groups!$F$5:$F$60,Quota_Groups!$C$5:$C$60,$B16,Quota_Groups!$E$5:$E$60,Request!E18),0)</f>
        <v/>
      </c>
      <c r="CC16" s="24">
        <f>IF(BR16=1,SUMIFS(Quota_Groups!$M$5:$M$60,Quota_Groups!$C$5:$C$60,$B16,Quota_Groups!$E$5:$E$60,Request!E18),0)</f>
        <v/>
      </c>
      <c r="CD16" s="24">
        <f>IF(AND(Request!A19&lt;&gt;"",ISNUMBER(Request!B19),Request!B19&gt;0),1,0)</f>
        <v/>
      </c>
      <c r="CE16" s="24">
        <f>IF(CD16=1,Request!D19,0)</f>
        <v/>
      </c>
      <c r="CF16" s="25">
        <f>IF(CD16=1,Request!E19,"")</f>
        <v/>
      </c>
      <c r="CG16" s="24">
        <f>IF(CD16=1,SUMIFS(Capacity_Reservations!$L$5:$L$340,Capacity_Reservations!$B$5:$B$340,$B16,Capacity_Reservations!$D$5:$D$340,"Prod",Capacity_Reservations!$E$5:$E$340,Request!A19),0)</f>
        <v/>
      </c>
      <c r="CH16" s="24">
        <f>IF(CD16=1,SUMIFS(Capacity_Reservations!$K$5:$K$340,Capacity_Reservations!$B$5:$B$340,$B16,Capacity_Reservations!$D$5:$D$340,"Prod",Capacity_Reservations!$E$5:$E$340,Request!A19),0)</f>
        <v/>
      </c>
      <c r="CI16" s="24">
        <f>IF(CD16=1,SUMIFS(Capacity_Reservations!$L$5:$L$340,Capacity_Reservations!$B$5:$B$340,$B16,Capacity_Reservations!$D$5:$D$340,"NonProd",Capacity_Reservations!$E$5:$E$340,Request!A19),0)</f>
        <v/>
      </c>
      <c r="CJ16" s="24">
        <f>IF(CD16=1,SUMIFS(Capacity_Reservations!$K$5:$K$340,Capacity_Reservations!$B$5:$B$340,$B16,Capacity_Reservations!$D$5:$D$340,"NonProd",Capacity_Reservations!$E$5:$E$340,Request!A19),0)</f>
        <v/>
      </c>
      <c r="CK16" s="24">
        <f>IF(CD16=1,SUMIFS(Capacity_Reservations!$L$5:$L$340,Capacity_Reservations!$B$5:$B$340,$B16,Capacity_Reservations!$D$5:$D$340,"DR",Capacity_Reservations!$E$5:$E$340,Request!A19),0)</f>
        <v/>
      </c>
      <c r="CL16" s="24">
        <f>IF(CD16=1,SUMIFS(Capacity_Reservations!$K$5:$K$340,Capacity_Reservations!$B$5:$B$340,$B16,Capacity_Reservations!$D$5:$D$340,"DR",Capacity_Reservations!$E$5:$E$340,Request!A19),0)</f>
        <v/>
      </c>
      <c r="CM16" s="24">
        <f>IF(CD16=1,MIN(SUMIFS(Quota_Groups!$H$5:$H$60,Quota_Groups!$C$5:$C$60,$B16,Quota_Groups!$E$5:$E$60,Request!E19),SUMIFS(Quota_Groups!$P$5:$P$60,Quota_Groups!$C$5:$C$60,$B16,Quota_Groups!$E$5:$E$60,"Eadsv5")),0)</f>
        <v/>
      </c>
      <c r="CN16" s="24">
        <f>IF(CD16=1,SUMIFS(Quota_Groups!$F$5:$F$60,Quota_Groups!$C$5:$C$60,$B16,Quota_Groups!$E$5:$E$60,Request!E19),0)</f>
        <v/>
      </c>
      <c r="CO16" s="24">
        <f>IF(CD16=1,SUMIFS(Quota_Groups!$M$5:$M$60,Quota_Groups!$C$5:$C$60,$B16,Quota_Groups!$E$5:$E$60,Request!E19),0)</f>
        <v/>
      </c>
      <c r="CP16" s="24">
        <f>IF(AND(Request!A20&lt;&gt;"",ISNUMBER(Request!B20),Request!B20&gt;0),1,0)</f>
        <v/>
      </c>
      <c r="CQ16" s="24">
        <f>IF(CP16=1,Request!D20,0)</f>
        <v/>
      </c>
      <c r="CR16" s="25">
        <f>IF(CP16=1,Request!E20,"")</f>
        <v/>
      </c>
      <c r="CS16" s="24">
        <f>IF(CP16=1,SUMIFS(Capacity_Reservations!$L$5:$L$340,Capacity_Reservations!$B$5:$B$340,$B16,Capacity_Reservations!$D$5:$D$340,"Prod",Capacity_Reservations!$E$5:$E$340,Request!A20),0)</f>
        <v/>
      </c>
      <c r="CT16" s="24">
        <f>IF(CP16=1,SUMIFS(Capacity_Reservations!$K$5:$K$340,Capacity_Reservations!$B$5:$B$340,$B16,Capacity_Reservations!$D$5:$D$340,"Prod",Capacity_Reservations!$E$5:$E$340,Request!A20),0)</f>
        <v/>
      </c>
      <c r="CU16" s="24">
        <f>IF(CP16=1,SUMIFS(Capacity_Reservations!$L$5:$L$340,Capacity_Reservations!$B$5:$B$340,$B16,Capacity_Reservations!$D$5:$D$340,"NonProd",Capacity_Reservations!$E$5:$E$340,Request!A20),0)</f>
        <v/>
      </c>
      <c r="CV16" s="24">
        <f>IF(CP16=1,SUMIFS(Capacity_Reservations!$K$5:$K$340,Capacity_Reservations!$B$5:$B$340,$B16,Capacity_Reservations!$D$5:$D$340,"NonProd",Capacity_Reservations!$E$5:$E$340,Request!A20),0)</f>
        <v/>
      </c>
      <c r="CW16" s="24">
        <f>IF(CP16=1,SUMIFS(Capacity_Reservations!$L$5:$L$340,Capacity_Reservations!$B$5:$B$340,$B16,Capacity_Reservations!$D$5:$D$340,"DR",Capacity_Reservations!$E$5:$E$340,Request!A20),0)</f>
        <v/>
      </c>
      <c r="CX16" s="24">
        <f>IF(CP16=1,SUMIFS(Capacity_Reservations!$K$5:$K$340,Capacity_Reservations!$B$5:$B$340,$B16,Capacity_Reservations!$D$5:$D$340,"DR",Capacity_Reservations!$E$5:$E$340,Request!A20),0)</f>
        <v/>
      </c>
      <c r="CY16" s="24">
        <f>IF(CP16=1,MIN(SUMIFS(Quota_Groups!$H$5:$H$60,Quota_Groups!$C$5:$C$60,$B16,Quota_Groups!$E$5:$E$60,Request!E20),SUMIFS(Quota_Groups!$P$5:$P$60,Quota_Groups!$C$5:$C$60,$B16,Quota_Groups!$E$5:$E$60,"Eadsv5")),0)</f>
        <v/>
      </c>
      <c r="CZ16" s="24">
        <f>IF(CP16=1,SUMIFS(Quota_Groups!$F$5:$F$60,Quota_Groups!$C$5:$C$60,$B16,Quota_Groups!$E$5:$E$60,Request!E20),0)</f>
        <v/>
      </c>
      <c r="DA16" s="24">
        <f>IF(CP16=1,SUMIFS(Quota_Groups!$M$5:$M$60,Quota_Groups!$C$5:$C$60,$B16,Quota_Groups!$E$5:$E$60,Request!E20),0)</f>
        <v/>
      </c>
    </row>
    <row r="17">
      <c r="A17" s="6">
        <f>Region_Catalogue!A17</f>
        <v/>
      </c>
      <c r="B17" s="6">
        <f>Region_Catalogue!B17</f>
        <v/>
      </c>
      <c r="C17" s="15">
        <f>Region_Catalogue!C17</f>
        <v/>
      </c>
      <c r="D17" s="15">
        <f>Region_Catalogue!G17</f>
        <v/>
      </c>
      <c r="E17" s="15">
        <f>Region_Catalogue!E17</f>
        <v/>
      </c>
      <c r="F17" s="15">
        <f>Region_Catalogue!F17</f>
        <v/>
      </c>
      <c r="G17" s="42">
        <f>Region_Catalogue!D17</f>
        <v/>
      </c>
      <c r="H17" s="42">
        <f>Region_Catalogue!H17</f>
        <v/>
      </c>
      <c r="I17" s="43">
        <f>Region_Catalogue!I17</f>
        <v/>
      </c>
      <c r="J17" s="24">
        <f>IF(AND(Request!A13&lt;&gt;"",ISNUMBER(Request!B13),Request!B13&gt;0),1,0)</f>
        <v/>
      </c>
      <c r="K17" s="24">
        <f>IF(J17=1,Request!D13,0)</f>
        <v/>
      </c>
      <c r="L17" s="25">
        <f>IF(J17=1,Request!E13,"")</f>
        <v/>
      </c>
      <c r="M17" s="24">
        <f>IF(J17=1,SUMIFS(Capacity_Reservations!$L$5:$L$340,Capacity_Reservations!$B$5:$B$340,$B17,Capacity_Reservations!$D$5:$D$340,"Prod",Capacity_Reservations!$E$5:$E$340,Request!A13),0)</f>
        <v/>
      </c>
      <c r="N17" s="24">
        <f>IF(J17=1,SUMIFS(Capacity_Reservations!$K$5:$K$340,Capacity_Reservations!$B$5:$B$340,$B17,Capacity_Reservations!$D$5:$D$340,"Prod",Capacity_Reservations!$E$5:$E$340,Request!A13),0)</f>
        <v/>
      </c>
      <c r="O17" s="24">
        <f>IF(J17=1,SUMIFS(Capacity_Reservations!$L$5:$L$340,Capacity_Reservations!$B$5:$B$340,$B17,Capacity_Reservations!$D$5:$D$340,"NonProd",Capacity_Reservations!$E$5:$E$340,Request!A13),0)</f>
        <v/>
      </c>
      <c r="P17" s="24">
        <f>IF(J17=1,SUMIFS(Capacity_Reservations!$K$5:$K$340,Capacity_Reservations!$B$5:$B$340,$B17,Capacity_Reservations!$D$5:$D$340,"NonProd",Capacity_Reservations!$E$5:$E$340,Request!A13),0)</f>
        <v/>
      </c>
      <c r="Q17" s="24">
        <f>IF(J17=1,SUMIFS(Capacity_Reservations!$L$5:$L$340,Capacity_Reservations!$B$5:$B$340,$B17,Capacity_Reservations!$D$5:$D$340,"DR",Capacity_Reservations!$E$5:$E$340,Request!A13),0)</f>
        <v/>
      </c>
      <c r="R17" s="24">
        <f>IF(J17=1,SUMIFS(Capacity_Reservations!$K$5:$K$340,Capacity_Reservations!$B$5:$B$340,$B17,Capacity_Reservations!$D$5:$D$340,"DR",Capacity_Reservations!$E$5:$E$340,Request!A13),0)</f>
        <v/>
      </c>
      <c r="S17" s="24">
        <f>IF(J17=1,MIN(SUMIFS(Quota_Groups!$H$5:$H$60,Quota_Groups!$C$5:$C$60,$B17,Quota_Groups!$E$5:$E$60,Request!E13),SUMIFS(Quota_Groups!$P$5:$P$60,Quota_Groups!$C$5:$C$60,$B17,Quota_Groups!$E$5:$E$60,"Eadsv5")),0)</f>
        <v/>
      </c>
      <c r="T17" s="24">
        <f>IF(J17=1,SUMIFS(Quota_Groups!$F$5:$F$60,Quota_Groups!$C$5:$C$60,$B17,Quota_Groups!$E$5:$E$60,Request!E13),0)</f>
        <v/>
      </c>
      <c r="U17" s="24">
        <f>IF(J17=1,SUMIFS(Quota_Groups!$M$5:$M$60,Quota_Groups!$C$5:$C$60,$B17,Quota_Groups!$E$5:$E$60,Request!E13),0)</f>
        <v/>
      </c>
      <c r="V17" s="24">
        <f>IF(AND(Request!A14&lt;&gt;"",ISNUMBER(Request!B14),Request!B14&gt;0),1,0)</f>
        <v/>
      </c>
      <c r="W17" s="24">
        <f>IF(V17=1,Request!D14,0)</f>
        <v/>
      </c>
      <c r="X17" s="25">
        <f>IF(V17=1,Request!E14,"")</f>
        <v/>
      </c>
      <c r="Y17" s="24">
        <f>IF(V17=1,SUMIFS(Capacity_Reservations!$L$5:$L$340,Capacity_Reservations!$B$5:$B$340,$B17,Capacity_Reservations!$D$5:$D$340,"Prod",Capacity_Reservations!$E$5:$E$340,Request!A14),0)</f>
        <v/>
      </c>
      <c r="Z17" s="24">
        <f>IF(V17=1,SUMIFS(Capacity_Reservations!$K$5:$K$340,Capacity_Reservations!$B$5:$B$340,$B17,Capacity_Reservations!$D$5:$D$340,"Prod",Capacity_Reservations!$E$5:$E$340,Request!A14),0)</f>
        <v/>
      </c>
      <c r="AA17" s="24">
        <f>IF(V17=1,SUMIFS(Capacity_Reservations!$L$5:$L$340,Capacity_Reservations!$B$5:$B$340,$B17,Capacity_Reservations!$D$5:$D$340,"NonProd",Capacity_Reservations!$E$5:$E$340,Request!A14),0)</f>
        <v/>
      </c>
      <c r="AB17" s="24">
        <f>IF(V17=1,SUMIFS(Capacity_Reservations!$K$5:$K$340,Capacity_Reservations!$B$5:$B$340,$B17,Capacity_Reservations!$D$5:$D$340,"NonProd",Capacity_Reservations!$E$5:$E$340,Request!A14),0)</f>
        <v/>
      </c>
      <c r="AC17" s="24">
        <f>IF(V17=1,SUMIFS(Capacity_Reservations!$L$5:$L$340,Capacity_Reservations!$B$5:$B$340,$B17,Capacity_Reservations!$D$5:$D$340,"DR",Capacity_Reservations!$E$5:$E$340,Request!A14),0)</f>
        <v/>
      </c>
      <c r="AD17" s="24">
        <f>IF(V17=1,SUMIFS(Capacity_Reservations!$K$5:$K$340,Capacity_Reservations!$B$5:$B$340,$B17,Capacity_Reservations!$D$5:$D$340,"DR",Capacity_Reservations!$E$5:$E$340,Request!A14),0)</f>
        <v/>
      </c>
      <c r="AE17" s="24">
        <f>IF(V17=1,MIN(SUMIFS(Quota_Groups!$H$5:$H$60,Quota_Groups!$C$5:$C$60,$B17,Quota_Groups!$E$5:$E$60,Request!E14),SUMIFS(Quota_Groups!$P$5:$P$60,Quota_Groups!$C$5:$C$60,$B17,Quota_Groups!$E$5:$E$60,"Eadsv5")),0)</f>
        <v/>
      </c>
      <c r="AF17" s="24">
        <f>IF(V17=1,SUMIFS(Quota_Groups!$F$5:$F$60,Quota_Groups!$C$5:$C$60,$B17,Quota_Groups!$E$5:$E$60,Request!E14),0)</f>
        <v/>
      </c>
      <c r="AG17" s="24">
        <f>IF(V17=1,SUMIFS(Quota_Groups!$M$5:$M$60,Quota_Groups!$C$5:$C$60,$B17,Quota_Groups!$E$5:$E$60,Request!E14),0)</f>
        <v/>
      </c>
      <c r="AH17" s="24">
        <f>IF(AND(Request!A15&lt;&gt;"",ISNUMBER(Request!B15),Request!B15&gt;0),1,0)</f>
        <v/>
      </c>
      <c r="AI17" s="24">
        <f>IF(AH17=1,Request!D15,0)</f>
        <v/>
      </c>
      <c r="AJ17" s="25">
        <f>IF(AH17=1,Request!E15,"")</f>
        <v/>
      </c>
      <c r="AK17" s="24">
        <f>IF(AH17=1,SUMIFS(Capacity_Reservations!$L$5:$L$340,Capacity_Reservations!$B$5:$B$340,$B17,Capacity_Reservations!$D$5:$D$340,"Prod",Capacity_Reservations!$E$5:$E$340,Request!A15),0)</f>
        <v/>
      </c>
      <c r="AL17" s="24">
        <f>IF(AH17=1,SUMIFS(Capacity_Reservations!$K$5:$K$340,Capacity_Reservations!$B$5:$B$340,$B17,Capacity_Reservations!$D$5:$D$340,"Prod",Capacity_Reservations!$E$5:$E$340,Request!A15),0)</f>
        <v/>
      </c>
      <c r="AM17" s="24">
        <f>IF(AH17=1,SUMIFS(Capacity_Reservations!$L$5:$L$340,Capacity_Reservations!$B$5:$B$340,$B17,Capacity_Reservations!$D$5:$D$340,"NonProd",Capacity_Reservations!$E$5:$E$340,Request!A15),0)</f>
        <v/>
      </c>
      <c r="AN17" s="24">
        <f>IF(AH17=1,SUMIFS(Capacity_Reservations!$K$5:$K$340,Capacity_Reservations!$B$5:$B$340,$B17,Capacity_Reservations!$D$5:$D$340,"NonProd",Capacity_Reservations!$E$5:$E$340,Request!A15),0)</f>
        <v/>
      </c>
      <c r="AO17" s="24">
        <f>IF(AH17=1,SUMIFS(Capacity_Reservations!$L$5:$L$340,Capacity_Reservations!$B$5:$B$340,$B17,Capacity_Reservations!$D$5:$D$340,"DR",Capacity_Reservations!$E$5:$E$340,Request!A15),0)</f>
        <v/>
      </c>
      <c r="AP17" s="24">
        <f>IF(AH17=1,SUMIFS(Capacity_Reservations!$K$5:$K$340,Capacity_Reservations!$B$5:$B$340,$B17,Capacity_Reservations!$D$5:$D$340,"DR",Capacity_Reservations!$E$5:$E$340,Request!A15),0)</f>
        <v/>
      </c>
      <c r="AQ17" s="24">
        <f>IF(AH17=1,MIN(SUMIFS(Quota_Groups!$H$5:$H$60,Quota_Groups!$C$5:$C$60,$B17,Quota_Groups!$E$5:$E$60,Request!E15),SUMIFS(Quota_Groups!$P$5:$P$60,Quota_Groups!$C$5:$C$60,$B17,Quota_Groups!$E$5:$E$60,"Eadsv5")),0)</f>
        <v/>
      </c>
      <c r="AR17" s="24">
        <f>IF(AH17=1,SUMIFS(Quota_Groups!$F$5:$F$60,Quota_Groups!$C$5:$C$60,$B17,Quota_Groups!$E$5:$E$60,Request!E15),0)</f>
        <v/>
      </c>
      <c r="AS17" s="24">
        <f>IF(AH17=1,SUMIFS(Quota_Groups!$M$5:$M$60,Quota_Groups!$C$5:$C$60,$B17,Quota_Groups!$E$5:$E$60,Request!E15),0)</f>
        <v/>
      </c>
      <c r="AT17" s="24">
        <f>IF(AND(Request!A16&lt;&gt;"",ISNUMBER(Request!B16),Request!B16&gt;0),1,0)</f>
        <v/>
      </c>
      <c r="AU17" s="24">
        <f>IF(AT17=1,Request!D16,0)</f>
        <v/>
      </c>
      <c r="AV17" s="25">
        <f>IF(AT17=1,Request!E16,"")</f>
        <v/>
      </c>
      <c r="AW17" s="24">
        <f>IF(AT17=1,SUMIFS(Capacity_Reservations!$L$5:$L$340,Capacity_Reservations!$B$5:$B$340,$B17,Capacity_Reservations!$D$5:$D$340,"Prod",Capacity_Reservations!$E$5:$E$340,Request!A16),0)</f>
        <v/>
      </c>
      <c r="AX17" s="24">
        <f>IF(AT17=1,SUMIFS(Capacity_Reservations!$K$5:$K$340,Capacity_Reservations!$B$5:$B$340,$B17,Capacity_Reservations!$D$5:$D$340,"Prod",Capacity_Reservations!$E$5:$E$340,Request!A16),0)</f>
        <v/>
      </c>
      <c r="AY17" s="24">
        <f>IF(AT17=1,SUMIFS(Capacity_Reservations!$L$5:$L$340,Capacity_Reservations!$B$5:$B$340,$B17,Capacity_Reservations!$D$5:$D$340,"NonProd",Capacity_Reservations!$E$5:$E$340,Request!A16),0)</f>
        <v/>
      </c>
      <c r="AZ17" s="24">
        <f>IF(AT17=1,SUMIFS(Capacity_Reservations!$K$5:$K$340,Capacity_Reservations!$B$5:$B$340,$B17,Capacity_Reservations!$D$5:$D$340,"NonProd",Capacity_Reservations!$E$5:$E$340,Request!A16),0)</f>
        <v/>
      </c>
      <c r="BA17" s="24">
        <f>IF(AT17=1,SUMIFS(Capacity_Reservations!$L$5:$L$340,Capacity_Reservations!$B$5:$B$340,$B17,Capacity_Reservations!$D$5:$D$340,"DR",Capacity_Reservations!$E$5:$E$340,Request!A16),0)</f>
        <v/>
      </c>
      <c r="BB17" s="24">
        <f>IF(AT17=1,SUMIFS(Capacity_Reservations!$K$5:$K$340,Capacity_Reservations!$B$5:$B$340,$B17,Capacity_Reservations!$D$5:$D$340,"DR",Capacity_Reservations!$E$5:$E$340,Request!A16),0)</f>
        <v/>
      </c>
      <c r="BC17" s="24">
        <f>IF(AT17=1,MIN(SUMIFS(Quota_Groups!$H$5:$H$60,Quota_Groups!$C$5:$C$60,$B17,Quota_Groups!$E$5:$E$60,Request!E16),SUMIFS(Quota_Groups!$P$5:$P$60,Quota_Groups!$C$5:$C$60,$B17,Quota_Groups!$E$5:$E$60,"Eadsv5")),0)</f>
        <v/>
      </c>
      <c r="BD17" s="24">
        <f>IF(AT17=1,SUMIFS(Quota_Groups!$F$5:$F$60,Quota_Groups!$C$5:$C$60,$B17,Quota_Groups!$E$5:$E$60,Request!E16),0)</f>
        <v/>
      </c>
      <c r="BE17" s="24">
        <f>IF(AT17=1,SUMIFS(Quota_Groups!$M$5:$M$60,Quota_Groups!$C$5:$C$60,$B17,Quota_Groups!$E$5:$E$60,Request!E16),0)</f>
        <v/>
      </c>
      <c r="BF17" s="24">
        <f>IF(AND(Request!A17&lt;&gt;"",ISNUMBER(Request!B17),Request!B17&gt;0),1,0)</f>
        <v/>
      </c>
      <c r="BG17" s="24">
        <f>IF(BF17=1,Request!D17,0)</f>
        <v/>
      </c>
      <c r="BH17" s="25">
        <f>IF(BF17=1,Request!E17,"")</f>
        <v/>
      </c>
      <c r="BI17" s="24">
        <f>IF(BF17=1,SUMIFS(Capacity_Reservations!$L$5:$L$340,Capacity_Reservations!$B$5:$B$340,$B17,Capacity_Reservations!$D$5:$D$340,"Prod",Capacity_Reservations!$E$5:$E$340,Request!A17),0)</f>
        <v/>
      </c>
      <c r="BJ17" s="24">
        <f>IF(BF17=1,SUMIFS(Capacity_Reservations!$K$5:$K$340,Capacity_Reservations!$B$5:$B$340,$B17,Capacity_Reservations!$D$5:$D$340,"Prod",Capacity_Reservations!$E$5:$E$340,Request!A17),0)</f>
        <v/>
      </c>
      <c r="BK17" s="24">
        <f>IF(BF17=1,SUMIFS(Capacity_Reservations!$L$5:$L$340,Capacity_Reservations!$B$5:$B$340,$B17,Capacity_Reservations!$D$5:$D$340,"NonProd",Capacity_Reservations!$E$5:$E$340,Request!A17),0)</f>
        <v/>
      </c>
      <c r="BL17" s="24">
        <f>IF(BF17=1,SUMIFS(Capacity_Reservations!$K$5:$K$340,Capacity_Reservations!$B$5:$B$340,$B17,Capacity_Reservations!$D$5:$D$340,"NonProd",Capacity_Reservations!$E$5:$E$340,Request!A17),0)</f>
        <v/>
      </c>
      <c r="BM17" s="24">
        <f>IF(BF17=1,SUMIFS(Capacity_Reservations!$L$5:$L$340,Capacity_Reservations!$B$5:$B$340,$B17,Capacity_Reservations!$D$5:$D$340,"DR",Capacity_Reservations!$E$5:$E$340,Request!A17),0)</f>
        <v/>
      </c>
      <c r="BN17" s="24">
        <f>IF(BF17=1,SUMIFS(Capacity_Reservations!$K$5:$K$340,Capacity_Reservations!$B$5:$B$340,$B17,Capacity_Reservations!$D$5:$D$340,"DR",Capacity_Reservations!$E$5:$E$340,Request!A17),0)</f>
        <v/>
      </c>
      <c r="BO17" s="24">
        <f>IF(BF17=1,MIN(SUMIFS(Quota_Groups!$H$5:$H$60,Quota_Groups!$C$5:$C$60,$B17,Quota_Groups!$E$5:$E$60,Request!E17),SUMIFS(Quota_Groups!$P$5:$P$60,Quota_Groups!$C$5:$C$60,$B17,Quota_Groups!$E$5:$E$60,"Eadsv5")),0)</f>
        <v/>
      </c>
      <c r="BP17" s="24">
        <f>IF(BF17=1,SUMIFS(Quota_Groups!$F$5:$F$60,Quota_Groups!$C$5:$C$60,$B17,Quota_Groups!$E$5:$E$60,Request!E17),0)</f>
        <v/>
      </c>
      <c r="BQ17" s="24">
        <f>IF(BF17=1,SUMIFS(Quota_Groups!$M$5:$M$60,Quota_Groups!$C$5:$C$60,$B17,Quota_Groups!$E$5:$E$60,Request!E17),0)</f>
        <v/>
      </c>
      <c r="BR17" s="24">
        <f>IF(AND(Request!A18&lt;&gt;"",ISNUMBER(Request!B18),Request!B18&gt;0),1,0)</f>
        <v/>
      </c>
      <c r="BS17" s="24">
        <f>IF(BR17=1,Request!D18,0)</f>
        <v/>
      </c>
      <c r="BT17" s="25">
        <f>IF(BR17=1,Request!E18,"")</f>
        <v/>
      </c>
      <c r="BU17" s="24">
        <f>IF(BR17=1,SUMIFS(Capacity_Reservations!$L$5:$L$340,Capacity_Reservations!$B$5:$B$340,$B17,Capacity_Reservations!$D$5:$D$340,"Prod",Capacity_Reservations!$E$5:$E$340,Request!A18),0)</f>
        <v/>
      </c>
      <c r="BV17" s="24">
        <f>IF(BR17=1,SUMIFS(Capacity_Reservations!$K$5:$K$340,Capacity_Reservations!$B$5:$B$340,$B17,Capacity_Reservations!$D$5:$D$340,"Prod",Capacity_Reservations!$E$5:$E$340,Request!A18),0)</f>
        <v/>
      </c>
      <c r="BW17" s="24">
        <f>IF(BR17=1,SUMIFS(Capacity_Reservations!$L$5:$L$340,Capacity_Reservations!$B$5:$B$340,$B17,Capacity_Reservations!$D$5:$D$340,"NonProd",Capacity_Reservations!$E$5:$E$340,Request!A18),0)</f>
        <v/>
      </c>
      <c r="BX17" s="24">
        <f>IF(BR17=1,SUMIFS(Capacity_Reservations!$K$5:$K$340,Capacity_Reservations!$B$5:$B$340,$B17,Capacity_Reservations!$D$5:$D$340,"NonProd",Capacity_Reservations!$E$5:$E$340,Request!A18),0)</f>
        <v/>
      </c>
      <c r="BY17" s="24">
        <f>IF(BR17=1,SUMIFS(Capacity_Reservations!$L$5:$L$340,Capacity_Reservations!$B$5:$B$340,$B17,Capacity_Reservations!$D$5:$D$340,"DR",Capacity_Reservations!$E$5:$E$340,Request!A18),0)</f>
        <v/>
      </c>
      <c r="BZ17" s="24">
        <f>IF(BR17=1,SUMIFS(Capacity_Reservations!$K$5:$K$340,Capacity_Reservations!$B$5:$B$340,$B17,Capacity_Reservations!$D$5:$D$340,"DR",Capacity_Reservations!$E$5:$E$340,Request!A18),0)</f>
        <v/>
      </c>
      <c r="CA17" s="24">
        <f>IF(BR17=1,MIN(SUMIFS(Quota_Groups!$H$5:$H$60,Quota_Groups!$C$5:$C$60,$B17,Quota_Groups!$E$5:$E$60,Request!E18),SUMIFS(Quota_Groups!$P$5:$P$60,Quota_Groups!$C$5:$C$60,$B17,Quota_Groups!$E$5:$E$60,"Eadsv5")),0)</f>
        <v/>
      </c>
      <c r="CB17" s="24">
        <f>IF(BR17=1,SUMIFS(Quota_Groups!$F$5:$F$60,Quota_Groups!$C$5:$C$60,$B17,Quota_Groups!$E$5:$E$60,Request!E18),0)</f>
        <v/>
      </c>
      <c r="CC17" s="24">
        <f>IF(BR17=1,SUMIFS(Quota_Groups!$M$5:$M$60,Quota_Groups!$C$5:$C$60,$B17,Quota_Groups!$E$5:$E$60,Request!E18),0)</f>
        <v/>
      </c>
      <c r="CD17" s="24">
        <f>IF(AND(Request!A19&lt;&gt;"",ISNUMBER(Request!B19),Request!B19&gt;0),1,0)</f>
        <v/>
      </c>
      <c r="CE17" s="24">
        <f>IF(CD17=1,Request!D19,0)</f>
        <v/>
      </c>
      <c r="CF17" s="25">
        <f>IF(CD17=1,Request!E19,"")</f>
        <v/>
      </c>
      <c r="CG17" s="24">
        <f>IF(CD17=1,SUMIFS(Capacity_Reservations!$L$5:$L$340,Capacity_Reservations!$B$5:$B$340,$B17,Capacity_Reservations!$D$5:$D$340,"Prod",Capacity_Reservations!$E$5:$E$340,Request!A19),0)</f>
        <v/>
      </c>
      <c r="CH17" s="24">
        <f>IF(CD17=1,SUMIFS(Capacity_Reservations!$K$5:$K$340,Capacity_Reservations!$B$5:$B$340,$B17,Capacity_Reservations!$D$5:$D$340,"Prod",Capacity_Reservations!$E$5:$E$340,Request!A19),0)</f>
        <v/>
      </c>
      <c r="CI17" s="24">
        <f>IF(CD17=1,SUMIFS(Capacity_Reservations!$L$5:$L$340,Capacity_Reservations!$B$5:$B$340,$B17,Capacity_Reservations!$D$5:$D$340,"NonProd",Capacity_Reservations!$E$5:$E$340,Request!A19),0)</f>
        <v/>
      </c>
      <c r="CJ17" s="24">
        <f>IF(CD17=1,SUMIFS(Capacity_Reservations!$K$5:$K$340,Capacity_Reservations!$B$5:$B$340,$B17,Capacity_Reservations!$D$5:$D$340,"NonProd",Capacity_Reservations!$E$5:$E$340,Request!A19),0)</f>
        <v/>
      </c>
      <c r="CK17" s="24">
        <f>IF(CD17=1,SUMIFS(Capacity_Reservations!$L$5:$L$340,Capacity_Reservations!$B$5:$B$340,$B17,Capacity_Reservations!$D$5:$D$340,"DR",Capacity_Reservations!$E$5:$E$340,Request!A19),0)</f>
        <v/>
      </c>
      <c r="CL17" s="24">
        <f>IF(CD17=1,SUMIFS(Capacity_Reservations!$K$5:$K$340,Capacity_Reservations!$B$5:$B$340,$B17,Capacity_Reservations!$D$5:$D$340,"DR",Capacity_Reservations!$E$5:$E$340,Request!A19),0)</f>
        <v/>
      </c>
      <c r="CM17" s="24">
        <f>IF(CD17=1,MIN(SUMIFS(Quota_Groups!$H$5:$H$60,Quota_Groups!$C$5:$C$60,$B17,Quota_Groups!$E$5:$E$60,Request!E19),SUMIFS(Quota_Groups!$P$5:$P$60,Quota_Groups!$C$5:$C$60,$B17,Quota_Groups!$E$5:$E$60,"Eadsv5")),0)</f>
        <v/>
      </c>
      <c r="CN17" s="24">
        <f>IF(CD17=1,SUMIFS(Quota_Groups!$F$5:$F$60,Quota_Groups!$C$5:$C$60,$B17,Quota_Groups!$E$5:$E$60,Request!E19),0)</f>
        <v/>
      </c>
      <c r="CO17" s="24">
        <f>IF(CD17=1,SUMIFS(Quota_Groups!$M$5:$M$60,Quota_Groups!$C$5:$C$60,$B17,Quota_Groups!$E$5:$E$60,Request!E19),0)</f>
        <v/>
      </c>
      <c r="CP17" s="24">
        <f>IF(AND(Request!A20&lt;&gt;"",ISNUMBER(Request!B20),Request!B20&gt;0),1,0)</f>
        <v/>
      </c>
      <c r="CQ17" s="24">
        <f>IF(CP17=1,Request!D20,0)</f>
        <v/>
      </c>
      <c r="CR17" s="25">
        <f>IF(CP17=1,Request!E20,"")</f>
        <v/>
      </c>
      <c r="CS17" s="24">
        <f>IF(CP17=1,SUMIFS(Capacity_Reservations!$L$5:$L$340,Capacity_Reservations!$B$5:$B$340,$B17,Capacity_Reservations!$D$5:$D$340,"Prod",Capacity_Reservations!$E$5:$E$340,Request!A20),0)</f>
        <v/>
      </c>
      <c r="CT17" s="24">
        <f>IF(CP17=1,SUMIFS(Capacity_Reservations!$K$5:$K$340,Capacity_Reservations!$B$5:$B$340,$B17,Capacity_Reservations!$D$5:$D$340,"Prod",Capacity_Reservations!$E$5:$E$340,Request!A20),0)</f>
        <v/>
      </c>
      <c r="CU17" s="24">
        <f>IF(CP17=1,SUMIFS(Capacity_Reservations!$L$5:$L$340,Capacity_Reservations!$B$5:$B$340,$B17,Capacity_Reservations!$D$5:$D$340,"NonProd",Capacity_Reservations!$E$5:$E$340,Request!A20),0)</f>
        <v/>
      </c>
      <c r="CV17" s="24">
        <f>IF(CP17=1,SUMIFS(Capacity_Reservations!$K$5:$K$340,Capacity_Reservations!$B$5:$B$340,$B17,Capacity_Reservations!$D$5:$D$340,"NonProd",Capacity_Reservations!$E$5:$E$340,Request!A20),0)</f>
        <v/>
      </c>
      <c r="CW17" s="24">
        <f>IF(CP17=1,SUMIFS(Capacity_Reservations!$L$5:$L$340,Capacity_Reservations!$B$5:$B$340,$B17,Capacity_Reservations!$D$5:$D$340,"DR",Capacity_Reservations!$E$5:$E$340,Request!A20),0)</f>
        <v/>
      </c>
      <c r="CX17" s="24">
        <f>IF(CP17=1,SUMIFS(Capacity_Reservations!$K$5:$K$340,Capacity_Reservations!$B$5:$B$340,$B17,Capacity_Reservations!$D$5:$D$340,"DR",Capacity_Reservations!$E$5:$E$340,Request!A20),0)</f>
        <v/>
      </c>
      <c r="CY17" s="24">
        <f>IF(CP17=1,MIN(SUMIFS(Quota_Groups!$H$5:$H$60,Quota_Groups!$C$5:$C$60,$B17,Quota_Groups!$E$5:$E$60,Request!E20),SUMIFS(Quota_Groups!$P$5:$P$60,Quota_Groups!$C$5:$C$60,$B17,Quota_Groups!$E$5:$E$60,"Eadsv5")),0)</f>
        <v/>
      </c>
      <c r="CZ17" s="24">
        <f>IF(CP17=1,SUMIFS(Quota_Groups!$F$5:$F$60,Quota_Groups!$C$5:$C$60,$B17,Quota_Groups!$E$5:$E$60,Request!E20),0)</f>
        <v/>
      </c>
      <c r="DA17" s="24">
        <f>IF(CP17=1,SUMIFS(Quota_Groups!$M$5:$M$60,Quota_Groups!$C$5:$C$60,$B17,Quota_Groups!$E$5:$E$60,Request!E20),0)</f>
        <v/>
      </c>
    </row>
    <row r="18">
      <c r="A18" s="6">
        <f>Region_Catalogue!A18</f>
        <v/>
      </c>
      <c r="B18" s="6">
        <f>Region_Catalogue!B18</f>
        <v/>
      </c>
      <c r="C18" s="15">
        <f>Region_Catalogue!C18</f>
        <v/>
      </c>
      <c r="D18" s="15">
        <f>Region_Catalogue!G18</f>
        <v/>
      </c>
      <c r="E18" s="15">
        <f>Region_Catalogue!E18</f>
        <v/>
      </c>
      <c r="F18" s="15">
        <f>Region_Catalogue!F18</f>
        <v/>
      </c>
      <c r="G18" s="42">
        <f>Region_Catalogue!D18</f>
        <v/>
      </c>
      <c r="H18" s="42">
        <f>Region_Catalogue!H18</f>
        <v/>
      </c>
      <c r="I18" s="43">
        <f>Region_Catalogue!I18</f>
        <v/>
      </c>
      <c r="J18" s="24">
        <f>IF(AND(Request!A13&lt;&gt;"",ISNUMBER(Request!B13),Request!B13&gt;0),1,0)</f>
        <v/>
      </c>
      <c r="K18" s="24">
        <f>IF(J18=1,Request!D13,0)</f>
        <v/>
      </c>
      <c r="L18" s="25">
        <f>IF(J18=1,Request!E13,"")</f>
        <v/>
      </c>
      <c r="M18" s="24">
        <f>IF(J18=1,SUMIFS(Capacity_Reservations!$L$5:$L$340,Capacity_Reservations!$B$5:$B$340,$B18,Capacity_Reservations!$D$5:$D$340,"Prod",Capacity_Reservations!$E$5:$E$340,Request!A13),0)</f>
        <v/>
      </c>
      <c r="N18" s="24">
        <f>IF(J18=1,SUMIFS(Capacity_Reservations!$K$5:$K$340,Capacity_Reservations!$B$5:$B$340,$B18,Capacity_Reservations!$D$5:$D$340,"Prod",Capacity_Reservations!$E$5:$E$340,Request!A13),0)</f>
        <v/>
      </c>
      <c r="O18" s="24">
        <f>IF(J18=1,SUMIFS(Capacity_Reservations!$L$5:$L$340,Capacity_Reservations!$B$5:$B$340,$B18,Capacity_Reservations!$D$5:$D$340,"NonProd",Capacity_Reservations!$E$5:$E$340,Request!A13),0)</f>
        <v/>
      </c>
      <c r="P18" s="24">
        <f>IF(J18=1,SUMIFS(Capacity_Reservations!$K$5:$K$340,Capacity_Reservations!$B$5:$B$340,$B18,Capacity_Reservations!$D$5:$D$340,"NonProd",Capacity_Reservations!$E$5:$E$340,Request!A13),0)</f>
        <v/>
      </c>
      <c r="Q18" s="24">
        <f>IF(J18=1,SUMIFS(Capacity_Reservations!$L$5:$L$340,Capacity_Reservations!$B$5:$B$340,$B18,Capacity_Reservations!$D$5:$D$340,"DR",Capacity_Reservations!$E$5:$E$340,Request!A13),0)</f>
        <v/>
      </c>
      <c r="R18" s="24">
        <f>IF(J18=1,SUMIFS(Capacity_Reservations!$K$5:$K$340,Capacity_Reservations!$B$5:$B$340,$B18,Capacity_Reservations!$D$5:$D$340,"DR",Capacity_Reservations!$E$5:$E$340,Request!A13),0)</f>
        <v/>
      </c>
      <c r="S18" s="24">
        <f>IF(J18=1,MIN(SUMIFS(Quota_Groups!$H$5:$H$60,Quota_Groups!$C$5:$C$60,$B18,Quota_Groups!$E$5:$E$60,Request!E13),SUMIFS(Quota_Groups!$P$5:$P$60,Quota_Groups!$C$5:$C$60,$B18,Quota_Groups!$E$5:$E$60,"Eadsv5")),0)</f>
        <v/>
      </c>
      <c r="T18" s="24">
        <f>IF(J18=1,SUMIFS(Quota_Groups!$F$5:$F$60,Quota_Groups!$C$5:$C$60,$B18,Quota_Groups!$E$5:$E$60,Request!E13),0)</f>
        <v/>
      </c>
      <c r="U18" s="24">
        <f>IF(J18=1,SUMIFS(Quota_Groups!$M$5:$M$60,Quota_Groups!$C$5:$C$60,$B18,Quota_Groups!$E$5:$E$60,Request!E13),0)</f>
        <v/>
      </c>
      <c r="V18" s="24">
        <f>IF(AND(Request!A14&lt;&gt;"",ISNUMBER(Request!B14),Request!B14&gt;0),1,0)</f>
        <v/>
      </c>
      <c r="W18" s="24">
        <f>IF(V18=1,Request!D14,0)</f>
        <v/>
      </c>
      <c r="X18" s="25">
        <f>IF(V18=1,Request!E14,"")</f>
        <v/>
      </c>
      <c r="Y18" s="24">
        <f>IF(V18=1,SUMIFS(Capacity_Reservations!$L$5:$L$340,Capacity_Reservations!$B$5:$B$340,$B18,Capacity_Reservations!$D$5:$D$340,"Prod",Capacity_Reservations!$E$5:$E$340,Request!A14),0)</f>
        <v/>
      </c>
      <c r="Z18" s="24">
        <f>IF(V18=1,SUMIFS(Capacity_Reservations!$K$5:$K$340,Capacity_Reservations!$B$5:$B$340,$B18,Capacity_Reservations!$D$5:$D$340,"Prod",Capacity_Reservations!$E$5:$E$340,Request!A14),0)</f>
        <v/>
      </c>
      <c r="AA18" s="24">
        <f>IF(V18=1,SUMIFS(Capacity_Reservations!$L$5:$L$340,Capacity_Reservations!$B$5:$B$340,$B18,Capacity_Reservations!$D$5:$D$340,"NonProd",Capacity_Reservations!$E$5:$E$340,Request!A14),0)</f>
        <v/>
      </c>
      <c r="AB18" s="24">
        <f>IF(V18=1,SUMIFS(Capacity_Reservations!$K$5:$K$340,Capacity_Reservations!$B$5:$B$340,$B18,Capacity_Reservations!$D$5:$D$340,"NonProd",Capacity_Reservations!$E$5:$E$340,Request!A14),0)</f>
        <v/>
      </c>
      <c r="AC18" s="24">
        <f>IF(V18=1,SUMIFS(Capacity_Reservations!$L$5:$L$340,Capacity_Reservations!$B$5:$B$340,$B18,Capacity_Reservations!$D$5:$D$340,"DR",Capacity_Reservations!$E$5:$E$340,Request!A14),0)</f>
        <v/>
      </c>
      <c r="AD18" s="24">
        <f>IF(V18=1,SUMIFS(Capacity_Reservations!$K$5:$K$340,Capacity_Reservations!$B$5:$B$340,$B18,Capacity_Reservations!$D$5:$D$340,"DR",Capacity_Reservations!$E$5:$E$340,Request!A14),0)</f>
        <v/>
      </c>
      <c r="AE18" s="24">
        <f>IF(V18=1,MIN(SUMIFS(Quota_Groups!$H$5:$H$60,Quota_Groups!$C$5:$C$60,$B18,Quota_Groups!$E$5:$E$60,Request!E14),SUMIFS(Quota_Groups!$P$5:$P$60,Quota_Groups!$C$5:$C$60,$B18,Quota_Groups!$E$5:$E$60,"Eadsv5")),0)</f>
        <v/>
      </c>
      <c r="AF18" s="24">
        <f>IF(V18=1,SUMIFS(Quota_Groups!$F$5:$F$60,Quota_Groups!$C$5:$C$60,$B18,Quota_Groups!$E$5:$E$60,Request!E14),0)</f>
        <v/>
      </c>
      <c r="AG18" s="24">
        <f>IF(V18=1,SUMIFS(Quota_Groups!$M$5:$M$60,Quota_Groups!$C$5:$C$60,$B18,Quota_Groups!$E$5:$E$60,Request!E14),0)</f>
        <v/>
      </c>
      <c r="AH18" s="24">
        <f>IF(AND(Request!A15&lt;&gt;"",ISNUMBER(Request!B15),Request!B15&gt;0),1,0)</f>
        <v/>
      </c>
      <c r="AI18" s="24">
        <f>IF(AH18=1,Request!D15,0)</f>
        <v/>
      </c>
      <c r="AJ18" s="25">
        <f>IF(AH18=1,Request!E15,"")</f>
        <v/>
      </c>
      <c r="AK18" s="24">
        <f>IF(AH18=1,SUMIFS(Capacity_Reservations!$L$5:$L$340,Capacity_Reservations!$B$5:$B$340,$B18,Capacity_Reservations!$D$5:$D$340,"Prod",Capacity_Reservations!$E$5:$E$340,Request!A15),0)</f>
        <v/>
      </c>
      <c r="AL18" s="24">
        <f>IF(AH18=1,SUMIFS(Capacity_Reservations!$K$5:$K$340,Capacity_Reservations!$B$5:$B$340,$B18,Capacity_Reservations!$D$5:$D$340,"Prod",Capacity_Reservations!$E$5:$E$340,Request!A15),0)</f>
        <v/>
      </c>
      <c r="AM18" s="24">
        <f>IF(AH18=1,SUMIFS(Capacity_Reservations!$L$5:$L$340,Capacity_Reservations!$B$5:$B$340,$B18,Capacity_Reservations!$D$5:$D$340,"NonProd",Capacity_Reservations!$E$5:$E$340,Request!A15),0)</f>
        <v/>
      </c>
      <c r="AN18" s="24">
        <f>IF(AH18=1,SUMIFS(Capacity_Reservations!$K$5:$K$340,Capacity_Reservations!$B$5:$B$340,$B18,Capacity_Reservations!$D$5:$D$340,"NonProd",Capacity_Reservations!$E$5:$E$340,Request!A15),0)</f>
        <v/>
      </c>
      <c r="AO18" s="24">
        <f>IF(AH18=1,SUMIFS(Capacity_Reservations!$L$5:$L$340,Capacity_Reservations!$B$5:$B$340,$B18,Capacity_Reservations!$D$5:$D$340,"DR",Capacity_Reservations!$E$5:$E$340,Request!A15),0)</f>
        <v/>
      </c>
      <c r="AP18" s="24">
        <f>IF(AH18=1,SUMIFS(Capacity_Reservations!$K$5:$K$340,Capacity_Reservations!$B$5:$B$340,$B18,Capacity_Reservations!$D$5:$D$340,"DR",Capacity_Reservations!$E$5:$E$340,Request!A15),0)</f>
        <v/>
      </c>
      <c r="AQ18" s="24">
        <f>IF(AH18=1,MIN(SUMIFS(Quota_Groups!$H$5:$H$60,Quota_Groups!$C$5:$C$60,$B18,Quota_Groups!$E$5:$E$60,Request!E15),SUMIFS(Quota_Groups!$P$5:$P$60,Quota_Groups!$C$5:$C$60,$B18,Quota_Groups!$E$5:$E$60,"Eadsv5")),0)</f>
        <v/>
      </c>
      <c r="AR18" s="24">
        <f>IF(AH18=1,SUMIFS(Quota_Groups!$F$5:$F$60,Quota_Groups!$C$5:$C$60,$B18,Quota_Groups!$E$5:$E$60,Request!E15),0)</f>
        <v/>
      </c>
      <c r="AS18" s="24">
        <f>IF(AH18=1,SUMIFS(Quota_Groups!$M$5:$M$60,Quota_Groups!$C$5:$C$60,$B18,Quota_Groups!$E$5:$E$60,Request!E15),0)</f>
        <v/>
      </c>
      <c r="AT18" s="24">
        <f>IF(AND(Request!A16&lt;&gt;"",ISNUMBER(Request!B16),Request!B16&gt;0),1,0)</f>
        <v/>
      </c>
      <c r="AU18" s="24">
        <f>IF(AT18=1,Request!D16,0)</f>
        <v/>
      </c>
      <c r="AV18" s="25">
        <f>IF(AT18=1,Request!E16,"")</f>
        <v/>
      </c>
      <c r="AW18" s="24">
        <f>IF(AT18=1,SUMIFS(Capacity_Reservations!$L$5:$L$340,Capacity_Reservations!$B$5:$B$340,$B18,Capacity_Reservations!$D$5:$D$340,"Prod",Capacity_Reservations!$E$5:$E$340,Request!A16),0)</f>
        <v/>
      </c>
      <c r="AX18" s="24">
        <f>IF(AT18=1,SUMIFS(Capacity_Reservations!$K$5:$K$340,Capacity_Reservations!$B$5:$B$340,$B18,Capacity_Reservations!$D$5:$D$340,"Prod",Capacity_Reservations!$E$5:$E$340,Request!A16),0)</f>
        <v/>
      </c>
      <c r="AY18" s="24">
        <f>IF(AT18=1,SUMIFS(Capacity_Reservations!$L$5:$L$340,Capacity_Reservations!$B$5:$B$340,$B18,Capacity_Reservations!$D$5:$D$340,"NonProd",Capacity_Reservations!$E$5:$E$340,Request!A16),0)</f>
        <v/>
      </c>
      <c r="AZ18" s="24">
        <f>IF(AT18=1,SUMIFS(Capacity_Reservations!$K$5:$K$340,Capacity_Reservations!$B$5:$B$340,$B18,Capacity_Reservations!$D$5:$D$340,"NonProd",Capacity_Reservations!$E$5:$E$340,Request!A16),0)</f>
        <v/>
      </c>
      <c r="BA18" s="24">
        <f>IF(AT18=1,SUMIFS(Capacity_Reservations!$L$5:$L$340,Capacity_Reservations!$B$5:$B$340,$B18,Capacity_Reservations!$D$5:$D$340,"DR",Capacity_Reservations!$E$5:$E$340,Request!A16),0)</f>
        <v/>
      </c>
      <c r="BB18" s="24">
        <f>IF(AT18=1,SUMIFS(Capacity_Reservations!$K$5:$K$340,Capacity_Reservations!$B$5:$B$340,$B18,Capacity_Reservations!$D$5:$D$340,"DR",Capacity_Reservations!$E$5:$E$340,Request!A16),0)</f>
        <v/>
      </c>
      <c r="BC18" s="24">
        <f>IF(AT18=1,MIN(SUMIFS(Quota_Groups!$H$5:$H$60,Quota_Groups!$C$5:$C$60,$B18,Quota_Groups!$E$5:$E$60,Request!E16),SUMIFS(Quota_Groups!$P$5:$P$60,Quota_Groups!$C$5:$C$60,$B18,Quota_Groups!$E$5:$E$60,"Eadsv5")),0)</f>
        <v/>
      </c>
      <c r="BD18" s="24">
        <f>IF(AT18=1,SUMIFS(Quota_Groups!$F$5:$F$60,Quota_Groups!$C$5:$C$60,$B18,Quota_Groups!$E$5:$E$60,Request!E16),0)</f>
        <v/>
      </c>
      <c r="BE18" s="24">
        <f>IF(AT18=1,SUMIFS(Quota_Groups!$M$5:$M$60,Quota_Groups!$C$5:$C$60,$B18,Quota_Groups!$E$5:$E$60,Request!E16),0)</f>
        <v/>
      </c>
      <c r="BF18" s="24">
        <f>IF(AND(Request!A17&lt;&gt;"",ISNUMBER(Request!B17),Request!B17&gt;0),1,0)</f>
        <v/>
      </c>
      <c r="BG18" s="24">
        <f>IF(BF18=1,Request!D17,0)</f>
        <v/>
      </c>
      <c r="BH18" s="25">
        <f>IF(BF18=1,Request!E17,"")</f>
        <v/>
      </c>
      <c r="BI18" s="24">
        <f>IF(BF18=1,SUMIFS(Capacity_Reservations!$L$5:$L$340,Capacity_Reservations!$B$5:$B$340,$B18,Capacity_Reservations!$D$5:$D$340,"Prod",Capacity_Reservations!$E$5:$E$340,Request!A17),0)</f>
        <v/>
      </c>
      <c r="BJ18" s="24">
        <f>IF(BF18=1,SUMIFS(Capacity_Reservations!$K$5:$K$340,Capacity_Reservations!$B$5:$B$340,$B18,Capacity_Reservations!$D$5:$D$340,"Prod",Capacity_Reservations!$E$5:$E$340,Request!A17),0)</f>
        <v/>
      </c>
      <c r="BK18" s="24">
        <f>IF(BF18=1,SUMIFS(Capacity_Reservations!$L$5:$L$340,Capacity_Reservations!$B$5:$B$340,$B18,Capacity_Reservations!$D$5:$D$340,"NonProd",Capacity_Reservations!$E$5:$E$340,Request!A17),0)</f>
        <v/>
      </c>
      <c r="BL18" s="24">
        <f>IF(BF18=1,SUMIFS(Capacity_Reservations!$K$5:$K$340,Capacity_Reservations!$B$5:$B$340,$B18,Capacity_Reservations!$D$5:$D$340,"NonProd",Capacity_Reservations!$E$5:$E$340,Request!A17),0)</f>
        <v/>
      </c>
      <c r="BM18" s="24">
        <f>IF(BF18=1,SUMIFS(Capacity_Reservations!$L$5:$L$340,Capacity_Reservations!$B$5:$B$340,$B18,Capacity_Reservations!$D$5:$D$340,"DR",Capacity_Reservations!$E$5:$E$340,Request!A17),0)</f>
        <v/>
      </c>
      <c r="BN18" s="24">
        <f>IF(BF18=1,SUMIFS(Capacity_Reservations!$K$5:$K$340,Capacity_Reservations!$B$5:$B$340,$B18,Capacity_Reservations!$D$5:$D$340,"DR",Capacity_Reservations!$E$5:$E$340,Request!A17),0)</f>
        <v/>
      </c>
      <c r="BO18" s="24">
        <f>IF(BF18=1,MIN(SUMIFS(Quota_Groups!$H$5:$H$60,Quota_Groups!$C$5:$C$60,$B18,Quota_Groups!$E$5:$E$60,Request!E17),SUMIFS(Quota_Groups!$P$5:$P$60,Quota_Groups!$C$5:$C$60,$B18,Quota_Groups!$E$5:$E$60,"Eadsv5")),0)</f>
        <v/>
      </c>
      <c r="BP18" s="24">
        <f>IF(BF18=1,SUMIFS(Quota_Groups!$F$5:$F$60,Quota_Groups!$C$5:$C$60,$B18,Quota_Groups!$E$5:$E$60,Request!E17),0)</f>
        <v/>
      </c>
      <c r="BQ18" s="24">
        <f>IF(BF18=1,SUMIFS(Quota_Groups!$M$5:$M$60,Quota_Groups!$C$5:$C$60,$B18,Quota_Groups!$E$5:$E$60,Request!E17),0)</f>
        <v/>
      </c>
      <c r="BR18" s="24">
        <f>IF(AND(Request!A18&lt;&gt;"",ISNUMBER(Request!B18),Request!B18&gt;0),1,0)</f>
        <v/>
      </c>
      <c r="BS18" s="24">
        <f>IF(BR18=1,Request!D18,0)</f>
        <v/>
      </c>
      <c r="BT18" s="25">
        <f>IF(BR18=1,Request!E18,"")</f>
        <v/>
      </c>
      <c r="BU18" s="24">
        <f>IF(BR18=1,SUMIFS(Capacity_Reservations!$L$5:$L$340,Capacity_Reservations!$B$5:$B$340,$B18,Capacity_Reservations!$D$5:$D$340,"Prod",Capacity_Reservations!$E$5:$E$340,Request!A18),0)</f>
        <v/>
      </c>
      <c r="BV18" s="24">
        <f>IF(BR18=1,SUMIFS(Capacity_Reservations!$K$5:$K$340,Capacity_Reservations!$B$5:$B$340,$B18,Capacity_Reservations!$D$5:$D$340,"Prod",Capacity_Reservations!$E$5:$E$340,Request!A18),0)</f>
        <v/>
      </c>
      <c r="BW18" s="24">
        <f>IF(BR18=1,SUMIFS(Capacity_Reservations!$L$5:$L$340,Capacity_Reservations!$B$5:$B$340,$B18,Capacity_Reservations!$D$5:$D$340,"NonProd",Capacity_Reservations!$E$5:$E$340,Request!A18),0)</f>
        <v/>
      </c>
      <c r="BX18" s="24">
        <f>IF(BR18=1,SUMIFS(Capacity_Reservations!$K$5:$K$340,Capacity_Reservations!$B$5:$B$340,$B18,Capacity_Reservations!$D$5:$D$340,"NonProd",Capacity_Reservations!$E$5:$E$340,Request!A18),0)</f>
        <v/>
      </c>
      <c r="BY18" s="24">
        <f>IF(BR18=1,SUMIFS(Capacity_Reservations!$L$5:$L$340,Capacity_Reservations!$B$5:$B$340,$B18,Capacity_Reservations!$D$5:$D$340,"DR",Capacity_Reservations!$E$5:$E$340,Request!A18),0)</f>
        <v/>
      </c>
      <c r="BZ18" s="24">
        <f>IF(BR18=1,SUMIFS(Capacity_Reservations!$K$5:$K$340,Capacity_Reservations!$B$5:$B$340,$B18,Capacity_Reservations!$D$5:$D$340,"DR",Capacity_Reservations!$E$5:$E$340,Request!A18),0)</f>
        <v/>
      </c>
      <c r="CA18" s="24">
        <f>IF(BR18=1,MIN(SUMIFS(Quota_Groups!$H$5:$H$60,Quota_Groups!$C$5:$C$60,$B18,Quota_Groups!$E$5:$E$60,Request!E18),SUMIFS(Quota_Groups!$P$5:$P$60,Quota_Groups!$C$5:$C$60,$B18,Quota_Groups!$E$5:$E$60,"Eadsv5")),0)</f>
        <v/>
      </c>
      <c r="CB18" s="24">
        <f>IF(BR18=1,SUMIFS(Quota_Groups!$F$5:$F$60,Quota_Groups!$C$5:$C$60,$B18,Quota_Groups!$E$5:$E$60,Request!E18),0)</f>
        <v/>
      </c>
      <c r="CC18" s="24">
        <f>IF(BR18=1,SUMIFS(Quota_Groups!$M$5:$M$60,Quota_Groups!$C$5:$C$60,$B18,Quota_Groups!$E$5:$E$60,Request!E18),0)</f>
        <v/>
      </c>
      <c r="CD18" s="24">
        <f>IF(AND(Request!A19&lt;&gt;"",ISNUMBER(Request!B19),Request!B19&gt;0),1,0)</f>
        <v/>
      </c>
      <c r="CE18" s="24">
        <f>IF(CD18=1,Request!D19,0)</f>
        <v/>
      </c>
      <c r="CF18" s="25">
        <f>IF(CD18=1,Request!E19,"")</f>
        <v/>
      </c>
      <c r="CG18" s="24">
        <f>IF(CD18=1,SUMIFS(Capacity_Reservations!$L$5:$L$340,Capacity_Reservations!$B$5:$B$340,$B18,Capacity_Reservations!$D$5:$D$340,"Prod",Capacity_Reservations!$E$5:$E$340,Request!A19),0)</f>
        <v/>
      </c>
      <c r="CH18" s="24">
        <f>IF(CD18=1,SUMIFS(Capacity_Reservations!$K$5:$K$340,Capacity_Reservations!$B$5:$B$340,$B18,Capacity_Reservations!$D$5:$D$340,"Prod",Capacity_Reservations!$E$5:$E$340,Request!A19),0)</f>
        <v/>
      </c>
      <c r="CI18" s="24">
        <f>IF(CD18=1,SUMIFS(Capacity_Reservations!$L$5:$L$340,Capacity_Reservations!$B$5:$B$340,$B18,Capacity_Reservations!$D$5:$D$340,"NonProd",Capacity_Reservations!$E$5:$E$340,Request!A19),0)</f>
        <v/>
      </c>
      <c r="CJ18" s="24">
        <f>IF(CD18=1,SUMIFS(Capacity_Reservations!$K$5:$K$340,Capacity_Reservations!$B$5:$B$340,$B18,Capacity_Reservations!$D$5:$D$340,"NonProd",Capacity_Reservations!$E$5:$E$340,Request!A19),0)</f>
        <v/>
      </c>
      <c r="CK18" s="24">
        <f>IF(CD18=1,SUMIFS(Capacity_Reservations!$L$5:$L$340,Capacity_Reservations!$B$5:$B$340,$B18,Capacity_Reservations!$D$5:$D$340,"DR",Capacity_Reservations!$E$5:$E$340,Request!A19),0)</f>
        <v/>
      </c>
      <c r="CL18" s="24">
        <f>IF(CD18=1,SUMIFS(Capacity_Reservations!$K$5:$K$340,Capacity_Reservations!$B$5:$B$340,$B18,Capacity_Reservations!$D$5:$D$340,"DR",Capacity_Reservations!$E$5:$E$340,Request!A19),0)</f>
        <v/>
      </c>
      <c r="CM18" s="24">
        <f>IF(CD18=1,MIN(SUMIFS(Quota_Groups!$H$5:$H$60,Quota_Groups!$C$5:$C$60,$B18,Quota_Groups!$E$5:$E$60,Request!E19),SUMIFS(Quota_Groups!$P$5:$P$60,Quota_Groups!$C$5:$C$60,$B18,Quota_Groups!$E$5:$E$60,"Eadsv5")),0)</f>
        <v/>
      </c>
      <c r="CN18" s="24">
        <f>IF(CD18=1,SUMIFS(Quota_Groups!$F$5:$F$60,Quota_Groups!$C$5:$C$60,$B18,Quota_Groups!$E$5:$E$60,Request!E19),0)</f>
        <v/>
      </c>
      <c r="CO18" s="24">
        <f>IF(CD18=1,SUMIFS(Quota_Groups!$M$5:$M$60,Quota_Groups!$C$5:$C$60,$B18,Quota_Groups!$E$5:$E$60,Request!E19),0)</f>
        <v/>
      </c>
      <c r="CP18" s="24">
        <f>IF(AND(Request!A20&lt;&gt;"",ISNUMBER(Request!B20),Request!B20&gt;0),1,0)</f>
        <v/>
      </c>
      <c r="CQ18" s="24">
        <f>IF(CP18=1,Request!D20,0)</f>
        <v/>
      </c>
      <c r="CR18" s="25">
        <f>IF(CP18=1,Request!E20,"")</f>
        <v/>
      </c>
      <c r="CS18" s="24">
        <f>IF(CP18=1,SUMIFS(Capacity_Reservations!$L$5:$L$340,Capacity_Reservations!$B$5:$B$340,$B18,Capacity_Reservations!$D$5:$D$340,"Prod",Capacity_Reservations!$E$5:$E$340,Request!A20),0)</f>
        <v/>
      </c>
      <c r="CT18" s="24">
        <f>IF(CP18=1,SUMIFS(Capacity_Reservations!$K$5:$K$340,Capacity_Reservations!$B$5:$B$340,$B18,Capacity_Reservations!$D$5:$D$340,"Prod",Capacity_Reservations!$E$5:$E$340,Request!A20),0)</f>
        <v/>
      </c>
      <c r="CU18" s="24">
        <f>IF(CP18=1,SUMIFS(Capacity_Reservations!$L$5:$L$340,Capacity_Reservations!$B$5:$B$340,$B18,Capacity_Reservations!$D$5:$D$340,"NonProd",Capacity_Reservations!$E$5:$E$340,Request!A20),0)</f>
        <v/>
      </c>
      <c r="CV18" s="24">
        <f>IF(CP18=1,SUMIFS(Capacity_Reservations!$K$5:$K$340,Capacity_Reservations!$B$5:$B$340,$B18,Capacity_Reservations!$D$5:$D$340,"NonProd",Capacity_Reservations!$E$5:$E$340,Request!A20),0)</f>
        <v/>
      </c>
      <c r="CW18" s="24">
        <f>IF(CP18=1,SUMIFS(Capacity_Reservations!$L$5:$L$340,Capacity_Reservations!$B$5:$B$340,$B18,Capacity_Reservations!$D$5:$D$340,"DR",Capacity_Reservations!$E$5:$E$340,Request!A20),0)</f>
        <v/>
      </c>
      <c r="CX18" s="24">
        <f>IF(CP18=1,SUMIFS(Capacity_Reservations!$K$5:$K$340,Capacity_Reservations!$B$5:$B$340,$B18,Capacity_Reservations!$D$5:$D$340,"DR",Capacity_Reservations!$E$5:$E$340,Request!A20),0)</f>
        <v/>
      </c>
      <c r="CY18" s="24">
        <f>IF(CP18=1,MIN(SUMIFS(Quota_Groups!$H$5:$H$60,Quota_Groups!$C$5:$C$60,$B18,Quota_Groups!$E$5:$E$60,Request!E20),SUMIFS(Quota_Groups!$P$5:$P$60,Quota_Groups!$C$5:$C$60,$B18,Quota_Groups!$E$5:$E$60,"Eadsv5")),0)</f>
        <v/>
      </c>
      <c r="CZ18" s="24">
        <f>IF(CP18=1,SUMIFS(Quota_Groups!$F$5:$F$60,Quota_Groups!$C$5:$C$60,$B18,Quota_Groups!$E$5:$E$60,Request!E20),0)</f>
        <v/>
      </c>
      <c r="DA18" s="24">
        <f>IF(CP18=1,SUMIFS(Quota_Groups!$M$5:$M$60,Quota_Groups!$C$5:$C$60,$B18,Quota_Groups!$E$5:$E$60,Request!E20),0)</f>
        <v/>
      </c>
    </row>
  </sheetData>
  <autoFilter ref="A4:DA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4" customWidth="1" min="5" max="5"/>
    <col width="16" customWidth="1" min="6" max="6"/>
    <col width="8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4" customWidth="1" min="28" max="28"/>
    <col width="14" customWidth="1" min="29" max="29"/>
    <col hidden="1" width="8" customWidth="1" min="31" max="31"/>
  </cols>
  <sheetData>
    <row r="1">
      <c r="A1" s="1" t="inlineStr">
        <is>
          <t>Production score — PS_Prod</t>
        </is>
      </c>
    </row>
    <row r="2">
      <c r="A2" s="18" t="inlineStr">
        <is>
          <t>Eligible = 1 only after every gate passes. Placement score is blank for everyone else. Rank 1 is the winner. Ties break toward the earlier catalogue row.</t>
        </is>
      </c>
    </row>
    <row r="4" ht="32" customHeight="1">
      <c r="A4" s="12" t="inlineStr">
        <is>
          <t>Region</t>
        </is>
      </c>
      <c r="B4" s="12" t="inlineStr">
        <is>
          <t>Region id</t>
        </is>
      </c>
      <c r="C4" s="12" t="inlineStr">
        <is>
          <t>Geography</t>
        </is>
      </c>
      <c r="D4" s="12" t="inlineStr">
        <is>
          <t>Class</t>
        </is>
      </c>
      <c r="E4" s="12" t="inlineStr">
        <is>
          <t>Model</t>
        </is>
      </c>
      <c r="F4" s="12" t="inlineStr">
        <is>
          <t>DR scope</t>
        </is>
      </c>
      <c r="G4" s="12" t="inlineStr">
        <is>
          <t>AZ</t>
        </is>
      </c>
      <c r="H4" s="12" t="inlineStr">
        <is>
          <t>Customers</t>
        </is>
      </c>
      <c r="I4" s="12" t="inlineStr">
        <is>
          <t>DR coverage</t>
        </is>
      </c>
      <c r="J4" s="12" t="inlineStr">
        <is>
          <t>Candidate</t>
        </is>
      </c>
      <c r="K4" s="12" t="inlineStr">
        <is>
          <t>HC-2</t>
        </is>
      </c>
      <c r="L4" s="12" t="inlineStr">
        <is>
          <t>HC-3</t>
        </is>
      </c>
      <c r="M4" s="12" t="inlineStr">
        <is>
          <t>HC-5</t>
        </is>
      </c>
      <c r="N4" s="12" t="inlineStr">
        <is>
          <t>HC-6</t>
        </is>
      </c>
      <c r="O4" s="12" t="inlineStr">
        <is>
          <t>HC-7</t>
        </is>
      </c>
      <c r="P4" s="12" t="inlineStr">
        <is>
          <t>HC-8</t>
        </is>
      </c>
      <c r="Q4" s="12" t="inlineStr">
        <is>
          <t>HC-9</t>
        </is>
      </c>
      <c r="R4" s="12" t="inlineStr">
        <is>
          <t>HC-4</t>
        </is>
      </c>
      <c r="S4" s="12" t="inlineStr">
        <is>
          <t>Meets-all</t>
        </is>
      </c>
      <c r="T4" s="12" t="inlineStr">
        <is>
          <t>Eligible</t>
        </is>
      </c>
      <c r="U4" s="12" t="inlineStr">
        <is>
          <t>α</t>
        </is>
      </c>
      <c r="V4" s="12" t="inlineStr">
        <is>
          <t>β</t>
        </is>
      </c>
      <c r="W4" s="12" t="inlineStr">
        <is>
          <t>γ</t>
        </is>
      </c>
      <c r="X4" s="12" t="inlineStr">
        <is>
          <t>δ</t>
        </is>
      </c>
      <c r="Y4" s="12" t="inlineStr">
        <is>
          <t>ε</t>
        </is>
      </c>
      <c r="Z4" s="12" t="inlineStr">
        <is>
          <t>PS</t>
        </is>
      </c>
      <c r="AA4" s="12" t="inlineStr">
        <is>
          <t>Rank</t>
        </is>
      </c>
      <c r="AB4" s="12" t="inlineStr">
        <is>
          <t>Readiness</t>
        </is>
      </c>
      <c r="AC4" s="12" t="inlineStr">
        <is>
          <t>Binding</t>
        </is>
      </c>
    </row>
    <row r="5">
      <c r="A5" s="6">
        <f>Line_Check!A5</f>
        <v/>
      </c>
      <c r="B5" s="6">
        <f>Line_Check!B5</f>
        <v/>
      </c>
      <c r="C5" s="15">
        <f>Line_Check!C5</f>
        <v/>
      </c>
      <c r="D5" s="15">
        <f>Line_Check!D5</f>
        <v/>
      </c>
      <c r="E5" s="15">
        <f>Line_Check!E5</f>
        <v/>
      </c>
      <c r="F5" s="15">
        <f>Line_Check!F5</f>
        <v/>
      </c>
      <c r="G5" s="42">
        <f>Line_Check!G5</f>
        <v/>
      </c>
      <c r="H5" s="42">
        <f>Line_Check!H5</f>
        <v/>
      </c>
      <c r="I5" s="43">
        <f>Line_Check!I5</f>
        <v/>
      </c>
      <c r="J5" s="36">
        <f>IF(OR(Request!$B$22=0,Policy!$B$10&lt;&gt;"OK",Request!$B$24&lt;&gt;"OK"),0,IF(AND(Request!$B$6="",Request!$B$7&lt;&gt;"Y"),0,IF(Request!$B$6&lt;&gt;"",IF(AND(B5=Request!$B$6,C5=Request!$B$4),1,0),IF(AND(C5=Request!$B$4,D5="Standard"),1,0))))</f>
        <v/>
      </c>
      <c r="K5" s="25">
        <f>IF(MIN(IF(Line_Check!J5=1,IF(Line_Check!M5&gt;=Policy!$B$13*Line_Check!K5,1,0),1),IF(Line_Check!V5=1,IF(Line_Check!Y5&gt;=Policy!$B$13*Line_Check!W5,1,0),1),IF(Line_Check!AH5=1,IF(Line_Check!AK5&gt;=Policy!$B$13*Line_Check!AI5,1,0),1),IF(Line_Check!AT5=1,IF(Line_Check!AW5&gt;=Policy!$B$13*Line_Check!AU5,1,0),1),IF(Line_Check!BF5=1,IF(Line_Check!BI5&gt;=Policy!$B$13*Line_Check!BG5,1,0),1),IF(Line_Check!BR5=1,IF(Line_Check!BU5&gt;=Policy!$B$13*Line_Check!BS5,1,0),1),IF(Line_Check!CD5=1,IF(Line_Check!CG5&gt;=Policy!$B$13*Line_Check!CE5,1,0),1),IF(Line_Check!CP5=1,IF(Line_Check!CS5&gt;=Policy!$B$13*Line_Check!CQ5,1,0),1))=1,"PASS","FAIL")</f>
        <v/>
      </c>
      <c r="L5" s="25">
        <f>IF(MIN(IF(Line_Check!J5=1,IF(AND(Line_Check!S5&gt;=Line_Check!K5,Line_Check!S5-Line_Check!K5&gt;=Policy!$B$14),1,0),1),IF(Line_Check!V5=1,IF(AND(Line_Check!AE5&gt;=Line_Check!W5,Line_Check!AE5-Line_Check!W5&gt;=Policy!$B$14),1,0),1),IF(Line_Check!AH5=1,IF(AND(Line_Check!AQ5&gt;=Line_Check!AI5,Line_Check!AQ5-Line_Check!AI5&gt;=Policy!$B$14),1,0),1),IF(Line_Check!AT5=1,IF(AND(Line_Check!BC5&gt;=Line_Check!AU5,Line_Check!BC5-Line_Check!AU5&gt;=Policy!$B$14),1,0),1),IF(Line_Check!BF5=1,IF(AND(Line_Check!BO5&gt;=Line_Check!BG5,Line_Check!BO5-Line_Check!BG5&gt;=Policy!$B$14),1,0),1),IF(Line_Check!BR5=1,IF(AND(Line_Check!CA5&gt;=Line_Check!BS5,Line_Check!CA5-Line_Check!BS5&gt;=Policy!$B$14),1,0),1),IF(Line_Check!CD5=1,IF(AND(Line_Check!CM5&gt;=Line_Check!CE5,Line_Check!CM5-Line_Check!CE5&gt;=Policy!$B$14),1,0),1),IF(Line_Check!CP5=1,IF(AND(Line_Check!CY5&gt;=Line_Check!CQ5,Line_Check!CY5-Line_Check!CQ5&gt;=Policy!$B$14),1,0),1))=1,"PASS","FAIL")</f>
        <v/>
      </c>
      <c r="M5" s="25">
        <f>IF(G5&gt;=2,"PASS","FAIL")</f>
        <v/>
      </c>
      <c r="N5" s="25" t="inlineStr">
        <is>
          <t>N/A</t>
        </is>
      </c>
      <c r="O5" s="25" t="inlineStr">
        <is>
          <t>N/A</t>
        </is>
      </c>
      <c r="P5" s="25">
        <f>IF(C5=Request!$B$4,"PASS","FAIL")</f>
        <v/>
      </c>
      <c r="Q5" s="25">
        <f>IF(OR(D5="Standard",B5=Request!$B$6),"PASS","FAIL")</f>
        <v/>
      </c>
      <c r="R5" s="25" t="inlineStr">
        <is>
          <t>N/A</t>
        </is>
      </c>
      <c r="S5" s="25">
        <f>IF(MIN(IF(Line_Check!J5=1,IF(MIN(Line_Check!M5,Line_Check!S5)&gt;=Line_Check!K5,1,0),1),IF(Line_Check!V5=1,IF(MIN(Line_Check!Y5,Line_Check!AE5)&gt;=Line_Check!W5,1,0),1),IF(Line_Check!AH5=1,IF(MIN(Line_Check!AK5,Line_Check!AQ5)&gt;=Line_Check!AI5,1,0),1),IF(Line_Check!AT5=1,IF(MIN(Line_Check!AW5,Line_Check!BC5)&gt;=Line_Check!AU5,1,0),1),IF(Line_Check!BF5=1,IF(MIN(Line_Check!BI5,Line_Check!BO5)&gt;=Line_Check!BG5,1,0),1),IF(Line_Check!BR5=1,IF(MIN(Line_Check!BU5,Line_Check!CA5)&gt;=Line_Check!BS5,1,0),1),IF(Line_Check!CD5=1,IF(MIN(Line_Check!CG5,Line_Check!CM5)&gt;=Line_Check!CE5,1,0),1),IF(Line_Check!CP5=1,IF(MIN(Line_Check!CS5,Line_Check!CY5)&gt;=Line_Check!CQ5,1,0),1))=1,"PASS","FAIL")</f>
        <v/>
      </c>
      <c r="T5" s="36">
        <f>IF(AND(J5=1,OR(K5="PASS",K5="N/A"),OR(L5="PASS",L5="N/A"),OR(M5="PASS",M5="N/A"),OR(N5="PASS",N5="N/A"),OR(O5="PASS",O5="N/A"),OR(P5="PASS",P5="N/A"),OR(Q5="PASS",Q5="N/A"),OR(R5="PASS",R5="N/A"),OR(S5="PASS",S5="N/A")),1,0)</f>
        <v/>
      </c>
      <c r="U5" s="30">
        <f>IF(J5&lt;&gt;1,"—",MIN(IF(Line_Check!J5=1,MAX(0,MIN(1,IF(Line_Check!N5=0,0,Line_Check!O5/Line_Check!N5))),1),IF(Line_Check!V5=1,MAX(0,MIN(1,IF(Line_Check!Z5=0,0,Line_Check!AA5/Line_Check!Z5))),1),IF(Line_Check!AH5=1,MAX(0,MIN(1,IF(Line_Check!AL5=0,0,Line_Check!AM5/Line_Check!AL5))),1),IF(Line_Check!AT5=1,MAX(0,MIN(1,IF(Line_Check!AX5=0,0,Line_Check!AY5/Line_Check!AX5))),1),IF(Line_Check!BF5=1,MAX(0,MIN(1,IF(Line_Check!BJ5=0,0,Line_Check!BK5/Line_Check!BJ5))),1),IF(Line_Check!BR5=1,MAX(0,MIN(1,IF(Line_Check!BV5=0,0,Line_Check!BW5/Line_Check!BV5))),1),IF(Line_Check!CD5=1,MAX(0,MIN(1,IF(Line_Check!CH5=0,0,Line_Check!CI5/Line_Check!CH5))),1),IF(Line_Check!CP5=1,MAX(0,MIN(1,IF(Line_Check!CT5=0,0,Line_Check!CU5/Line_Check!CT5))),1)))</f>
        <v/>
      </c>
      <c r="V5" s="30">
        <f>IF(J5&lt;&gt;1,"—",MIN(IF(Line_Check!J5=1,MAX(0,MIN(1,IF(Line_Check!T5=0,0,Line_Check!S5/Line_Check!T5))),1),IF(Line_Check!V5=1,MAX(0,MIN(1,IF(Line_Check!AF5=0,0,Line_Check!AE5/Line_Check!AF5))),1),IF(Line_Check!AH5=1,MAX(0,MIN(1,IF(Line_Check!AR5=0,0,Line_Check!AQ5/Line_Check!AR5))),1),IF(Line_Check!AT5=1,MAX(0,MIN(1,IF(Line_Check!BD5=0,0,Line_Check!BC5/Line_Check!BD5))),1),IF(Line_Check!BF5=1,MAX(0,MIN(1,IF(Line_Check!BP5=0,0,Line_Check!BO5/Line_Check!BP5))),1),IF(Line_Check!BR5=1,MAX(0,MIN(1,IF(Line_Check!CB5=0,0,Line_Check!CA5/Line_Check!CB5))),1),IF(Line_Check!CD5=1,MAX(0,MIN(1,IF(Line_Check!CN5=0,0,Line_Check!CM5/Line_Check!CN5))),1),IF(Line_Check!CP5=1,MAX(0,MIN(1,IF(Line_Check!CZ5=0,0,Line_Check!CY5/Line_Check!CZ5))),1)))</f>
        <v/>
      </c>
      <c r="W5" s="30">
        <f>IF(J5&lt;&gt;1,"—",IF(SUMIFS($H$5:$H$18,$C$5:$C$18,C5)=0,1,MAX(0,MIN(1,1-H5/SUMIFS($H$5:$H$18,$C$5:$C$18,C5)))))</f>
        <v/>
      </c>
      <c r="X5" s="30">
        <f>IF(J5&lt;&gt;1,"—",MAX(0,MIN(1,I5)))</f>
        <v/>
      </c>
      <c r="Y5" s="30">
        <f>IF(J5&lt;&gt;1,"—",MAX(0,MIN(1,G5/3)))</f>
        <v/>
      </c>
      <c r="Z5" s="30">
        <f>IF(T5&lt;&gt;1,"—",Policy!$B$4*U5+Policy!$B$5*V5+Policy!$B$6*W5+Policy!$B$7*X5+Policy!$B$8*Y5)</f>
        <v/>
      </c>
      <c r="AA5" s="25">
        <f>IF(T5&lt;&gt;1,"—",1+COUNTIFS($T$5:$T$18,1,$Z$5:$Z$18,"&gt;"&amp;Z5)+COUNTIFS($T$5:$T$18,1,$Z$5:$Z$18,Z5,$AE$5:$AE$18,"&lt;"&amp;AE5))</f>
        <v/>
      </c>
      <c r="AB5" s="25">
        <f>IF(J5&lt;&gt;1,"—",IF(OR(AND(Line_Check!J5=1,Line_Check!N5=0),AND(Line_Check!V5=1,Line_Check!Z5=0),AND(Line_Check!AH5=1,Line_Check!AL5=0),AND(Line_Check!AT5=1,Line_Check!AX5=0),AND(Line_Check!BF5=1,Line_Check!BJ5=0),AND(Line_Check!BR5=1,Line_Check!BV5=0),AND(Line_Check!CD5=1,Line_Check!CH5=0),AND(Line_Check!CP5=1,Line_Check!CT5=0)),"RESERVATION_DEFICIT",IF(K5="FAIL","CAPACITY_UNAVAILABLE",IF(L5="FAIL","QUOTA_DEFICIT",IF(OR(M5="FAIL",N5="FAIL",O5="FAIL",P5="FAIL",Q5="FAIL",R5="FAIL",S5="FAIL"),"CAPACITY_UNAVAILABLE",IF(AND(T5=1,U5&lt;Policy!$B$12),"READY_WITH_RISK",IF(T5=1,"READY","CAPACITY_UNAVAILABLE")))))))</f>
        <v/>
      </c>
      <c r="AC5" s="25">
        <f>IF(T5&lt;&gt;1,"—",IF(MIN(IF(Line_Check!J5=1,Line_Check!M5,10^9),IF(Line_Check!V5=1,Line_Check!Y5,10^9),IF(Line_Check!AH5=1,Line_Check!AK5,10^9),IF(Line_Check!AT5=1,Line_Check!AW5,10^9),IF(Line_Check!BF5=1,Line_Check!BI5,10^9),IF(Line_Check!BR5=1,Line_Check!BU5,10^9),IF(Line_Check!CD5=1,Line_Check!CG5,10^9),IF(Line_Check!CP5=1,Line_Check!CS5,10^9))&lt;=MIN(IF(Line_Check!J5=1,Line_Check!S5,10^9),IF(Line_Check!V5=1,Line_Check!AE5,10^9),IF(Line_Check!AH5=1,Line_Check!AQ5,10^9),IF(Line_Check!AT5=1,Line_Check!BC5,10^9),IF(Line_Check!BF5=1,Line_Check!BO5,10^9),IF(Line_Check!BR5=1,Line_Check!CA5,10^9),IF(Line_Check!CD5=1,Line_Check!CM5,10^9),IF(Line_Check!CP5=1,Line_Check!CY5,10^9)),"CAPACITY","QUOTA"))</f>
        <v/>
      </c>
      <c r="AE5" s="36">
        <f>ROW()</f>
        <v/>
      </c>
    </row>
    <row r="6">
      <c r="A6" s="6">
        <f>Line_Check!A6</f>
        <v/>
      </c>
      <c r="B6" s="6">
        <f>Line_Check!B6</f>
        <v/>
      </c>
      <c r="C6" s="15">
        <f>Line_Check!C6</f>
        <v/>
      </c>
      <c r="D6" s="15">
        <f>Line_Check!D6</f>
        <v/>
      </c>
      <c r="E6" s="15">
        <f>Line_Check!E6</f>
        <v/>
      </c>
      <c r="F6" s="15">
        <f>Line_Check!F6</f>
        <v/>
      </c>
      <c r="G6" s="42">
        <f>Line_Check!G6</f>
        <v/>
      </c>
      <c r="H6" s="42">
        <f>Line_Check!H6</f>
        <v/>
      </c>
      <c r="I6" s="43">
        <f>Line_Check!I6</f>
        <v/>
      </c>
      <c r="J6" s="36">
        <f>IF(OR(Request!$B$22=0,Policy!$B$10&lt;&gt;"OK",Request!$B$24&lt;&gt;"OK"),0,IF(AND(Request!$B$6="",Request!$B$7&lt;&gt;"Y"),0,IF(Request!$B$6&lt;&gt;"",IF(AND(B6=Request!$B$6,C6=Request!$B$4),1,0),IF(AND(C6=Request!$B$4,D6="Standard"),1,0))))</f>
        <v/>
      </c>
      <c r="K6" s="25">
        <f>IF(MIN(IF(Line_Check!J6=1,IF(Line_Check!M6&gt;=Policy!$B$13*Line_Check!K6,1,0),1),IF(Line_Check!V6=1,IF(Line_Check!Y6&gt;=Policy!$B$13*Line_Check!W6,1,0),1),IF(Line_Check!AH6=1,IF(Line_Check!AK6&gt;=Policy!$B$13*Line_Check!AI6,1,0),1),IF(Line_Check!AT6=1,IF(Line_Check!AW6&gt;=Policy!$B$13*Line_Check!AU6,1,0),1),IF(Line_Check!BF6=1,IF(Line_Check!BI6&gt;=Policy!$B$13*Line_Check!BG6,1,0),1),IF(Line_Check!BR6=1,IF(Line_Check!BU6&gt;=Policy!$B$13*Line_Check!BS6,1,0),1),IF(Line_Check!CD6=1,IF(Line_Check!CG6&gt;=Policy!$B$13*Line_Check!CE6,1,0),1),IF(Line_Check!CP6=1,IF(Line_Check!CS6&gt;=Policy!$B$13*Line_Check!CQ6,1,0),1))=1,"PASS","FAIL")</f>
        <v/>
      </c>
      <c r="L6" s="25">
        <f>IF(MIN(IF(Line_Check!J6=1,IF(AND(Line_Check!S6&gt;=Line_Check!K6,Line_Check!S6-Line_Check!K6&gt;=Policy!$B$14),1,0),1),IF(Line_Check!V6=1,IF(AND(Line_Check!AE6&gt;=Line_Check!W6,Line_Check!AE6-Line_Check!W6&gt;=Policy!$B$14),1,0),1),IF(Line_Check!AH6=1,IF(AND(Line_Check!AQ6&gt;=Line_Check!AI6,Line_Check!AQ6-Line_Check!AI6&gt;=Policy!$B$14),1,0),1),IF(Line_Check!AT6=1,IF(AND(Line_Check!BC6&gt;=Line_Check!AU6,Line_Check!BC6-Line_Check!AU6&gt;=Policy!$B$14),1,0),1),IF(Line_Check!BF6=1,IF(AND(Line_Check!BO6&gt;=Line_Check!BG6,Line_Check!BO6-Line_Check!BG6&gt;=Policy!$B$14),1,0),1),IF(Line_Check!BR6=1,IF(AND(Line_Check!CA6&gt;=Line_Check!BS6,Line_Check!CA6-Line_Check!BS6&gt;=Policy!$B$14),1,0),1),IF(Line_Check!CD6=1,IF(AND(Line_Check!CM6&gt;=Line_Check!CE6,Line_Check!CM6-Line_Check!CE6&gt;=Policy!$B$14),1,0),1),IF(Line_Check!CP6=1,IF(AND(Line_Check!CY6&gt;=Line_Check!CQ6,Line_Check!CY6-Line_Check!CQ6&gt;=Policy!$B$14),1,0),1))=1,"PASS","FAIL")</f>
        <v/>
      </c>
      <c r="M6" s="25">
        <f>IF(G6&gt;=2,"PASS","FAIL")</f>
        <v/>
      </c>
      <c r="N6" s="25" t="inlineStr">
        <is>
          <t>N/A</t>
        </is>
      </c>
      <c r="O6" s="25" t="inlineStr">
        <is>
          <t>N/A</t>
        </is>
      </c>
      <c r="P6" s="25">
        <f>IF(C6=Request!$B$4,"PASS","FAIL")</f>
        <v/>
      </c>
      <c r="Q6" s="25">
        <f>IF(OR(D6="Standard",B6=Request!$B$6),"PASS","FAIL")</f>
        <v/>
      </c>
      <c r="R6" s="25" t="inlineStr">
        <is>
          <t>N/A</t>
        </is>
      </c>
      <c r="S6" s="25">
        <f>IF(MIN(IF(Line_Check!J6=1,IF(MIN(Line_Check!M6,Line_Check!S6)&gt;=Line_Check!K6,1,0),1),IF(Line_Check!V6=1,IF(MIN(Line_Check!Y6,Line_Check!AE6)&gt;=Line_Check!W6,1,0),1),IF(Line_Check!AH6=1,IF(MIN(Line_Check!AK6,Line_Check!AQ6)&gt;=Line_Check!AI6,1,0),1),IF(Line_Check!AT6=1,IF(MIN(Line_Check!AW6,Line_Check!BC6)&gt;=Line_Check!AU6,1,0),1),IF(Line_Check!BF6=1,IF(MIN(Line_Check!BI6,Line_Check!BO6)&gt;=Line_Check!BG6,1,0),1),IF(Line_Check!BR6=1,IF(MIN(Line_Check!BU6,Line_Check!CA6)&gt;=Line_Check!BS6,1,0),1),IF(Line_Check!CD6=1,IF(MIN(Line_Check!CG6,Line_Check!CM6)&gt;=Line_Check!CE6,1,0),1),IF(Line_Check!CP6=1,IF(MIN(Line_Check!CS6,Line_Check!CY6)&gt;=Line_Check!CQ6,1,0),1))=1,"PASS","FAIL")</f>
        <v/>
      </c>
      <c r="T6" s="36">
        <f>IF(AND(J6=1,OR(K6="PASS",K6="N/A"),OR(L6="PASS",L6="N/A"),OR(M6="PASS",M6="N/A"),OR(N6="PASS",N6="N/A"),OR(O6="PASS",O6="N/A"),OR(P6="PASS",P6="N/A"),OR(Q6="PASS",Q6="N/A"),OR(R6="PASS",R6="N/A"),OR(S6="PASS",S6="N/A")),1,0)</f>
        <v/>
      </c>
      <c r="U6" s="30">
        <f>IF(J6&lt;&gt;1,"—",MIN(IF(Line_Check!J6=1,MAX(0,MIN(1,IF(Line_Check!N6=0,0,Line_Check!O6/Line_Check!N6))),1),IF(Line_Check!V6=1,MAX(0,MIN(1,IF(Line_Check!Z6=0,0,Line_Check!AA6/Line_Check!Z6))),1),IF(Line_Check!AH6=1,MAX(0,MIN(1,IF(Line_Check!AL6=0,0,Line_Check!AM6/Line_Check!AL6))),1),IF(Line_Check!AT6=1,MAX(0,MIN(1,IF(Line_Check!AX6=0,0,Line_Check!AY6/Line_Check!AX6))),1),IF(Line_Check!BF6=1,MAX(0,MIN(1,IF(Line_Check!BJ6=0,0,Line_Check!BK6/Line_Check!BJ6))),1),IF(Line_Check!BR6=1,MAX(0,MIN(1,IF(Line_Check!BV6=0,0,Line_Check!BW6/Line_Check!BV6))),1),IF(Line_Check!CD6=1,MAX(0,MIN(1,IF(Line_Check!CH6=0,0,Line_Check!CI6/Line_Check!CH6))),1),IF(Line_Check!CP6=1,MAX(0,MIN(1,IF(Line_Check!CT6=0,0,Line_Check!CU6/Line_Check!CT6))),1)))</f>
        <v/>
      </c>
      <c r="V6" s="30">
        <f>IF(J6&lt;&gt;1,"—",MIN(IF(Line_Check!J6=1,MAX(0,MIN(1,IF(Line_Check!T6=0,0,Line_Check!S6/Line_Check!T6))),1),IF(Line_Check!V6=1,MAX(0,MIN(1,IF(Line_Check!AF6=0,0,Line_Check!AE6/Line_Check!AF6))),1),IF(Line_Check!AH6=1,MAX(0,MIN(1,IF(Line_Check!AR6=0,0,Line_Check!AQ6/Line_Check!AR6))),1),IF(Line_Check!AT6=1,MAX(0,MIN(1,IF(Line_Check!BD6=0,0,Line_Check!BC6/Line_Check!BD6))),1),IF(Line_Check!BF6=1,MAX(0,MIN(1,IF(Line_Check!BP6=0,0,Line_Check!BO6/Line_Check!BP6))),1),IF(Line_Check!BR6=1,MAX(0,MIN(1,IF(Line_Check!CB6=0,0,Line_Check!CA6/Line_Check!CB6))),1),IF(Line_Check!CD6=1,MAX(0,MIN(1,IF(Line_Check!CN6=0,0,Line_Check!CM6/Line_Check!CN6))),1),IF(Line_Check!CP6=1,MAX(0,MIN(1,IF(Line_Check!CZ6=0,0,Line_Check!CY6/Line_Check!CZ6))),1)))</f>
        <v/>
      </c>
      <c r="W6" s="30">
        <f>IF(J6&lt;&gt;1,"—",IF(SUMIFS($H$5:$H$18,$C$5:$C$18,C6)=0,1,MAX(0,MIN(1,1-H6/SUMIFS($H$5:$H$18,$C$5:$C$18,C6)))))</f>
        <v/>
      </c>
      <c r="X6" s="30">
        <f>IF(J6&lt;&gt;1,"—",MAX(0,MIN(1,I6)))</f>
        <v/>
      </c>
      <c r="Y6" s="30">
        <f>IF(J6&lt;&gt;1,"—",MAX(0,MIN(1,G6/3)))</f>
        <v/>
      </c>
      <c r="Z6" s="30">
        <f>IF(T6&lt;&gt;1,"—",Policy!$B$4*U6+Policy!$B$5*V6+Policy!$B$6*W6+Policy!$B$7*X6+Policy!$B$8*Y6)</f>
        <v/>
      </c>
      <c r="AA6" s="25">
        <f>IF(T6&lt;&gt;1,"—",1+COUNTIFS($T$5:$T$18,1,$Z$5:$Z$18,"&gt;"&amp;Z6)+COUNTIFS($T$5:$T$18,1,$Z$5:$Z$18,Z6,$AE$5:$AE$18,"&lt;"&amp;AE6))</f>
        <v/>
      </c>
      <c r="AB6" s="25">
        <f>IF(J6&lt;&gt;1,"—",IF(OR(AND(Line_Check!J6=1,Line_Check!N6=0),AND(Line_Check!V6=1,Line_Check!Z6=0),AND(Line_Check!AH6=1,Line_Check!AL6=0),AND(Line_Check!AT6=1,Line_Check!AX6=0),AND(Line_Check!BF6=1,Line_Check!BJ6=0),AND(Line_Check!BR6=1,Line_Check!BV6=0),AND(Line_Check!CD6=1,Line_Check!CH6=0),AND(Line_Check!CP6=1,Line_Check!CT6=0)),"RESERVATION_DEFICIT",IF(K6="FAIL","CAPACITY_UNAVAILABLE",IF(L6="FAIL","QUOTA_DEFICIT",IF(OR(M6="FAIL",N6="FAIL",O6="FAIL",P6="FAIL",Q6="FAIL",R6="FAIL",S6="FAIL"),"CAPACITY_UNAVAILABLE",IF(AND(T6=1,U6&lt;Policy!$B$12),"READY_WITH_RISK",IF(T6=1,"READY","CAPACITY_UNAVAILABLE")))))))</f>
        <v/>
      </c>
      <c r="AC6" s="25">
        <f>IF(T6&lt;&gt;1,"—",IF(MIN(IF(Line_Check!J6=1,Line_Check!M6,10^9),IF(Line_Check!V6=1,Line_Check!Y6,10^9),IF(Line_Check!AH6=1,Line_Check!AK6,10^9),IF(Line_Check!AT6=1,Line_Check!AW6,10^9),IF(Line_Check!BF6=1,Line_Check!BI6,10^9),IF(Line_Check!BR6=1,Line_Check!BU6,10^9),IF(Line_Check!CD6=1,Line_Check!CG6,10^9),IF(Line_Check!CP6=1,Line_Check!CS6,10^9))&lt;=MIN(IF(Line_Check!J6=1,Line_Check!S6,10^9),IF(Line_Check!V6=1,Line_Check!AE6,10^9),IF(Line_Check!AH6=1,Line_Check!AQ6,10^9),IF(Line_Check!AT6=1,Line_Check!BC6,10^9),IF(Line_Check!BF6=1,Line_Check!BO6,10^9),IF(Line_Check!BR6=1,Line_Check!CA6,10^9),IF(Line_Check!CD6=1,Line_Check!CM6,10^9),IF(Line_Check!CP6=1,Line_Check!CY6,10^9)),"CAPACITY","QUOTA"))</f>
        <v/>
      </c>
      <c r="AE6" s="36">
        <f>ROW()</f>
        <v/>
      </c>
    </row>
    <row r="7">
      <c r="A7" s="6">
        <f>Line_Check!A7</f>
        <v/>
      </c>
      <c r="B7" s="6">
        <f>Line_Check!B7</f>
        <v/>
      </c>
      <c r="C7" s="15">
        <f>Line_Check!C7</f>
        <v/>
      </c>
      <c r="D7" s="15">
        <f>Line_Check!D7</f>
        <v/>
      </c>
      <c r="E7" s="15">
        <f>Line_Check!E7</f>
        <v/>
      </c>
      <c r="F7" s="15">
        <f>Line_Check!F7</f>
        <v/>
      </c>
      <c r="G7" s="42">
        <f>Line_Check!G7</f>
        <v/>
      </c>
      <c r="H7" s="42">
        <f>Line_Check!H7</f>
        <v/>
      </c>
      <c r="I7" s="43">
        <f>Line_Check!I7</f>
        <v/>
      </c>
      <c r="J7" s="36">
        <f>IF(OR(Request!$B$22=0,Policy!$B$10&lt;&gt;"OK",Request!$B$24&lt;&gt;"OK"),0,IF(AND(Request!$B$6="",Request!$B$7&lt;&gt;"Y"),0,IF(Request!$B$6&lt;&gt;"",IF(AND(B7=Request!$B$6,C7=Request!$B$4),1,0),IF(AND(C7=Request!$B$4,D7="Standard"),1,0))))</f>
        <v/>
      </c>
      <c r="K7" s="25">
        <f>IF(MIN(IF(Line_Check!J7=1,IF(Line_Check!M7&gt;=Policy!$B$13*Line_Check!K7,1,0),1),IF(Line_Check!V7=1,IF(Line_Check!Y7&gt;=Policy!$B$13*Line_Check!W7,1,0),1),IF(Line_Check!AH7=1,IF(Line_Check!AK7&gt;=Policy!$B$13*Line_Check!AI7,1,0),1),IF(Line_Check!AT7=1,IF(Line_Check!AW7&gt;=Policy!$B$13*Line_Check!AU7,1,0),1),IF(Line_Check!BF7=1,IF(Line_Check!BI7&gt;=Policy!$B$13*Line_Check!BG7,1,0),1),IF(Line_Check!BR7=1,IF(Line_Check!BU7&gt;=Policy!$B$13*Line_Check!BS7,1,0),1),IF(Line_Check!CD7=1,IF(Line_Check!CG7&gt;=Policy!$B$13*Line_Check!CE7,1,0),1),IF(Line_Check!CP7=1,IF(Line_Check!CS7&gt;=Policy!$B$13*Line_Check!CQ7,1,0),1))=1,"PASS","FAIL")</f>
        <v/>
      </c>
      <c r="L7" s="25">
        <f>IF(MIN(IF(Line_Check!J7=1,IF(AND(Line_Check!S7&gt;=Line_Check!K7,Line_Check!S7-Line_Check!K7&gt;=Policy!$B$14),1,0),1),IF(Line_Check!V7=1,IF(AND(Line_Check!AE7&gt;=Line_Check!W7,Line_Check!AE7-Line_Check!W7&gt;=Policy!$B$14),1,0),1),IF(Line_Check!AH7=1,IF(AND(Line_Check!AQ7&gt;=Line_Check!AI7,Line_Check!AQ7-Line_Check!AI7&gt;=Policy!$B$14),1,0),1),IF(Line_Check!AT7=1,IF(AND(Line_Check!BC7&gt;=Line_Check!AU7,Line_Check!BC7-Line_Check!AU7&gt;=Policy!$B$14),1,0),1),IF(Line_Check!BF7=1,IF(AND(Line_Check!BO7&gt;=Line_Check!BG7,Line_Check!BO7-Line_Check!BG7&gt;=Policy!$B$14),1,0),1),IF(Line_Check!BR7=1,IF(AND(Line_Check!CA7&gt;=Line_Check!BS7,Line_Check!CA7-Line_Check!BS7&gt;=Policy!$B$14),1,0),1),IF(Line_Check!CD7=1,IF(AND(Line_Check!CM7&gt;=Line_Check!CE7,Line_Check!CM7-Line_Check!CE7&gt;=Policy!$B$14),1,0),1),IF(Line_Check!CP7=1,IF(AND(Line_Check!CY7&gt;=Line_Check!CQ7,Line_Check!CY7-Line_Check!CQ7&gt;=Policy!$B$14),1,0),1))=1,"PASS","FAIL")</f>
        <v/>
      </c>
      <c r="M7" s="25">
        <f>IF(G7&gt;=2,"PASS","FAIL")</f>
        <v/>
      </c>
      <c r="N7" s="25" t="inlineStr">
        <is>
          <t>N/A</t>
        </is>
      </c>
      <c r="O7" s="25" t="inlineStr">
        <is>
          <t>N/A</t>
        </is>
      </c>
      <c r="P7" s="25">
        <f>IF(C7=Request!$B$4,"PASS","FAIL")</f>
        <v/>
      </c>
      <c r="Q7" s="25">
        <f>IF(OR(D7="Standard",B7=Request!$B$6),"PASS","FAIL")</f>
        <v/>
      </c>
      <c r="R7" s="25" t="inlineStr">
        <is>
          <t>N/A</t>
        </is>
      </c>
      <c r="S7" s="25">
        <f>IF(MIN(IF(Line_Check!J7=1,IF(MIN(Line_Check!M7,Line_Check!S7)&gt;=Line_Check!K7,1,0),1),IF(Line_Check!V7=1,IF(MIN(Line_Check!Y7,Line_Check!AE7)&gt;=Line_Check!W7,1,0),1),IF(Line_Check!AH7=1,IF(MIN(Line_Check!AK7,Line_Check!AQ7)&gt;=Line_Check!AI7,1,0),1),IF(Line_Check!AT7=1,IF(MIN(Line_Check!AW7,Line_Check!BC7)&gt;=Line_Check!AU7,1,0),1),IF(Line_Check!BF7=1,IF(MIN(Line_Check!BI7,Line_Check!BO7)&gt;=Line_Check!BG7,1,0),1),IF(Line_Check!BR7=1,IF(MIN(Line_Check!BU7,Line_Check!CA7)&gt;=Line_Check!BS7,1,0),1),IF(Line_Check!CD7=1,IF(MIN(Line_Check!CG7,Line_Check!CM7)&gt;=Line_Check!CE7,1,0),1),IF(Line_Check!CP7=1,IF(MIN(Line_Check!CS7,Line_Check!CY7)&gt;=Line_Check!CQ7,1,0),1))=1,"PASS","FAIL")</f>
        <v/>
      </c>
      <c r="T7" s="36">
        <f>IF(AND(J7=1,OR(K7="PASS",K7="N/A"),OR(L7="PASS",L7="N/A"),OR(M7="PASS",M7="N/A"),OR(N7="PASS",N7="N/A"),OR(O7="PASS",O7="N/A"),OR(P7="PASS",P7="N/A"),OR(Q7="PASS",Q7="N/A"),OR(R7="PASS",R7="N/A"),OR(S7="PASS",S7="N/A")),1,0)</f>
        <v/>
      </c>
      <c r="U7" s="30">
        <f>IF(J7&lt;&gt;1,"—",MIN(IF(Line_Check!J7=1,MAX(0,MIN(1,IF(Line_Check!N7=0,0,Line_Check!O7/Line_Check!N7))),1),IF(Line_Check!V7=1,MAX(0,MIN(1,IF(Line_Check!Z7=0,0,Line_Check!AA7/Line_Check!Z7))),1),IF(Line_Check!AH7=1,MAX(0,MIN(1,IF(Line_Check!AL7=0,0,Line_Check!AM7/Line_Check!AL7))),1),IF(Line_Check!AT7=1,MAX(0,MIN(1,IF(Line_Check!AX7=0,0,Line_Check!AY7/Line_Check!AX7))),1),IF(Line_Check!BF7=1,MAX(0,MIN(1,IF(Line_Check!BJ7=0,0,Line_Check!BK7/Line_Check!BJ7))),1),IF(Line_Check!BR7=1,MAX(0,MIN(1,IF(Line_Check!BV7=0,0,Line_Check!BW7/Line_Check!BV7))),1),IF(Line_Check!CD7=1,MAX(0,MIN(1,IF(Line_Check!CH7=0,0,Line_Check!CI7/Line_Check!CH7))),1),IF(Line_Check!CP7=1,MAX(0,MIN(1,IF(Line_Check!CT7=0,0,Line_Check!CU7/Line_Check!CT7))),1)))</f>
        <v/>
      </c>
      <c r="V7" s="30">
        <f>IF(J7&lt;&gt;1,"—",MIN(IF(Line_Check!J7=1,MAX(0,MIN(1,IF(Line_Check!T7=0,0,Line_Check!S7/Line_Check!T7))),1),IF(Line_Check!V7=1,MAX(0,MIN(1,IF(Line_Check!AF7=0,0,Line_Check!AE7/Line_Check!AF7))),1),IF(Line_Check!AH7=1,MAX(0,MIN(1,IF(Line_Check!AR7=0,0,Line_Check!AQ7/Line_Check!AR7))),1),IF(Line_Check!AT7=1,MAX(0,MIN(1,IF(Line_Check!BD7=0,0,Line_Check!BC7/Line_Check!BD7))),1),IF(Line_Check!BF7=1,MAX(0,MIN(1,IF(Line_Check!BP7=0,0,Line_Check!BO7/Line_Check!BP7))),1),IF(Line_Check!BR7=1,MAX(0,MIN(1,IF(Line_Check!CB7=0,0,Line_Check!CA7/Line_Check!CB7))),1),IF(Line_Check!CD7=1,MAX(0,MIN(1,IF(Line_Check!CN7=0,0,Line_Check!CM7/Line_Check!CN7))),1),IF(Line_Check!CP7=1,MAX(0,MIN(1,IF(Line_Check!CZ7=0,0,Line_Check!CY7/Line_Check!CZ7))),1)))</f>
        <v/>
      </c>
      <c r="W7" s="30">
        <f>IF(J7&lt;&gt;1,"—",IF(SUMIFS($H$5:$H$18,$C$5:$C$18,C7)=0,1,MAX(0,MIN(1,1-H7/SUMIFS($H$5:$H$18,$C$5:$C$18,C7)))))</f>
        <v/>
      </c>
      <c r="X7" s="30">
        <f>IF(J7&lt;&gt;1,"—",MAX(0,MIN(1,I7)))</f>
        <v/>
      </c>
      <c r="Y7" s="30">
        <f>IF(J7&lt;&gt;1,"—",MAX(0,MIN(1,G7/3)))</f>
        <v/>
      </c>
      <c r="Z7" s="30">
        <f>IF(T7&lt;&gt;1,"—",Policy!$B$4*U7+Policy!$B$5*V7+Policy!$B$6*W7+Policy!$B$7*X7+Policy!$B$8*Y7)</f>
        <v/>
      </c>
      <c r="AA7" s="25">
        <f>IF(T7&lt;&gt;1,"—",1+COUNTIFS($T$5:$T$18,1,$Z$5:$Z$18,"&gt;"&amp;Z7)+COUNTIFS($T$5:$T$18,1,$Z$5:$Z$18,Z7,$AE$5:$AE$18,"&lt;"&amp;AE7))</f>
        <v/>
      </c>
      <c r="AB7" s="25">
        <f>IF(J7&lt;&gt;1,"—",IF(OR(AND(Line_Check!J7=1,Line_Check!N7=0),AND(Line_Check!V7=1,Line_Check!Z7=0),AND(Line_Check!AH7=1,Line_Check!AL7=0),AND(Line_Check!AT7=1,Line_Check!AX7=0),AND(Line_Check!BF7=1,Line_Check!BJ7=0),AND(Line_Check!BR7=1,Line_Check!BV7=0),AND(Line_Check!CD7=1,Line_Check!CH7=0),AND(Line_Check!CP7=1,Line_Check!CT7=0)),"RESERVATION_DEFICIT",IF(K7="FAIL","CAPACITY_UNAVAILABLE",IF(L7="FAIL","QUOTA_DEFICIT",IF(OR(M7="FAIL",N7="FAIL",O7="FAIL",P7="FAIL",Q7="FAIL",R7="FAIL",S7="FAIL"),"CAPACITY_UNAVAILABLE",IF(AND(T7=1,U7&lt;Policy!$B$12),"READY_WITH_RISK",IF(T7=1,"READY","CAPACITY_UNAVAILABLE")))))))</f>
        <v/>
      </c>
      <c r="AC7" s="25">
        <f>IF(T7&lt;&gt;1,"—",IF(MIN(IF(Line_Check!J7=1,Line_Check!M7,10^9),IF(Line_Check!V7=1,Line_Check!Y7,10^9),IF(Line_Check!AH7=1,Line_Check!AK7,10^9),IF(Line_Check!AT7=1,Line_Check!AW7,10^9),IF(Line_Check!BF7=1,Line_Check!BI7,10^9),IF(Line_Check!BR7=1,Line_Check!BU7,10^9),IF(Line_Check!CD7=1,Line_Check!CG7,10^9),IF(Line_Check!CP7=1,Line_Check!CS7,10^9))&lt;=MIN(IF(Line_Check!J7=1,Line_Check!S7,10^9),IF(Line_Check!V7=1,Line_Check!AE7,10^9),IF(Line_Check!AH7=1,Line_Check!AQ7,10^9),IF(Line_Check!AT7=1,Line_Check!BC7,10^9),IF(Line_Check!BF7=1,Line_Check!BO7,10^9),IF(Line_Check!BR7=1,Line_Check!CA7,10^9),IF(Line_Check!CD7=1,Line_Check!CM7,10^9),IF(Line_Check!CP7=1,Line_Check!CY7,10^9)),"CAPACITY","QUOTA"))</f>
        <v/>
      </c>
      <c r="AE7" s="36">
        <f>ROW()</f>
        <v/>
      </c>
    </row>
    <row r="8">
      <c r="A8" s="6">
        <f>Line_Check!A8</f>
        <v/>
      </c>
      <c r="B8" s="6">
        <f>Line_Check!B8</f>
        <v/>
      </c>
      <c r="C8" s="15">
        <f>Line_Check!C8</f>
        <v/>
      </c>
      <c r="D8" s="15">
        <f>Line_Check!D8</f>
        <v/>
      </c>
      <c r="E8" s="15">
        <f>Line_Check!E8</f>
        <v/>
      </c>
      <c r="F8" s="15">
        <f>Line_Check!F8</f>
        <v/>
      </c>
      <c r="G8" s="42">
        <f>Line_Check!G8</f>
        <v/>
      </c>
      <c r="H8" s="42">
        <f>Line_Check!H8</f>
        <v/>
      </c>
      <c r="I8" s="43">
        <f>Line_Check!I8</f>
        <v/>
      </c>
      <c r="J8" s="36">
        <f>IF(OR(Request!$B$22=0,Policy!$B$10&lt;&gt;"OK",Request!$B$24&lt;&gt;"OK"),0,IF(AND(Request!$B$6="",Request!$B$7&lt;&gt;"Y"),0,IF(Request!$B$6&lt;&gt;"",IF(AND(B8=Request!$B$6,C8=Request!$B$4),1,0),IF(AND(C8=Request!$B$4,D8="Standard"),1,0))))</f>
        <v/>
      </c>
      <c r="K8" s="25">
        <f>IF(MIN(IF(Line_Check!J8=1,IF(Line_Check!M8&gt;=Policy!$B$13*Line_Check!K8,1,0),1),IF(Line_Check!V8=1,IF(Line_Check!Y8&gt;=Policy!$B$13*Line_Check!W8,1,0),1),IF(Line_Check!AH8=1,IF(Line_Check!AK8&gt;=Policy!$B$13*Line_Check!AI8,1,0),1),IF(Line_Check!AT8=1,IF(Line_Check!AW8&gt;=Policy!$B$13*Line_Check!AU8,1,0),1),IF(Line_Check!BF8=1,IF(Line_Check!BI8&gt;=Policy!$B$13*Line_Check!BG8,1,0),1),IF(Line_Check!BR8=1,IF(Line_Check!BU8&gt;=Policy!$B$13*Line_Check!BS8,1,0),1),IF(Line_Check!CD8=1,IF(Line_Check!CG8&gt;=Policy!$B$13*Line_Check!CE8,1,0),1),IF(Line_Check!CP8=1,IF(Line_Check!CS8&gt;=Policy!$B$13*Line_Check!CQ8,1,0),1))=1,"PASS","FAIL")</f>
        <v/>
      </c>
      <c r="L8" s="25">
        <f>IF(MIN(IF(Line_Check!J8=1,IF(AND(Line_Check!S8&gt;=Line_Check!K8,Line_Check!S8-Line_Check!K8&gt;=Policy!$B$14),1,0),1),IF(Line_Check!V8=1,IF(AND(Line_Check!AE8&gt;=Line_Check!W8,Line_Check!AE8-Line_Check!W8&gt;=Policy!$B$14),1,0),1),IF(Line_Check!AH8=1,IF(AND(Line_Check!AQ8&gt;=Line_Check!AI8,Line_Check!AQ8-Line_Check!AI8&gt;=Policy!$B$14),1,0),1),IF(Line_Check!AT8=1,IF(AND(Line_Check!BC8&gt;=Line_Check!AU8,Line_Check!BC8-Line_Check!AU8&gt;=Policy!$B$14),1,0),1),IF(Line_Check!BF8=1,IF(AND(Line_Check!BO8&gt;=Line_Check!BG8,Line_Check!BO8-Line_Check!BG8&gt;=Policy!$B$14),1,0),1),IF(Line_Check!BR8=1,IF(AND(Line_Check!CA8&gt;=Line_Check!BS8,Line_Check!CA8-Line_Check!BS8&gt;=Policy!$B$14),1,0),1),IF(Line_Check!CD8=1,IF(AND(Line_Check!CM8&gt;=Line_Check!CE8,Line_Check!CM8-Line_Check!CE8&gt;=Policy!$B$14),1,0),1),IF(Line_Check!CP8=1,IF(AND(Line_Check!CY8&gt;=Line_Check!CQ8,Line_Check!CY8-Line_Check!CQ8&gt;=Policy!$B$14),1,0),1))=1,"PASS","FAIL")</f>
        <v/>
      </c>
      <c r="M8" s="25">
        <f>IF(G8&gt;=2,"PASS","FAIL")</f>
        <v/>
      </c>
      <c r="N8" s="25" t="inlineStr">
        <is>
          <t>N/A</t>
        </is>
      </c>
      <c r="O8" s="25" t="inlineStr">
        <is>
          <t>N/A</t>
        </is>
      </c>
      <c r="P8" s="25">
        <f>IF(C8=Request!$B$4,"PASS","FAIL")</f>
        <v/>
      </c>
      <c r="Q8" s="25">
        <f>IF(OR(D8="Standard",B8=Request!$B$6),"PASS","FAIL")</f>
        <v/>
      </c>
      <c r="R8" s="25" t="inlineStr">
        <is>
          <t>N/A</t>
        </is>
      </c>
      <c r="S8" s="25">
        <f>IF(MIN(IF(Line_Check!J8=1,IF(MIN(Line_Check!M8,Line_Check!S8)&gt;=Line_Check!K8,1,0),1),IF(Line_Check!V8=1,IF(MIN(Line_Check!Y8,Line_Check!AE8)&gt;=Line_Check!W8,1,0),1),IF(Line_Check!AH8=1,IF(MIN(Line_Check!AK8,Line_Check!AQ8)&gt;=Line_Check!AI8,1,0),1),IF(Line_Check!AT8=1,IF(MIN(Line_Check!AW8,Line_Check!BC8)&gt;=Line_Check!AU8,1,0),1),IF(Line_Check!BF8=1,IF(MIN(Line_Check!BI8,Line_Check!BO8)&gt;=Line_Check!BG8,1,0),1),IF(Line_Check!BR8=1,IF(MIN(Line_Check!BU8,Line_Check!CA8)&gt;=Line_Check!BS8,1,0),1),IF(Line_Check!CD8=1,IF(MIN(Line_Check!CG8,Line_Check!CM8)&gt;=Line_Check!CE8,1,0),1),IF(Line_Check!CP8=1,IF(MIN(Line_Check!CS8,Line_Check!CY8)&gt;=Line_Check!CQ8,1,0),1))=1,"PASS","FAIL")</f>
        <v/>
      </c>
      <c r="T8" s="36">
        <f>IF(AND(J8=1,OR(K8="PASS",K8="N/A"),OR(L8="PASS",L8="N/A"),OR(M8="PASS",M8="N/A"),OR(N8="PASS",N8="N/A"),OR(O8="PASS",O8="N/A"),OR(P8="PASS",P8="N/A"),OR(Q8="PASS",Q8="N/A"),OR(R8="PASS",R8="N/A"),OR(S8="PASS",S8="N/A")),1,0)</f>
        <v/>
      </c>
      <c r="U8" s="30">
        <f>IF(J8&lt;&gt;1,"—",MIN(IF(Line_Check!J8=1,MAX(0,MIN(1,IF(Line_Check!N8=0,0,Line_Check!O8/Line_Check!N8))),1),IF(Line_Check!V8=1,MAX(0,MIN(1,IF(Line_Check!Z8=0,0,Line_Check!AA8/Line_Check!Z8))),1),IF(Line_Check!AH8=1,MAX(0,MIN(1,IF(Line_Check!AL8=0,0,Line_Check!AM8/Line_Check!AL8))),1),IF(Line_Check!AT8=1,MAX(0,MIN(1,IF(Line_Check!AX8=0,0,Line_Check!AY8/Line_Check!AX8))),1),IF(Line_Check!BF8=1,MAX(0,MIN(1,IF(Line_Check!BJ8=0,0,Line_Check!BK8/Line_Check!BJ8))),1),IF(Line_Check!BR8=1,MAX(0,MIN(1,IF(Line_Check!BV8=0,0,Line_Check!BW8/Line_Check!BV8))),1),IF(Line_Check!CD8=1,MAX(0,MIN(1,IF(Line_Check!CH8=0,0,Line_Check!CI8/Line_Check!CH8))),1),IF(Line_Check!CP8=1,MAX(0,MIN(1,IF(Line_Check!CT8=0,0,Line_Check!CU8/Line_Check!CT8))),1)))</f>
        <v/>
      </c>
      <c r="V8" s="30">
        <f>IF(J8&lt;&gt;1,"—",MIN(IF(Line_Check!J8=1,MAX(0,MIN(1,IF(Line_Check!T8=0,0,Line_Check!S8/Line_Check!T8))),1),IF(Line_Check!V8=1,MAX(0,MIN(1,IF(Line_Check!AF8=0,0,Line_Check!AE8/Line_Check!AF8))),1),IF(Line_Check!AH8=1,MAX(0,MIN(1,IF(Line_Check!AR8=0,0,Line_Check!AQ8/Line_Check!AR8))),1),IF(Line_Check!AT8=1,MAX(0,MIN(1,IF(Line_Check!BD8=0,0,Line_Check!BC8/Line_Check!BD8))),1),IF(Line_Check!BF8=1,MAX(0,MIN(1,IF(Line_Check!BP8=0,0,Line_Check!BO8/Line_Check!BP8))),1),IF(Line_Check!BR8=1,MAX(0,MIN(1,IF(Line_Check!CB8=0,0,Line_Check!CA8/Line_Check!CB8))),1),IF(Line_Check!CD8=1,MAX(0,MIN(1,IF(Line_Check!CN8=0,0,Line_Check!CM8/Line_Check!CN8))),1),IF(Line_Check!CP8=1,MAX(0,MIN(1,IF(Line_Check!CZ8=0,0,Line_Check!CY8/Line_Check!CZ8))),1)))</f>
        <v/>
      </c>
      <c r="W8" s="30">
        <f>IF(J8&lt;&gt;1,"—",IF(SUMIFS($H$5:$H$18,$C$5:$C$18,C8)=0,1,MAX(0,MIN(1,1-H8/SUMIFS($H$5:$H$18,$C$5:$C$18,C8)))))</f>
        <v/>
      </c>
      <c r="X8" s="30">
        <f>IF(J8&lt;&gt;1,"—",MAX(0,MIN(1,I8)))</f>
        <v/>
      </c>
      <c r="Y8" s="30">
        <f>IF(J8&lt;&gt;1,"—",MAX(0,MIN(1,G8/3)))</f>
        <v/>
      </c>
      <c r="Z8" s="30">
        <f>IF(T8&lt;&gt;1,"—",Policy!$B$4*U8+Policy!$B$5*V8+Policy!$B$6*W8+Policy!$B$7*X8+Policy!$B$8*Y8)</f>
        <v/>
      </c>
      <c r="AA8" s="25">
        <f>IF(T8&lt;&gt;1,"—",1+COUNTIFS($T$5:$T$18,1,$Z$5:$Z$18,"&gt;"&amp;Z8)+COUNTIFS($T$5:$T$18,1,$Z$5:$Z$18,Z8,$AE$5:$AE$18,"&lt;"&amp;AE8))</f>
        <v/>
      </c>
      <c r="AB8" s="25">
        <f>IF(J8&lt;&gt;1,"—",IF(OR(AND(Line_Check!J8=1,Line_Check!N8=0),AND(Line_Check!V8=1,Line_Check!Z8=0),AND(Line_Check!AH8=1,Line_Check!AL8=0),AND(Line_Check!AT8=1,Line_Check!AX8=0),AND(Line_Check!BF8=1,Line_Check!BJ8=0),AND(Line_Check!BR8=1,Line_Check!BV8=0),AND(Line_Check!CD8=1,Line_Check!CH8=0),AND(Line_Check!CP8=1,Line_Check!CT8=0)),"RESERVATION_DEFICIT",IF(K8="FAIL","CAPACITY_UNAVAILABLE",IF(L8="FAIL","QUOTA_DEFICIT",IF(OR(M8="FAIL",N8="FAIL",O8="FAIL",P8="FAIL",Q8="FAIL",R8="FAIL",S8="FAIL"),"CAPACITY_UNAVAILABLE",IF(AND(T8=1,U8&lt;Policy!$B$12),"READY_WITH_RISK",IF(T8=1,"READY","CAPACITY_UNAVAILABLE")))))))</f>
        <v/>
      </c>
      <c r="AC8" s="25">
        <f>IF(T8&lt;&gt;1,"—",IF(MIN(IF(Line_Check!J8=1,Line_Check!M8,10^9),IF(Line_Check!V8=1,Line_Check!Y8,10^9),IF(Line_Check!AH8=1,Line_Check!AK8,10^9),IF(Line_Check!AT8=1,Line_Check!AW8,10^9),IF(Line_Check!BF8=1,Line_Check!BI8,10^9),IF(Line_Check!BR8=1,Line_Check!BU8,10^9),IF(Line_Check!CD8=1,Line_Check!CG8,10^9),IF(Line_Check!CP8=1,Line_Check!CS8,10^9))&lt;=MIN(IF(Line_Check!J8=1,Line_Check!S8,10^9),IF(Line_Check!V8=1,Line_Check!AE8,10^9),IF(Line_Check!AH8=1,Line_Check!AQ8,10^9),IF(Line_Check!AT8=1,Line_Check!BC8,10^9),IF(Line_Check!BF8=1,Line_Check!BO8,10^9),IF(Line_Check!BR8=1,Line_Check!CA8,10^9),IF(Line_Check!CD8=1,Line_Check!CM8,10^9),IF(Line_Check!CP8=1,Line_Check!CY8,10^9)),"CAPACITY","QUOTA"))</f>
        <v/>
      </c>
      <c r="AE8" s="36">
        <f>ROW()</f>
        <v/>
      </c>
    </row>
    <row r="9">
      <c r="A9" s="6">
        <f>Line_Check!A9</f>
        <v/>
      </c>
      <c r="B9" s="6">
        <f>Line_Check!B9</f>
        <v/>
      </c>
      <c r="C9" s="15">
        <f>Line_Check!C9</f>
        <v/>
      </c>
      <c r="D9" s="15">
        <f>Line_Check!D9</f>
        <v/>
      </c>
      <c r="E9" s="15">
        <f>Line_Check!E9</f>
        <v/>
      </c>
      <c r="F9" s="15">
        <f>Line_Check!F9</f>
        <v/>
      </c>
      <c r="G9" s="42">
        <f>Line_Check!G9</f>
        <v/>
      </c>
      <c r="H9" s="42">
        <f>Line_Check!H9</f>
        <v/>
      </c>
      <c r="I9" s="43">
        <f>Line_Check!I9</f>
        <v/>
      </c>
      <c r="J9" s="36">
        <f>IF(OR(Request!$B$22=0,Policy!$B$10&lt;&gt;"OK",Request!$B$24&lt;&gt;"OK"),0,IF(AND(Request!$B$6="",Request!$B$7&lt;&gt;"Y"),0,IF(Request!$B$6&lt;&gt;"",IF(AND(B9=Request!$B$6,C9=Request!$B$4),1,0),IF(AND(C9=Request!$B$4,D9="Standard"),1,0))))</f>
        <v/>
      </c>
      <c r="K9" s="25">
        <f>IF(MIN(IF(Line_Check!J9=1,IF(Line_Check!M9&gt;=Policy!$B$13*Line_Check!K9,1,0),1),IF(Line_Check!V9=1,IF(Line_Check!Y9&gt;=Policy!$B$13*Line_Check!W9,1,0),1),IF(Line_Check!AH9=1,IF(Line_Check!AK9&gt;=Policy!$B$13*Line_Check!AI9,1,0),1),IF(Line_Check!AT9=1,IF(Line_Check!AW9&gt;=Policy!$B$13*Line_Check!AU9,1,0),1),IF(Line_Check!BF9=1,IF(Line_Check!BI9&gt;=Policy!$B$13*Line_Check!BG9,1,0),1),IF(Line_Check!BR9=1,IF(Line_Check!BU9&gt;=Policy!$B$13*Line_Check!BS9,1,0),1),IF(Line_Check!CD9=1,IF(Line_Check!CG9&gt;=Policy!$B$13*Line_Check!CE9,1,0),1),IF(Line_Check!CP9=1,IF(Line_Check!CS9&gt;=Policy!$B$13*Line_Check!CQ9,1,0),1))=1,"PASS","FAIL")</f>
        <v/>
      </c>
      <c r="L9" s="25">
        <f>IF(MIN(IF(Line_Check!J9=1,IF(AND(Line_Check!S9&gt;=Line_Check!K9,Line_Check!S9-Line_Check!K9&gt;=Policy!$B$14),1,0),1),IF(Line_Check!V9=1,IF(AND(Line_Check!AE9&gt;=Line_Check!W9,Line_Check!AE9-Line_Check!W9&gt;=Policy!$B$14),1,0),1),IF(Line_Check!AH9=1,IF(AND(Line_Check!AQ9&gt;=Line_Check!AI9,Line_Check!AQ9-Line_Check!AI9&gt;=Policy!$B$14),1,0),1),IF(Line_Check!AT9=1,IF(AND(Line_Check!BC9&gt;=Line_Check!AU9,Line_Check!BC9-Line_Check!AU9&gt;=Policy!$B$14),1,0),1),IF(Line_Check!BF9=1,IF(AND(Line_Check!BO9&gt;=Line_Check!BG9,Line_Check!BO9-Line_Check!BG9&gt;=Policy!$B$14),1,0),1),IF(Line_Check!BR9=1,IF(AND(Line_Check!CA9&gt;=Line_Check!BS9,Line_Check!CA9-Line_Check!BS9&gt;=Policy!$B$14),1,0),1),IF(Line_Check!CD9=1,IF(AND(Line_Check!CM9&gt;=Line_Check!CE9,Line_Check!CM9-Line_Check!CE9&gt;=Policy!$B$14),1,0),1),IF(Line_Check!CP9=1,IF(AND(Line_Check!CY9&gt;=Line_Check!CQ9,Line_Check!CY9-Line_Check!CQ9&gt;=Policy!$B$14),1,0),1))=1,"PASS","FAIL")</f>
        <v/>
      </c>
      <c r="M9" s="25">
        <f>IF(G9&gt;=2,"PASS","FAIL")</f>
        <v/>
      </c>
      <c r="N9" s="25" t="inlineStr">
        <is>
          <t>N/A</t>
        </is>
      </c>
      <c r="O9" s="25" t="inlineStr">
        <is>
          <t>N/A</t>
        </is>
      </c>
      <c r="P9" s="25">
        <f>IF(C9=Request!$B$4,"PASS","FAIL")</f>
        <v/>
      </c>
      <c r="Q9" s="25">
        <f>IF(OR(D9="Standard",B9=Request!$B$6),"PASS","FAIL")</f>
        <v/>
      </c>
      <c r="R9" s="25" t="inlineStr">
        <is>
          <t>N/A</t>
        </is>
      </c>
      <c r="S9" s="25">
        <f>IF(MIN(IF(Line_Check!J9=1,IF(MIN(Line_Check!M9,Line_Check!S9)&gt;=Line_Check!K9,1,0),1),IF(Line_Check!V9=1,IF(MIN(Line_Check!Y9,Line_Check!AE9)&gt;=Line_Check!W9,1,0),1),IF(Line_Check!AH9=1,IF(MIN(Line_Check!AK9,Line_Check!AQ9)&gt;=Line_Check!AI9,1,0),1),IF(Line_Check!AT9=1,IF(MIN(Line_Check!AW9,Line_Check!BC9)&gt;=Line_Check!AU9,1,0),1),IF(Line_Check!BF9=1,IF(MIN(Line_Check!BI9,Line_Check!BO9)&gt;=Line_Check!BG9,1,0),1),IF(Line_Check!BR9=1,IF(MIN(Line_Check!BU9,Line_Check!CA9)&gt;=Line_Check!BS9,1,0),1),IF(Line_Check!CD9=1,IF(MIN(Line_Check!CG9,Line_Check!CM9)&gt;=Line_Check!CE9,1,0),1),IF(Line_Check!CP9=1,IF(MIN(Line_Check!CS9,Line_Check!CY9)&gt;=Line_Check!CQ9,1,0),1))=1,"PASS","FAIL")</f>
        <v/>
      </c>
      <c r="T9" s="36">
        <f>IF(AND(J9=1,OR(K9="PASS",K9="N/A"),OR(L9="PASS",L9="N/A"),OR(M9="PASS",M9="N/A"),OR(N9="PASS",N9="N/A"),OR(O9="PASS",O9="N/A"),OR(P9="PASS",P9="N/A"),OR(Q9="PASS",Q9="N/A"),OR(R9="PASS",R9="N/A"),OR(S9="PASS",S9="N/A")),1,0)</f>
        <v/>
      </c>
      <c r="U9" s="30">
        <f>IF(J9&lt;&gt;1,"—",MIN(IF(Line_Check!J9=1,MAX(0,MIN(1,IF(Line_Check!N9=0,0,Line_Check!O9/Line_Check!N9))),1),IF(Line_Check!V9=1,MAX(0,MIN(1,IF(Line_Check!Z9=0,0,Line_Check!AA9/Line_Check!Z9))),1),IF(Line_Check!AH9=1,MAX(0,MIN(1,IF(Line_Check!AL9=0,0,Line_Check!AM9/Line_Check!AL9))),1),IF(Line_Check!AT9=1,MAX(0,MIN(1,IF(Line_Check!AX9=0,0,Line_Check!AY9/Line_Check!AX9))),1),IF(Line_Check!BF9=1,MAX(0,MIN(1,IF(Line_Check!BJ9=0,0,Line_Check!BK9/Line_Check!BJ9))),1),IF(Line_Check!BR9=1,MAX(0,MIN(1,IF(Line_Check!BV9=0,0,Line_Check!BW9/Line_Check!BV9))),1),IF(Line_Check!CD9=1,MAX(0,MIN(1,IF(Line_Check!CH9=0,0,Line_Check!CI9/Line_Check!CH9))),1),IF(Line_Check!CP9=1,MAX(0,MIN(1,IF(Line_Check!CT9=0,0,Line_Check!CU9/Line_Check!CT9))),1)))</f>
        <v/>
      </c>
      <c r="V9" s="30">
        <f>IF(J9&lt;&gt;1,"—",MIN(IF(Line_Check!J9=1,MAX(0,MIN(1,IF(Line_Check!T9=0,0,Line_Check!S9/Line_Check!T9))),1),IF(Line_Check!V9=1,MAX(0,MIN(1,IF(Line_Check!AF9=0,0,Line_Check!AE9/Line_Check!AF9))),1),IF(Line_Check!AH9=1,MAX(0,MIN(1,IF(Line_Check!AR9=0,0,Line_Check!AQ9/Line_Check!AR9))),1),IF(Line_Check!AT9=1,MAX(0,MIN(1,IF(Line_Check!BD9=0,0,Line_Check!BC9/Line_Check!BD9))),1),IF(Line_Check!BF9=1,MAX(0,MIN(1,IF(Line_Check!BP9=0,0,Line_Check!BO9/Line_Check!BP9))),1),IF(Line_Check!BR9=1,MAX(0,MIN(1,IF(Line_Check!CB9=0,0,Line_Check!CA9/Line_Check!CB9))),1),IF(Line_Check!CD9=1,MAX(0,MIN(1,IF(Line_Check!CN9=0,0,Line_Check!CM9/Line_Check!CN9))),1),IF(Line_Check!CP9=1,MAX(0,MIN(1,IF(Line_Check!CZ9=0,0,Line_Check!CY9/Line_Check!CZ9))),1)))</f>
        <v/>
      </c>
      <c r="W9" s="30">
        <f>IF(J9&lt;&gt;1,"—",IF(SUMIFS($H$5:$H$18,$C$5:$C$18,C9)=0,1,MAX(0,MIN(1,1-H9/SUMIFS($H$5:$H$18,$C$5:$C$18,C9)))))</f>
        <v/>
      </c>
      <c r="X9" s="30">
        <f>IF(J9&lt;&gt;1,"—",MAX(0,MIN(1,I9)))</f>
        <v/>
      </c>
      <c r="Y9" s="30">
        <f>IF(J9&lt;&gt;1,"—",MAX(0,MIN(1,G9/3)))</f>
        <v/>
      </c>
      <c r="Z9" s="30">
        <f>IF(T9&lt;&gt;1,"—",Policy!$B$4*U9+Policy!$B$5*V9+Policy!$B$6*W9+Policy!$B$7*X9+Policy!$B$8*Y9)</f>
        <v/>
      </c>
      <c r="AA9" s="25">
        <f>IF(T9&lt;&gt;1,"—",1+COUNTIFS($T$5:$T$18,1,$Z$5:$Z$18,"&gt;"&amp;Z9)+COUNTIFS($T$5:$T$18,1,$Z$5:$Z$18,Z9,$AE$5:$AE$18,"&lt;"&amp;AE9))</f>
        <v/>
      </c>
      <c r="AB9" s="25">
        <f>IF(J9&lt;&gt;1,"—",IF(OR(AND(Line_Check!J9=1,Line_Check!N9=0),AND(Line_Check!V9=1,Line_Check!Z9=0),AND(Line_Check!AH9=1,Line_Check!AL9=0),AND(Line_Check!AT9=1,Line_Check!AX9=0),AND(Line_Check!BF9=1,Line_Check!BJ9=0),AND(Line_Check!BR9=1,Line_Check!BV9=0),AND(Line_Check!CD9=1,Line_Check!CH9=0),AND(Line_Check!CP9=1,Line_Check!CT9=0)),"RESERVATION_DEFICIT",IF(K9="FAIL","CAPACITY_UNAVAILABLE",IF(L9="FAIL","QUOTA_DEFICIT",IF(OR(M9="FAIL",N9="FAIL",O9="FAIL",P9="FAIL",Q9="FAIL",R9="FAIL",S9="FAIL"),"CAPACITY_UNAVAILABLE",IF(AND(T9=1,U9&lt;Policy!$B$12),"READY_WITH_RISK",IF(T9=1,"READY","CAPACITY_UNAVAILABLE")))))))</f>
        <v/>
      </c>
      <c r="AC9" s="25">
        <f>IF(T9&lt;&gt;1,"—",IF(MIN(IF(Line_Check!J9=1,Line_Check!M9,10^9),IF(Line_Check!V9=1,Line_Check!Y9,10^9),IF(Line_Check!AH9=1,Line_Check!AK9,10^9),IF(Line_Check!AT9=1,Line_Check!AW9,10^9),IF(Line_Check!BF9=1,Line_Check!BI9,10^9),IF(Line_Check!BR9=1,Line_Check!BU9,10^9),IF(Line_Check!CD9=1,Line_Check!CG9,10^9),IF(Line_Check!CP9=1,Line_Check!CS9,10^9))&lt;=MIN(IF(Line_Check!J9=1,Line_Check!S9,10^9),IF(Line_Check!V9=1,Line_Check!AE9,10^9),IF(Line_Check!AH9=1,Line_Check!AQ9,10^9),IF(Line_Check!AT9=1,Line_Check!BC9,10^9),IF(Line_Check!BF9=1,Line_Check!BO9,10^9),IF(Line_Check!BR9=1,Line_Check!CA9,10^9),IF(Line_Check!CD9=1,Line_Check!CM9,10^9),IF(Line_Check!CP9=1,Line_Check!CY9,10^9)),"CAPACITY","QUOTA"))</f>
        <v/>
      </c>
      <c r="AE9" s="36">
        <f>ROW()</f>
        <v/>
      </c>
    </row>
    <row r="10">
      <c r="A10" s="6">
        <f>Line_Check!A10</f>
        <v/>
      </c>
      <c r="B10" s="6">
        <f>Line_Check!B10</f>
        <v/>
      </c>
      <c r="C10" s="15">
        <f>Line_Check!C10</f>
        <v/>
      </c>
      <c r="D10" s="15">
        <f>Line_Check!D10</f>
        <v/>
      </c>
      <c r="E10" s="15">
        <f>Line_Check!E10</f>
        <v/>
      </c>
      <c r="F10" s="15">
        <f>Line_Check!F10</f>
        <v/>
      </c>
      <c r="G10" s="42">
        <f>Line_Check!G10</f>
        <v/>
      </c>
      <c r="H10" s="42">
        <f>Line_Check!H10</f>
        <v/>
      </c>
      <c r="I10" s="43">
        <f>Line_Check!I10</f>
        <v/>
      </c>
      <c r="J10" s="36">
        <f>IF(OR(Request!$B$22=0,Policy!$B$10&lt;&gt;"OK",Request!$B$24&lt;&gt;"OK"),0,IF(AND(Request!$B$6="",Request!$B$7&lt;&gt;"Y"),0,IF(Request!$B$6&lt;&gt;"",IF(AND(B10=Request!$B$6,C10=Request!$B$4),1,0),IF(AND(C10=Request!$B$4,D10="Standard"),1,0))))</f>
        <v/>
      </c>
      <c r="K10" s="25">
        <f>IF(MIN(IF(Line_Check!J10=1,IF(Line_Check!M10&gt;=Policy!$B$13*Line_Check!K10,1,0),1),IF(Line_Check!V10=1,IF(Line_Check!Y10&gt;=Policy!$B$13*Line_Check!W10,1,0),1),IF(Line_Check!AH10=1,IF(Line_Check!AK10&gt;=Policy!$B$13*Line_Check!AI10,1,0),1),IF(Line_Check!AT10=1,IF(Line_Check!AW10&gt;=Policy!$B$13*Line_Check!AU10,1,0),1),IF(Line_Check!BF10=1,IF(Line_Check!BI10&gt;=Policy!$B$13*Line_Check!BG10,1,0),1),IF(Line_Check!BR10=1,IF(Line_Check!BU10&gt;=Policy!$B$13*Line_Check!BS10,1,0),1),IF(Line_Check!CD10=1,IF(Line_Check!CG10&gt;=Policy!$B$13*Line_Check!CE10,1,0),1),IF(Line_Check!CP10=1,IF(Line_Check!CS10&gt;=Policy!$B$13*Line_Check!CQ10,1,0),1))=1,"PASS","FAIL")</f>
        <v/>
      </c>
      <c r="L10" s="25">
        <f>IF(MIN(IF(Line_Check!J10=1,IF(AND(Line_Check!S10&gt;=Line_Check!K10,Line_Check!S10-Line_Check!K10&gt;=Policy!$B$14),1,0),1),IF(Line_Check!V10=1,IF(AND(Line_Check!AE10&gt;=Line_Check!W10,Line_Check!AE10-Line_Check!W10&gt;=Policy!$B$14),1,0),1),IF(Line_Check!AH10=1,IF(AND(Line_Check!AQ10&gt;=Line_Check!AI10,Line_Check!AQ10-Line_Check!AI10&gt;=Policy!$B$14),1,0),1),IF(Line_Check!AT10=1,IF(AND(Line_Check!BC10&gt;=Line_Check!AU10,Line_Check!BC10-Line_Check!AU10&gt;=Policy!$B$14),1,0),1),IF(Line_Check!BF10=1,IF(AND(Line_Check!BO10&gt;=Line_Check!BG10,Line_Check!BO10-Line_Check!BG10&gt;=Policy!$B$14),1,0),1),IF(Line_Check!BR10=1,IF(AND(Line_Check!CA10&gt;=Line_Check!BS10,Line_Check!CA10-Line_Check!BS10&gt;=Policy!$B$14),1,0),1),IF(Line_Check!CD10=1,IF(AND(Line_Check!CM10&gt;=Line_Check!CE10,Line_Check!CM10-Line_Check!CE10&gt;=Policy!$B$14),1,0),1),IF(Line_Check!CP10=1,IF(AND(Line_Check!CY10&gt;=Line_Check!CQ10,Line_Check!CY10-Line_Check!CQ10&gt;=Policy!$B$14),1,0),1))=1,"PASS","FAIL")</f>
        <v/>
      </c>
      <c r="M10" s="25">
        <f>IF(G10&gt;=2,"PASS","FAIL")</f>
        <v/>
      </c>
      <c r="N10" s="25" t="inlineStr">
        <is>
          <t>N/A</t>
        </is>
      </c>
      <c r="O10" s="25" t="inlineStr">
        <is>
          <t>N/A</t>
        </is>
      </c>
      <c r="P10" s="25">
        <f>IF(C10=Request!$B$4,"PASS","FAIL")</f>
        <v/>
      </c>
      <c r="Q10" s="25">
        <f>IF(OR(D10="Standard",B10=Request!$B$6),"PASS","FAIL")</f>
        <v/>
      </c>
      <c r="R10" s="25" t="inlineStr">
        <is>
          <t>N/A</t>
        </is>
      </c>
      <c r="S10" s="25">
        <f>IF(MIN(IF(Line_Check!J10=1,IF(MIN(Line_Check!M10,Line_Check!S10)&gt;=Line_Check!K10,1,0),1),IF(Line_Check!V10=1,IF(MIN(Line_Check!Y10,Line_Check!AE10)&gt;=Line_Check!W10,1,0),1),IF(Line_Check!AH10=1,IF(MIN(Line_Check!AK10,Line_Check!AQ10)&gt;=Line_Check!AI10,1,0),1),IF(Line_Check!AT10=1,IF(MIN(Line_Check!AW10,Line_Check!BC10)&gt;=Line_Check!AU10,1,0),1),IF(Line_Check!BF10=1,IF(MIN(Line_Check!BI10,Line_Check!BO10)&gt;=Line_Check!BG10,1,0),1),IF(Line_Check!BR10=1,IF(MIN(Line_Check!BU10,Line_Check!CA10)&gt;=Line_Check!BS10,1,0),1),IF(Line_Check!CD10=1,IF(MIN(Line_Check!CG10,Line_Check!CM10)&gt;=Line_Check!CE10,1,0),1),IF(Line_Check!CP10=1,IF(MIN(Line_Check!CS10,Line_Check!CY10)&gt;=Line_Check!CQ10,1,0),1))=1,"PASS","FAIL")</f>
        <v/>
      </c>
      <c r="T10" s="36">
        <f>IF(AND(J10=1,OR(K10="PASS",K10="N/A"),OR(L10="PASS",L10="N/A"),OR(M10="PASS",M10="N/A"),OR(N10="PASS",N10="N/A"),OR(O10="PASS",O10="N/A"),OR(P10="PASS",P10="N/A"),OR(Q10="PASS",Q10="N/A"),OR(R10="PASS",R10="N/A"),OR(S10="PASS",S10="N/A")),1,0)</f>
        <v/>
      </c>
      <c r="U10" s="30">
        <f>IF(J10&lt;&gt;1,"—",MIN(IF(Line_Check!J10=1,MAX(0,MIN(1,IF(Line_Check!N10=0,0,Line_Check!O10/Line_Check!N10))),1),IF(Line_Check!V10=1,MAX(0,MIN(1,IF(Line_Check!Z10=0,0,Line_Check!AA10/Line_Check!Z10))),1),IF(Line_Check!AH10=1,MAX(0,MIN(1,IF(Line_Check!AL10=0,0,Line_Check!AM10/Line_Check!AL10))),1),IF(Line_Check!AT10=1,MAX(0,MIN(1,IF(Line_Check!AX10=0,0,Line_Check!AY10/Line_Check!AX10))),1),IF(Line_Check!BF10=1,MAX(0,MIN(1,IF(Line_Check!BJ10=0,0,Line_Check!BK10/Line_Check!BJ10))),1),IF(Line_Check!BR10=1,MAX(0,MIN(1,IF(Line_Check!BV10=0,0,Line_Check!BW10/Line_Check!BV10))),1),IF(Line_Check!CD10=1,MAX(0,MIN(1,IF(Line_Check!CH10=0,0,Line_Check!CI10/Line_Check!CH10))),1),IF(Line_Check!CP10=1,MAX(0,MIN(1,IF(Line_Check!CT10=0,0,Line_Check!CU10/Line_Check!CT10))),1)))</f>
        <v/>
      </c>
      <c r="V10" s="30">
        <f>IF(J10&lt;&gt;1,"—",MIN(IF(Line_Check!J10=1,MAX(0,MIN(1,IF(Line_Check!T10=0,0,Line_Check!S10/Line_Check!T10))),1),IF(Line_Check!V10=1,MAX(0,MIN(1,IF(Line_Check!AF10=0,0,Line_Check!AE10/Line_Check!AF10))),1),IF(Line_Check!AH10=1,MAX(0,MIN(1,IF(Line_Check!AR10=0,0,Line_Check!AQ10/Line_Check!AR10))),1),IF(Line_Check!AT10=1,MAX(0,MIN(1,IF(Line_Check!BD10=0,0,Line_Check!BC10/Line_Check!BD10))),1),IF(Line_Check!BF10=1,MAX(0,MIN(1,IF(Line_Check!BP10=0,0,Line_Check!BO10/Line_Check!BP10))),1),IF(Line_Check!BR10=1,MAX(0,MIN(1,IF(Line_Check!CB10=0,0,Line_Check!CA10/Line_Check!CB10))),1),IF(Line_Check!CD10=1,MAX(0,MIN(1,IF(Line_Check!CN10=0,0,Line_Check!CM10/Line_Check!CN10))),1),IF(Line_Check!CP10=1,MAX(0,MIN(1,IF(Line_Check!CZ10=0,0,Line_Check!CY10/Line_Check!CZ10))),1)))</f>
        <v/>
      </c>
      <c r="W10" s="30">
        <f>IF(J10&lt;&gt;1,"—",IF(SUMIFS($H$5:$H$18,$C$5:$C$18,C10)=0,1,MAX(0,MIN(1,1-H10/SUMIFS($H$5:$H$18,$C$5:$C$18,C10)))))</f>
        <v/>
      </c>
      <c r="X10" s="30">
        <f>IF(J10&lt;&gt;1,"—",MAX(0,MIN(1,I10)))</f>
        <v/>
      </c>
      <c r="Y10" s="30">
        <f>IF(J10&lt;&gt;1,"—",MAX(0,MIN(1,G10/3)))</f>
        <v/>
      </c>
      <c r="Z10" s="30">
        <f>IF(T10&lt;&gt;1,"—",Policy!$B$4*U10+Policy!$B$5*V10+Policy!$B$6*W10+Policy!$B$7*X10+Policy!$B$8*Y10)</f>
        <v/>
      </c>
      <c r="AA10" s="25">
        <f>IF(T10&lt;&gt;1,"—",1+COUNTIFS($T$5:$T$18,1,$Z$5:$Z$18,"&gt;"&amp;Z10)+COUNTIFS($T$5:$T$18,1,$Z$5:$Z$18,Z10,$AE$5:$AE$18,"&lt;"&amp;AE10))</f>
        <v/>
      </c>
      <c r="AB10" s="25">
        <f>IF(J10&lt;&gt;1,"—",IF(OR(AND(Line_Check!J10=1,Line_Check!N10=0),AND(Line_Check!V10=1,Line_Check!Z10=0),AND(Line_Check!AH10=1,Line_Check!AL10=0),AND(Line_Check!AT10=1,Line_Check!AX10=0),AND(Line_Check!BF10=1,Line_Check!BJ10=0),AND(Line_Check!BR10=1,Line_Check!BV10=0),AND(Line_Check!CD10=1,Line_Check!CH10=0),AND(Line_Check!CP10=1,Line_Check!CT10=0)),"RESERVATION_DEFICIT",IF(K10="FAIL","CAPACITY_UNAVAILABLE",IF(L10="FAIL","QUOTA_DEFICIT",IF(OR(M10="FAIL",N10="FAIL",O10="FAIL",P10="FAIL",Q10="FAIL",R10="FAIL",S10="FAIL"),"CAPACITY_UNAVAILABLE",IF(AND(T10=1,U10&lt;Policy!$B$12),"READY_WITH_RISK",IF(T10=1,"READY","CAPACITY_UNAVAILABLE")))))))</f>
        <v/>
      </c>
      <c r="AC10" s="25">
        <f>IF(T10&lt;&gt;1,"—",IF(MIN(IF(Line_Check!J10=1,Line_Check!M10,10^9),IF(Line_Check!V10=1,Line_Check!Y10,10^9),IF(Line_Check!AH10=1,Line_Check!AK10,10^9),IF(Line_Check!AT10=1,Line_Check!AW10,10^9),IF(Line_Check!BF10=1,Line_Check!BI10,10^9),IF(Line_Check!BR10=1,Line_Check!BU10,10^9),IF(Line_Check!CD10=1,Line_Check!CG10,10^9),IF(Line_Check!CP10=1,Line_Check!CS10,10^9))&lt;=MIN(IF(Line_Check!J10=1,Line_Check!S10,10^9),IF(Line_Check!V10=1,Line_Check!AE10,10^9),IF(Line_Check!AH10=1,Line_Check!AQ10,10^9),IF(Line_Check!AT10=1,Line_Check!BC10,10^9),IF(Line_Check!BF10=1,Line_Check!BO10,10^9),IF(Line_Check!BR10=1,Line_Check!CA10,10^9),IF(Line_Check!CD10=1,Line_Check!CM10,10^9),IF(Line_Check!CP10=1,Line_Check!CY10,10^9)),"CAPACITY","QUOTA"))</f>
        <v/>
      </c>
      <c r="AE10" s="36">
        <f>ROW()</f>
        <v/>
      </c>
    </row>
    <row r="11">
      <c r="A11" s="6">
        <f>Line_Check!A11</f>
        <v/>
      </c>
      <c r="B11" s="6">
        <f>Line_Check!B11</f>
        <v/>
      </c>
      <c r="C11" s="15">
        <f>Line_Check!C11</f>
        <v/>
      </c>
      <c r="D11" s="15">
        <f>Line_Check!D11</f>
        <v/>
      </c>
      <c r="E11" s="15">
        <f>Line_Check!E11</f>
        <v/>
      </c>
      <c r="F11" s="15">
        <f>Line_Check!F11</f>
        <v/>
      </c>
      <c r="G11" s="42">
        <f>Line_Check!G11</f>
        <v/>
      </c>
      <c r="H11" s="42">
        <f>Line_Check!H11</f>
        <v/>
      </c>
      <c r="I11" s="43">
        <f>Line_Check!I11</f>
        <v/>
      </c>
      <c r="J11" s="36">
        <f>IF(OR(Request!$B$22=0,Policy!$B$10&lt;&gt;"OK",Request!$B$24&lt;&gt;"OK"),0,IF(AND(Request!$B$6="",Request!$B$7&lt;&gt;"Y"),0,IF(Request!$B$6&lt;&gt;"",IF(AND(B11=Request!$B$6,C11=Request!$B$4),1,0),IF(AND(C11=Request!$B$4,D11="Standard"),1,0))))</f>
        <v/>
      </c>
      <c r="K11" s="25">
        <f>IF(MIN(IF(Line_Check!J11=1,IF(Line_Check!M11&gt;=Policy!$B$13*Line_Check!K11,1,0),1),IF(Line_Check!V11=1,IF(Line_Check!Y11&gt;=Policy!$B$13*Line_Check!W11,1,0),1),IF(Line_Check!AH11=1,IF(Line_Check!AK11&gt;=Policy!$B$13*Line_Check!AI11,1,0),1),IF(Line_Check!AT11=1,IF(Line_Check!AW11&gt;=Policy!$B$13*Line_Check!AU11,1,0),1),IF(Line_Check!BF11=1,IF(Line_Check!BI11&gt;=Policy!$B$13*Line_Check!BG11,1,0),1),IF(Line_Check!BR11=1,IF(Line_Check!BU11&gt;=Policy!$B$13*Line_Check!BS11,1,0),1),IF(Line_Check!CD11=1,IF(Line_Check!CG11&gt;=Policy!$B$13*Line_Check!CE11,1,0),1),IF(Line_Check!CP11=1,IF(Line_Check!CS11&gt;=Policy!$B$13*Line_Check!CQ11,1,0),1))=1,"PASS","FAIL")</f>
        <v/>
      </c>
      <c r="L11" s="25">
        <f>IF(MIN(IF(Line_Check!J11=1,IF(AND(Line_Check!S11&gt;=Line_Check!K11,Line_Check!S11-Line_Check!K11&gt;=Policy!$B$14),1,0),1),IF(Line_Check!V11=1,IF(AND(Line_Check!AE11&gt;=Line_Check!W11,Line_Check!AE11-Line_Check!W11&gt;=Policy!$B$14),1,0),1),IF(Line_Check!AH11=1,IF(AND(Line_Check!AQ11&gt;=Line_Check!AI11,Line_Check!AQ11-Line_Check!AI11&gt;=Policy!$B$14),1,0),1),IF(Line_Check!AT11=1,IF(AND(Line_Check!BC11&gt;=Line_Check!AU11,Line_Check!BC11-Line_Check!AU11&gt;=Policy!$B$14),1,0),1),IF(Line_Check!BF11=1,IF(AND(Line_Check!BO11&gt;=Line_Check!BG11,Line_Check!BO11-Line_Check!BG11&gt;=Policy!$B$14),1,0),1),IF(Line_Check!BR11=1,IF(AND(Line_Check!CA11&gt;=Line_Check!BS11,Line_Check!CA11-Line_Check!BS11&gt;=Policy!$B$14),1,0),1),IF(Line_Check!CD11=1,IF(AND(Line_Check!CM11&gt;=Line_Check!CE11,Line_Check!CM11-Line_Check!CE11&gt;=Policy!$B$14),1,0),1),IF(Line_Check!CP11=1,IF(AND(Line_Check!CY11&gt;=Line_Check!CQ11,Line_Check!CY11-Line_Check!CQ11&gt;=Policy!$B$14),1,0),1))=1,"PASS","FAIL")</f>
        <v/>
      </c>
      <c r="M11" s="25">
        <f>IF(G11&gt;=2,"PASS","FAIL")</f>
        <v/>
      </c>
      <c r="N11" s="25" t="inlineStr">
        <is>
          <t>N/A</t>
        </is>
      </c>
      <c r="O11" s="25" t="inlineStr">
        <is>
          <t>N/A</t>
        </is>
      </c>
      <c r="P11" s="25">
        <f>IF(C11=Request!$B$4,"PASS","FAIL")</f>
        <v/>
      </c>
      <c r="Q11" s="25">
        <f>IF(OR(D11="Standard",B11=Request!$B$6),"PASS","FAIL")</f>
        <v/>
      </c>
      <c r="R11" s="25" t="inlineStr">
        <is>
          <t>N/A</t>
        </is>
      </c>
      <c r="S11" s="25">
        <f>IF(MIN(IF(Line_Check!J11=1,IF(MIN(Line_Check!M11,Line_Check!S11)&gt;=Line_Check!K11,1,0),1),IF(Line_Check!V11=1,IF(MIN(Line_Check!Y11,Line_Check!AE11)&gt;=Line_Check!W11,1,0),1),IF(Line_Check!AH11=1,IF(MIN(Line_Check!AK11,Line_Check!AQ11)&gt;=Line_Check!AI11,1,0),1),IF(Line_Check!AT11=1,IF(MIN(Line_Check!AW11,Line_Check!BC11)&gt;=Line_Check!AU11,1,0),1),IF(Line_Check!BF11=1,IF(MIN(Line_Check!BI11,Line_Check!BO11)&gt;=Line_Check!BG11,1,0),1),IF(Line_Check!BR11=1,IF(MIN(Line_Check!BU11,Line_Check!CA11)&gt;=Line_Check!BS11,1,0),1),IF(Line_Check!CD11=1,IF(MIN(Line_Check!CG11,Line_Check!CM11)&gt;=Line_Check!CE11,1,0),1),IF(Line_Check!CP11=1,IF(MIN(Line_Check!CS11,Line_Check!CY11)&gt;=Line_Check!CQ11,1,0),1))=1,"PASS","FAIL")</f>
        <v/>
      </c>
      <c r="T11" s="36">
        <f>IF(AND(J11=1,OR(K11="PASS",K11="N/A"),OR(L11="PASS",L11="N/A"),OR(M11="PASS",M11="N/A"),OR(N11="PASS",N11="N/A"),OR(O11="PASS",O11="N/A"),OR(P11="PASS",P11="N/A"),OR(Q11="PASS",Q11="N/A"),OR(R11="PASS",R11="N/A"),OR(S11="PASS",S11="N/A")),1,0)</f>
        <v/>
      </c>
      <c r="U11" s="30">
        <f>IF(J11&lt;&gt;1,"—",MIN(IF(Line_Check!J11=1,MAX(0,MIN(1,IF(Line_Check!N11=0,0,Line_Check!O11/Line_Check!N11))),1),IF(Line_Check!V11=1,MAX(0,MIN(1,IF(Line_Check!Z11=0,0,Line_Check!AA11/Line_Check!Z11))),1),IF(Line_Check!AH11=1,MAX(0,MIN(1,IF(Line_Check!AL11=0,0,Line_Check!AM11/Line_Check!AL11))),1),IF(Line_Check!AT11=1,MAX(0,MIN(1,IF(Line_Check!AX11=0,0,Line_Check!AY11/Line_Check!AX11))),1),IF(Line_Check!BF11=1,MAX(0,MIN(1,IF(Line_Check!BJ11=0,0,Line_Check!BK11/Line_Check!BJ11))),1),IF(Line_Check!BR11=1,MAX(0,MIN(1,IF(Line_Check!BV11=0,0,Line_Check!BW11/Line_Check!BV11))),1),IF(Line_Check!CD11=1,MAX(0,MIN(1,IF(Line_Check!CH11=0,0,Line_Check!CI11/Line_Check!CH11))),1),IF(Line_Check!CP11=1,MAX(0,MIN(1,IF(Line_Check!CT11=0,0,Line_Check!CU11/Line_Check!CT11))),1)))</f>
        <v/>
      </c>
      <c r="V11" s="30">
        <f>IF(J11&lt;&gt;1,"—",MIN(IF(Line_Check!J11=1,MAX(0,MIN(1,IF(Line_Check!T11=0,0,Line_Check!S11/Line_Check!T11))),1),IF(Line_Check!V11=1,MAX(0,MIN(1,IF(Line_Check!AF11=0,0,Line_Check!AE11/Line_Check!AF11))),1),IF(Line_Check!AH11=1,MAX(0,MIN(1,IF(Line_Check!AR11=0,0,Line_Check!AQ11/Line_Check!AR11))),1),IF(Line_Check!AT11=1,MAX(0,MIN(1,IF(Line_Check!BD11=0,0,Line_Check!BC11/Line_Check!BD11))),1),IF(Line_Check!BF11=1,MAX(0,MIN(1,IF(Line_Check!BP11=0,0,Line_Check!BO11/Line_Check!BP11))),1),IF(Line_Check!BR11=1,MAX(0,MIN(1,IF(Line_Check!CB11=0,0,Line_Check!CA11/Line_Check!CB11))),1),IF(Line_Check!CD11=1,MAX(0,MIN(1,IF(Line_Check!CN11=0,0,Line_Check!CM11/Line_Check!CN11))),1),IF(Line_Check!CP11=1,MAX(0,MIN(1,IF(Line_Check!CZ11=0,0,Line_Check!CY11/Line_Check!CZ11))),1)))</f>
        <v/>
      </c>
      <c r="W11" s="30">
        <f>IF(J11&lt;&gt;1,"—",IF(SUMIFS($H$5:$H$18,$C$5:$C$18,C11)=0,1,MAX(0,MIN(1,1-H11/SUMIFS($H$5:$H$18,$C$5:$C$18,C11)))))</f>
        <v/>
      </c>
      <c r="X11" s="30">
        <f>IF(J11&lt;&gt;1,"—",MAX(0,MIN(1,I11)))</f>
        <v/>
      </c>
      <c r="Y11" s="30">
        <f>IF(J11&lt;&gt;1,"—",MAX(0,MIN(1,G11/3)))</f>
        <v/>
      </c>
      <c r="Z11" s="30">
        <f>IF(T11&lt;&gt;1,"—",Policy!$B$4*U11+Policy!$B$5*V11+Policy!$B$6*W11+Policy!$B$7*X11+Policy!$B$8*Y11)</f>
        <v/>
      </c>
      <c r="AA11" s="25">
        <f>IF(T11&lt;&gt;1,"—",1+COUNTIFS($T$5:$T$18,1,$Z$5:$Z$18,"&gt;"&amp;Z11)+COUNTIFS($T$5:$T$18,1,$Z$5:$Z$18,Z11,$AE$5:$AE$18,"&lt;"&amp;AE11))</f>
        <v/>
      </c>
      <c r="AB11" s="25">
        <f>IF(J11&lt;&gt;1,"—",IF(OR(AND(Line_Check!J11=1,Line_Check!N11=0),AND(Line_Check!V11=1,Line_Check!Z11=0),AND(Line_Check!AH11=1,Line_Check!AL11=0),AND(Line_Check!AT11=1,Line_Check!AX11=0),AND(Line_Check!BF11=1,Line_Check!BJ11=0),AND(Line_Check!BR11=1,Line_Check!BV11=0),AND(Line_Check!CD11=1,Line_Check!CH11=0),AND(Line_Check!CP11=1,Line_Check!CT11=0)),"RESERVATION_DEFICIT",IF(K11="FAIL","CAPACITY_UNAVAILABLE",IF(L11="FAIL","QUOTA_DEFICIT",IF(OR(M11="FAIL",N11="FAIL",O11="FAIL",P11="FAIL",Q11="FAIL",R11="FAIL",S11="FAIL"),"CAPACITY_UNAVAILABLE",IF(AND(T11=1,U11&lt;Policy!$B$12),"READY_WITH_RISK",IF(T11=1,"READY","CAPACITY_UNAVAILABLE")))))))</f>
        <v/>
      </c>
      <c r="AC11" s="25">
        <f>IF(T11&lt;&gt;1,"—",IF(MIN(IF(Line_Check!J11=1,Line_Check!M11,10^9),IF(Line_Check!V11=1,Line_Check!Y11,10^9),IF(Line_Check!AH11=1,Line_Check!AK11,10^9),IF(Line_Check!AT11=1,Line_Check!AW11,10^9),IF(Line_Check!BF11=1,Line_Check!BI11,10^9),IF(Line_Check!BR11=1,Line_Check!BU11,10^9),IF(Line_Check!CD11=1,Line_Check!CG11,10^9),IF(Line_Check!CP11=1,Line_Check!CS11,10^9))&lt;=MIN(IF(Line_Check!J11=1,Line_Check!S11,10^9),IF(Line_Check!V11=1,Line_Check!AE11,10^9),IF(Line_Check!AH11=1,Line_Check!AQ11,10^9),IF(Line_Check!AT11=1,Line_Check!BC11,10^9),IF(Line_Check!BF11=1,Line_Check!BO11,10^9),IF(Line_Check!BR11=1,Line_Check!CA11,10^9),IF(Line_Check!CD11=1,Line_Check!CM11,10^9),IF(Line_Check!CP11=1,Line_Check!CY11,10^9)),"CAPACITY","QUOTA"))</f>
        <v/>
      </c>
      <c r="AE11" s="36">
        <f>ROW()</f>
        <v/>
      </c>
    </row>
    <row r="12">
      <c r="A12" s="6">
        <f>Line_Check!A12</f>
        <v/>
      </c>
      <c r="B12" s="6">
        <f>Line_Check!B12</f>
        <v/>
      </c>
      <c r="C12" s="15">
        <f>Line_Check!C12</f>
        <v/>
      </c>
      <c r="D12" s="15">
        <f>Line_Check!D12</f>
        <v/>
      </c>
      <c r="E12" s="15">
        <f>Line_Check!E12</f>
        <v/>
      </c>
      <c r="F12" s="15">
        <f>Line_Check!F12</f>
        <v/>
      </c>
      <c r="G12" s="42">
        <f>Line_Check!G12</f>
        <v/>
      </c>
      <c r="H12" s="42">
        <f>Line_Check!H12</f>
        <v/>
      </c>
      <c r="I12" s="43">
        <f>Line_Check!I12</f>
        <v/>
      </c>
      <c r="J12" s="36">
        <f>IF(OR(Request!$B$22=0,Policy!$B$10&lt;&gt;"OK",Request!$B$24&lt;&gt;"OK"),0,IF(AND(Request!$B$6="",Request!$B$7&lt;&gt;"Y"),0,IF(Request!$B$6&lt;&gt;"",IF(AND(B12=Request!$B$6,C12=Request!$B$4),1,0),IF(AND(C12=Request!$B$4,D12="Standard"),1,0))))</f>
        <v/>
      </c>
      <c r="K12" s="25">
        <f>IF(MIN(IF(Line_Check!J12=1,IF(Line_Check!M12&gt;=Policy!$B$13*Line_Check!K12,1,0),1),IF(Line_Check!V12=1,IF(Line_Check!Y12&gt;=Policy!$B$13*Line_Check!W12,1,0),1),IF(Line_Check!AH12=1,IF(Line_Check!AK12&gt;=Policy!$B$13*Line_Check!AI12,1,0),1),IF(Line_Check!AT12=1,IF(Line_Check!AW12&gt;=Policy!$B$13*Line_Check!AU12,1,0),1),IF(Line_Check!BF12=1,IF(Line_Check!BI12&gt;=Policy!$B$13*Line_Check!BG12,1,0),1),IF(Line_Check!BR12=1,IF(Line_Check!BU12&gt;=Policy!$B$13*Line_Check!BS12,1,0),1),IF(Line_Check!CD12=1,IF(Line_Check!CG12&gt;=Policy!$B$13*Line_Check!CE12,1,0),1),IF(Line_Check!CP12=1,IF(Line_Check!CS12&gt;=Policy!$B$13*Line_Check!CQ12,1,0),1))=1,"PASS","FAIL")</f>
        <v/>
      </c>
      <c r="L12" s="25">
        <f>IF(MIN(IF(Line_Check!J12=1,IF(AND(Line_Check!S12&gt;=Line_Check!K12,Line_Check!S12-Line_Check!K12&gt;=Policy!$B$14),1,0),1),IF(Line_Check!V12=1,IF(AND(Line_Check!AE12&gt;=Line_Check!W12,Line_Check!AE12-Line_Check!W12&gt;=Policy!$B$14),1,0),1),IF(Line_Check!AH12=1,IF(AND(Line_Check!AQ12&gt;=Line_Check!AI12,Line_Check!AQ12-Line_Check!AI12&gt;=Policy!$B$14),1,0),1),IF(Line_Check!AT12=1,IF(AND(Line_Check!BC12&gt;=Line_Check!AU12,Line_Check!BC12-Line_Check!AU12&gt;=Policy!$B$14),1,0),1),IF(Line_Check!BF12=1,IF(AND(Line_Check!BO12&gt;=Line_Check!BG12,Line_Check!BO12-Line_Check!BG12&gt;=Policy!$B$14),1,0),1),IF(Line_Check!BR12=1,IF(AND(Line_Check!CA12&gt;=Line_Check!BS12,Line_Check!CA12-Line_Check!BS12&gt;=Policy!$B$14),1,0),1),IF(Line_Check!CD12=1,IF(AND(Line_Check!CM12&gt;=Line_Check!CE12,Line_Check!CM12-Line_Check!CE12&gt;=Policy!$B$14),1,0),1),IF(Line_Check!CP12=1,IF(AND(Line_Check!CY12&gt;=Line_Check!CQ12,Line_Check!CY12-Line_Check!CQ12&gt;=Policy!$B$14),1,0),1))=1,"PASS","FAIL")</f>
        <v/>
      </c>
      <c r="M12" s="25">
        <f>IF(G12&gt;=2,"PASS","FAIL")</f>
        <v/>
      </c>
      <c r="N12" s="25" t="inlineStr">
        <is>
          <t>N/A</t>
        </is>
      </c>
      <c r="O12" s="25" t="inlineStr">
        <is>
          <t>N/A</t>
        </is>
      </c>
      <c r="P12" s="25">
        <f>IF(C12=Request!$B$4,"PASS","FAIL")</f>
        <v/>
      </c>
      <c r="Q12" s="25">
        <f>IF(OR(D12="Standard",B12=Request!$B$6),"PASS","FAIL")</f>
        <v/>
      </c>
      <c r="R12" s="25" t="inlineStr">
        <is>
          <t>N/A</t>
        </is>
      </c>
      <c r="S12" s="25">
        <f>IF(MIN(IF(Line_Check!J12=1,IF(MIN(Line_Check!M12,Line_Check!S12)&gt;=Line_Check!K12,1,0),1),IF(Line_Check!V12=1,IF(MIN(Line_Check!Y12,Line_Check!AE12)&gt;=Line_Check!W12,1,0),1),IF(Line_Check!AH12=1,IF(MIN(Line_Check!AK12,Line_Check!AQ12)&gt;=Line_Check!AI12,1,0),1),IF(Line_Check!AT12=1,IF(MIN(Line_Check!AW12,Line_Check!BC12)&gt;=Line_Check!AU12,1,0),1),IF(Line_Check!BF12=1,IF(MIN(Line_Check!BI12,Line_Check!BO12)&gt;=Line_Check!BG12,1,0),1),IF(Line_Check!BR12=1,IF(MIN(Line_Check!BU12,Line_Check!CA12)&gt;=Line_Check!BS12,1,0),1),IF(Line_Check!CD12=1,IF(MIN(Line_Check!CG12,Line_Check!CM12)&gt;=Line_Check!CE12,1,0),1),IF(Line_Check!CP12=1,IF(MIN(Line_Check!CS12,Line_Check!CY12)&gt;=Line_Check!CQ12,1,0),1))=1,"PASS","FAIL")</f>
        <v/>
      </c>
      <c r="T12" s="36">
        <f>IF(AND(J12=1,OR(K12="PASS",K12="N/A"),OR(L12="PASS",L12="N/A"),OR(M12="PASS",M12="N/A"),OR(N12="PASS",N12="N/A"),OR(O12="PASS",O12="N/A"),OR(P12="PASS",P12="N/A"),OR(Q12="PASS",Q12="N/A"),OR(R12="PASS",R12="N/A"),OR(S12="PASS",S12="N/A")),1,0)</f>
        <v/>
      </c>
      <c r="U12" s="30">
        <f>IF(J12&lt;&gt;1,"—",MIN(IF(Line_Check!J12=1,MAX(0,MIN(1,IF(Line_Check!N12=0,0,Line_Check!O12/Line_Check!N12))),1),IF(Line_Check!V12=1,MAX(0,MIN(1,IF(Line_Check!Z12=0,0,Line_Check!AA12/Line_Check!Z12))),1),IF(Line_Check!AH12=1,MAX(0,MIN(1,IF(Line_Check!AL12=0,0,Line_Check!AM12/Line_Check!AL12))),1),IF(Line_Check!AT12=1,MAX(0,MIN(1,IF(Line_Check!AX12=0,0,Line_Check!AY12/Line_Check!AX12))),1),IF(Line_Check!BF12=1,MAX(0,MIN(1,IF(Line_Check!BJ12=0,0,Line_Check!BK12/Line_Check!BJ12))),1),IF(Line_Check!BR12=1,MAX(0,MIN(1,IF(Line_Check!BV12=0,0,Line_Check!BW12/Line_Check!BV12))),1),IF(Line_Check!CD12=1,MAX(0,MIN(1,IF(Line_Check!CH12=0,0,Line_Check!CI12/Line_Check!CH12))),1),IF(Line_Check!CP12=1,MAX(0,MIN(1,IF(Line_Check!CT12=0,0,Line_Check!CU12/Line_Check!CT12))),1)))</f>
        <v/>
      </c>
      <c r="V12" s="30">
        <f>IF(J12&lt;&gt;1,"—",MIN(IF(Line_Check!J12=1,MAX(0,MIN(1,IF(Line_Check!T12=0,0,Line_Check!S12/Line_Check!T12))),1),IF(Line_Check!V12=1,MAX(0,MIN(1,IF(Line_Check!AF12=0,0,Line_Check!AE12/Line_Check!AF12))),1),IF(Line_Check!AH12=1,MAX(0,MIN(1,IF(Line_Check!AR12=0,0,Line_Check!AQ12/Line_Check!AR12))),1),IF(Line_Check!AT12=1,MAX(0,MIN(1,IF(Line_Check!BD12=0,0,Line_Check!BC12/Line_Check!BD12))),1),IF(Line_Check!BF12=1,MAX(0,MIN(1,IF(Line_Check!BP12=0,0,Line_Check!BO12/Line_Check!BP12))),1),IF(Line_Check!BR12=1,MAX(0,MIN(1,IF(Line_Check!CB12=0,0,Line_Check!CA12/Line_Check!CB12))),1),IF(Line_Check!CD12=1,MAX(0,MIN(1,IF(Line_Check!CN12=0,0,Line_Check!CM12/Line_Check!CN12))),1),IF(Line_Check!CP12=1,MAX(0,MIN(1,IF(Line_Check!CZ12=0,0,Line_Check!CY12/Line_Check!CZ12))),1)))</f>
        <v/>
      </c>
      <c r="W12" s="30">
        <f>IF(J12&lt;&gt;1,"—",IF(SUMIFS($H$5:$H$18,$C$5:$C$18,C12)=0,1,MAX(0,MIN(1,1-H12/SUMIFS($H$5:$H$18,$C$5:$C$18,C12)))))</f>
        <v/>
      </c>
      <c r="X12" s="30">
        <f>IF(J12&lt;&gt;1,"—",MAX(0,MIN(1,I12)))</f>
        <v/>
      </c>
      <c r="Y12" s="30">
        <f>IF(J12&lt;&gt;1,"—",MAX(0,MIN(1,G12/3)))</f>
        <v/>
      </c>
      <c r="Z12" s="30">
        <f>IF(T12&lt;&gt;1,"—",Policy!$B$4*U12+Policy!$B$5*V12+Policy!$B$6*W12+Policy!$B$7*X12+Policy!$B$8*Y12)</f>
        <v/>
      </c>
      <c r="AA12" s="25">
        <f>IF(T12&lt;&gt;1,"—",1+COUNTIFS($T$5:$T$18,1,$Z$5:$Z$18,"&gt;"&amp;Z12)+COUNTIFS($T$5:$T$18,1,$Z$5:$Z$18,Z12,$AE$5:$AE$18,"&lt;"&amp;AE12))</f>
        <v/>
      </c>
      <c r="AB12" s="25">
        <f>IF(J12&lt;&gt;1,"—",IF(OR(AND(Line_Check!J12=1,Line_Check!N12=0),AND(Line_Check!V12=1,Line_Check!Z12=0),AND(Line_Check!AH12=1,Line_Check!AL12=0),AND(Line_Check!AT12=1,Line_Check!AX12=0),AND(Line_Check!BF12=1,Line_Check!BJ12=0),AND(Line_Check!BR12=1,Line_Check!BV12=0),AND(Line_Check!CD12=1,Line_Check!CH12=0),AND(Line_Check!CP12=1,Line_Check!CT12=0)),"RESERVATION_DEFICIT",IF(K12="FAIL","CAPACITY_UNAVAILABLE",IF(L12="FAIL","QUOTA_DEFICIT",IF(OR(M12="FAIL",N12="FAIL",O12="FAIL",P12="FAIL",Q12="FAIL",R12="FAIL",S12="FAIL"),"CAPACITY_UNAVAILABLE",IF(AND(T12=1,U12&lt;Policy!$B$12),"READY_WITH_RISK",IF(T12=1,"READY","CAPACITY_UNAVAILABLE")))))))</f>
        <v/>
      </c>
      <c r="AC12" s="25">
        <f>IF(T12&lt;&gt;1,"—",IF(MIN(IF(Line_Check!J12=1,Line_Check!M12,10^9),IF(Line_Check!V12=1,Line_Check!Y12,10^9),IF(Line_Check!AH12=1,Line_Check!AK12,10^9),IF(Line_Check!AT12=1,Line_Check!AW12,10^9),IF(Line_Check!BF12=1,Line_Check!BI12,10^9),IF(Line_Check!BR12=1,Line_Check!BU12,10^9),IF(Line_Check!CD12=1,Line_Check!CG12,10^9),IF(Line_Check!CP12=1,Line_Check!CS12,10^9))&lt;=MIN(IF(Line_Check!J12=1,Line_Check!S12,10^9),IF(Line_Check!V12=1,Line_Check!AE12,10^9),IF(Line_Check!AH12=1,Line_Check!AQ12,10^9),IF(Line_Check!AT12=1,Line_Check!BC12,10^9),IF(Line_Check!BF12=1,Line_Check!BO12,10^9),IF(Line_Check!BR12=1,Line_Check!CA12,10^9),IF(Line_Check!CD12=1,Line_Check!CM12,10^9),IF(Line_Check!CP12=1,Line_Check!CY12,10^9)),"CAPACITY","QUOTA"))</f>
        <v/>
      </c>
      <c r="AE12" s="36">
        <f>ROW()</f>
        <v/>
      </c>
    </row>
    <row r="13">
      <c r="A13" s="6">
        <f>Line_Check!A13</f>
        <v/>
      </c>
      <c r="B13" s="6">
        <f>Line_Check!B13</f>
        <v/>
      </c>
      <c r="C13" s="15">
        <f>Line_Check!C13</f>
        <v/>
      </c>
      <c r="D13" s="15">
        <f>Line_Check!D13</f>
        <v/>
      </c>
      <c r="E13" s="15">
        <f>Line_Check!E13</f>
        <v/>
      </c>
      <c r="F13" s="15">
        <f>Line_Check!F13</f>
        <v/>
      </c>
      <c r="G13" s="42">
        <f>Line_Check!G13</f>
        <v/>
      </c>
      <c r="H13" s="42">
        <f>Line_Check!H13</f>
        <v/>
      </c>
      <c r="I13" s="43">
        <f>Line_Check!I13</f>
        <v/>
      </c>
      <c r="J13" s="36">
        <f>IF(OR(Request!$B$22=0,Policy!$B$10&lt;&gt;"OK",Request!$B$24&lt;&gt;"OK"),0,IF(AND(Request!$B$6="",Request!$B$7&lt;&gt;"Y"),0,IF(Request!$B$6&lt;&gt;"",IF(AND(B13=Request!$B$6,C13=Request!$B$4),1,0),IF(AND(C13=Request!$B$4,D13="Standard"),1,0))))</f>
        <v/>
      </c>
      <c r="K13" s="25">
        <f>IF(MIN(IF(Line_Check!J13=1,IF(Line_Check!M13&gt;=Policy!$B$13*Line_Check!K13,1,0),1),IF(Line_Check!V13=1,IF(Line_Check!Y13&gt;=Policy!$B$13*Line_Check!W13,1,0),1),IF(Line_Check!AH13=1,IF(Line_Check!AK13&gt;=Policy!$B$13*Line_Check!AI13,1,0),1),IF(Line_Check!AT13=1,IF(Line_Check!AW13&gt;=Policy!$B$13*Line_Check!AU13,1,0),1),IF(Line_Check!BF13=1,IF(Line_Check!BI13&gt;=Policy!$B$13*Line_Check!BG13,1,0),1),IF(Line_Check!BR13=1,IF(Line_Check!BU13&gt;=Policy!$B$13*Line_Check!BS13,1,0),1),IF(Line_Check!CD13=1,IF(Line_Check!CG13&gt;=Policy!$B$13*Line_Check!CE13,1,0),1),IF(Line_Check!CP13=1,IF(Line_Check!CS13&gt;=Policy!$B$13*Line_Check!CQ13,1,0),1))=1,"PASS","FAIL")</f>
        <v/>
      </c>
      <c r="L13" s="25">
        <f>IF(MIN(IF(Line_Check!J13=1,IF(AND(Line_Check!S13&gt;=Line_Check!K13,Line_Check!S13-Line_Check!K13&gt;=Policy!$B$14),1,0),1),IF(Line_Check!V13=1,IF(AND(Line_Check!AE13&gt;=Line_Check!W13,Line_Check!AE13-Line_Check!W13&gt;=Policy!$B$14),1,0),1),IF(Line_Check!AH13=1,IF(AND(Line_Check!AQ13&gt;=Line_Check!AI13,Line_Check!AQ13-Line_Check!AI13&gt;=Policy!$B$14),1,0),1),IF(Line_Check!AT13=1,IF(AND(Line_Check!BC13&gt;=Line_Check!AU13,Line_Check!BC13-Line_Check!AU13&gt;=Policy!$B$14),1,0),1),IF(Line_Check!BF13=1,IF(AND(Line_Check!BO13&gt;=Line_Check!BG13,Line_Check!BO13-Line_Check!BG13&gt;=Policy!$B$14),1,0),1),IF(Line_Check!BR13=1,IF(AND(Line_Check!CA13&gt;=Line_Check!BS13,Line_Check!CA13-Line_Check!BS13&gt;=Policy!$B$14),1,0),1),IF(Line_Check!CD13=1,IF(AND(Line_Check!CM13&gt;=Line_Check!CE13,Line_Check!CM13-Line_Check!CE13&gt;=Policy!$B$14),1,0),1),IF(Line_Check!CP13=1,IF(AND(Line_Check!CY13&gt;=Line_Check!CQ13,Line_Check!CY13-Line_Check!CQ13&gt;=Policy!$B$14),1,0),1))=1,"PASS","FAIL")</f>
        <v/>
      </c>
      <c r="M13" s="25">
        <f>IF(G13&gt;=2,"PASS","FAIL")</f>
        <v/>
      </c>
      <c r="N13" s="25" t="inlineStr">
        <is>
          <t>N/A</t>
        </is>
      </c>
      <c r="O13" s="25" t="inlineStr">
        <is>
          <t>N/A</t>
        </is>
      </c>
      <c r="P13" s="25">
        <f>IF(C13=Request!$B$4,"PASS","FAIL")</f>
        <v/>
      </c>
      <c r="Q13" s="25">
        <f>IF(OR(D13="Standard",B13=Request!$B$6),"PASS","FAIL")</f>
        <v/>
      </c>
      <c r="R13" s="25" t="inlineStr">
        <is>
          <t>N/A</t>
        </is>
      </c>
      <c r="S13" s="25">
        <f>IF(MIN(IF(Line_Check!J13=1,IF(MIN(Line_Check!M13,Line_Check!S13)&gt;=Line_Check!K13,1,0),1),IF(Line_Check!V13=1,IF(MIN(Line_Check!Y13,Line_Check!AE13)&gt;=Line_Check!W13,1,0),1),IF(Line_Check!AH13=1,IF(MIN(Line_Check!AK13,Line_Check!AQ13)&gt;=Line_Check!AI13,1,0),1),IF(Line_Check!AT13=1,IF(MIN(Line_Check!AW13,Line_Check!BC13)&gt;=Line_Check!AU13,1,0),1),IF(Line_Check!BF13=1,IF(MIN(Line_Check!BI13,Line_Check!BO13)&gt;=Line_Check!BG13,1,0),1),IF(Line_Check!BR13=1,IF(MIN(Line_Check!BU13,Line_Check!CA13)&gt;=Line_Check!BS13,1,0),1),IF(Line_Check!CD13=1,IF(MIN(Line_Check!CG13,Line_Check!CM13)&gt;=Line_Check!CE13,1,0),1),IF(Line_Check!CP13=1,IF(MIN(Line_Check!CS13,Line_Check!CY13)&gt;=Line_Check!CQ13,1,0),1))=1,"PASS","FAIL")</f>
        <v/>
      </c>
      <c r="T13" s="36">
        <f>IF(AND(J13=1,OR(K13="PASS",K13="N/A"),OR(L13="PASS",L13="N/A"),OR(M13="PASS",M13="N/A"),OR(N13="PASS",N13="N/A"),OR(O13="PASS",O13="N/A"),OR(P13="PASS",P13="N/A"),OR(Q13="PASS",Q13="N/A"),OR(R13="PASS",R13="N/A"),OR(S13="PASS",S13="N/A")),1,0)</f>
        <v/>
      </c>
      <c r="U13" s="30">
        <f>IF(J13&lt;&gt;1,"—",MIN(IF(Line_Check!J13=1,MAX(0,MIN(1,IF(Line_Check!N13=0,0,Line_Check!O13/Line_Check!N13))),1),IF(Line_Check!V13=1,MAX(0,MIN(1,IF(Line_Check!Z13=0,0,Line_Check!AA13/Line_Check!Z13))),1),IF(Line_Check!AH13=1,MAX(0,MIN(1,IF(Line_Check!AL13=0,0,Line_Check!AM13/Line_Check!AL13))),1),IF(Line_Check!AT13=1,MAX(0,MIN(1,IF(Line_Check!AX13=0,0,Line_Check!AY13/Line_Check!AX13))),1),IF(Line_Check!BF13=1,MAX(0,MIN(1,IF(Line_Check!BJ13=0,0,Line_Check!BK13/Line_Check!BJ13))),1),IF(Line_Check!BR13=1,MAX(0,MIN(1,IF(Line_Check!BV13=0,0,Line_Check!BW13/Line_Check!BV13))),1),IF(Line_Check!CD13=1,MAX(0,MIN(1,IF(Line_Check!CH13=0,0,Line_Check!CI13/Line_Check!CH13))),1),IF(Line_Check!CP13=1,MAX(0,MIN(1,IF(Line_Check!CT13=0,0,Line_Check!CU13/Line_Check!CT13))),1)))</f>
        <v/>
      </c>
      <c r="V13" s="30">
        <f>IF(J13&lt;&gt;1,"—",MIN(IF(Line_Check!J13=1,MAX(0,MIN(1,IF(Line_Check!T13=0,0,Line_Check!S13/Line_Check!T13))),1),IF(Line_Check!V13=1,MAX(0,MIN(1,IF(Line_Check!AF13=0,0,Line_Check!AE13/Line_Check!AF13))),1),IF(Line_Check!AH13=1,MAX(0,MIN(1,IF(Line_Check!AR13=0,0,Line_Check!AQ13/Line_Check!AR13))),1),IF(Line_Check!AT13=1,MAX(0,MIN(1,IF(Line_Check!BD13=0,0,Line_Check!BC13/Line_Check!BD13))),1),IF(Line_Check!BF13=1,MAX(0,MIN(1,IF(Line_Check!BP13=0,0,Line_Check!BO13/Line_Check!BP13))),1),IF(Line_Check!BR13=1,MAX(0,MIN(1,IF(Line_Check!CB13=0,0,Line_Check!CA13/Line_Check!CB13))),1),IF(Line_Check!CD13=1,MAX(0,MIN(1,IF(Line_Check!CN13=0,0,Line_Check!CM13/Line_Check!CN13))),1),IF(Line_Check!CP13=1,MAX(0,MIN(1,IF(Line_Check!CZ13=0,0,Line_Check!CY13/Line_Check!CZ13))),1)))</f>
        <v/>
      </c>
      <c r="W13" s="30">
        <f>IF(J13&lt;&gt;1,"—",IF(SUMIFS($H$5:$H$18,$C$5:$C$18,C13)=0,1,MAX(0,MIN(1,1-H13/SUMIFS($H$5:$H$18,$C$5:$C$18,C13)))))</f>
        <v/>
      </c>
      <c r="X13" s="30">
        <f>IF(J13&lt;&gt;1,"—",MAX(0,MIN(1,I13)))</f>
        <v/>
      </c>
      <c r="Y13" s="30">
        <f>IF(J13&lt;&gt;1,"—",MAX(0,MIN(1,G13/3)))</f>
        <v/>
      </c>
      <c r="Z13" s="30">
        <f>IF(T13&lt;&gt;1,"—",Policy!$B$4*U13+Policy!$B$5*V13+Policy!$B$6*W13+Policy!$B$7*X13+Policy!$B$8*Y13)</f>
        <v/>
      </c>
      <c r="AA13" s="25">
        <f>IF(T13&lt;&gt;1,"—",1+COUNTIFS($T$5:$T$18,1,$Z$5:$Z$18,"&gt;"&amp;Z13)+COUNTIFS($T$5:$T$18,1,$Z$5:$Z$18,Z13,$AE$5:$AE$18,"&lt;"&amp;AE13))</f>
        <v/>
      </c>
      <c r="AB13" s="25">
        <f>IF(J13&lt;&gt;1,"—",IF(OR(AND(Line_Check!J13=1,Line_Check!N13=0),AND(Line_Check!V13=1,Line_Check!Z13=0),AND(Line_Check!AH13=1,Line_Check!AL13=0),AND(Line_Check!AT13=1,Line_Check!AX13=0),AND(Line_Check!BF13=1,Line_Check!BJ13=0),AND(Line_Check!BR13=1,Line_Check!BV13=0),AND(Line_Check!CD13=1,Line_Check!CH13=0),AND(Line_Check!CP13=1,Line_Check!CT13=0)),"RESERVATION_DEFICIT",IF(K13="FAIL","CAPACITY_UNAVAILABLE",IF(L13="FAIL","QUOTA_DEFICIT",IF(OR(M13="FAIL",N13="FAIL",O13="FAIL",P13="FAIL",Q13="FAIL",R13="FAIL",S13="FAIL"),"CAPACITY_UNAVAILABLE",IF(AND(T13=1,U13&lt;Policy!$B$12),"READY_WITH_RISK",IF(T13=1,"READY","CAPACITY_UNAVAILABLE")))))))</f>
        <v/>
      </c>
      <c r="AC13" s="25">
        <f>IF(T13&lt;&gt;1,"—",IF(MIN(IF(Line_Check!J13=1,Line_Check!M13,10^9),IF(Line_Check!V13=1,Line_Check!Y13,10^9),IF(Line_Check!AH13=1,Line_Check!AK13,10^9),IF(Line_Check!AT13=1,Line_Check!AW13,10^9),IF(Line_Check!BF13=1,Line_Check!BI13,10^9),IF(Line_Check!BR13=1,Line_Check!BU13,10^9),IF(Line_Check!CD13=1,Line_Check!CG13,10^9),IF(Line_Check!CP13=1,Line_Check!CS13,10^9))&lt;=MIN(IF(Line_Check!J13=1,Line_Check!S13,10^9),IF(Line_Check!V13=1,Line_Check!AE13,10^9),IF(Line_Check!AH13=1,Line_Check!AQ13,10^9),IF(Line_Check!AT13=1,Line_Check!BC13,10^9),IF(Line_Check!BF13=1,Line_Check!BO13,10^9),IF(Line_Check!BR13=1,Line_Check!CA13,10^9),IF(Line_Check!CD13=1,Line_Check!CM13,10^9),IF(Line_Check!CP13=1,Line_Check!CY13,10^9)),"CAPACITY","QUOTA"))</f>
        <v/>
      </c>
      <c r="AE13" s="36">
        <f>ROW()</f>
        <v/>
      </c>
    </row>
    <row r="14">
      <c r="A14" s="6">
        <f>Line_Check!A14</f>
        <v/>
      </c>
      <c r="B14" s="6">
        <f>Line_Check!B14</f>
        <v/>
      </c>
      <c r="C14" s="15">
        <f>Line_Check!C14</f>
        <v/>
      </c>
      <c r="D14" s="15">
        <f>Line_Check!D14</f>
        <v/>
      </c>
      <c r="E14" s="15">
        <f>Line_Check!E14</f>
        <v/>
      </c>
      <c r="F14" s="15">
        <f>Line_Check!F14</f>
        <v/>
      </c>
      <c r="G14" s="42">
        <f>Line_Check!G14</f>
        <v/>
      </c>
      <c r="H14" s="42">
        <f>Line_Check!H14</f>
        <v/>
      </c>
      <c r="I14" s="43">
        <f>Line_Check!I14</f>
        <v/>
      </c>
      <c r="J14" s="36">
        <f>IF(OR(Request!$B$22=0,Policy!$B$10&lt;&gt;"OK",Request!$B$24&lt;&gt;"OK"),0,IF(AND(Request!$B$6="",Request!$B$7&lt;&gt;"Y"),0,IF(Request!$B$6&lt;&gt;"",IF(AND(B14=Request!$B$6,C14=Request!$B$4),1,0),IF(AND(C14=Request!$B$4,D14="Standard"),1,0))))</f>
        <v/>
      </c>
      <c r="K14" s="25">
        <f>IF(MIN(IF(Line_Check!J14=1,IF(Line_Check!M14&gt;=Policy!$B$13*Line_Check!K14,1,0),1),IF(Line_Check!V14=1,IF(Line_Check!Y14&gt;=Policy!$B$13*Line_Check!W14,1,0),1),IF(Line_Check!AH14=1,IF(Line_Check!AK14&gt;=Policy!$B$13*Line_Check!AI14,1,0),1),IF(Line_Check!AT14=1,IF(Line_Check!AW14&gt;=Policy!$B$13*Line_Check!AU14,1,0),1),IF(Line_Check!BF14=1,IF(Line_Check!BI14&gt;=Policy!$B$13*Line_Check!BG14,1,0),1),IF(Line_Check!BR14=1,IF(Line_Check!BU14&gt;=Policy!$B$13*Line_Check!BS14,1,0),1),IF(Line_Check!CD14=1,IF(Line_Check!CG14&gt;=Policy!$B$13*Line_Check!CE14,1,0),1),IF(Line_Check!CP14=1,IF(Line_Check!CS14&gt;=Policy!$B$13*Line_Check!CQ14,1,0),1))=1,"PASS","FAIL")</f>
        <v/>
      </c>
      <c r="L14" s="25">
        <f>IF(MIN(IF(Line_Check!J14=1,IF(AND(Line_Check!S14&gt;=Line_Check!K14,Line_Check!S14-Line_Check!K14&gt;=Policy!$B$14),1,0),1),IF(Line_Check!V14=1,IF(AND(Line_Check!AE14&gt;=Line_Check!W14,Line_Check!AE14-Line_Check!W14&gt;=Policy!$B$14),1,0),1),IF(Line_Check!AH14=1,IF(AND(Line_Check!AQ14&gt;=Line_Check!AI14,Line_Check!AQ14-Line_Check!AI14&gt;=Policy!$B$14),1,0),1),IF(Line_Check!AT14=1,IF(AND(Line_Check!BC14&gt;=Line_Check!AU14,Line_Check!BC14-Line_Check!AU14&gt;=Policy!$B$14),1,0),1),IF(Line_Check!BF14=1,IF(AND(Line_Check!BO14&gt;=Line_Check!BG14,Line_Check!BO14-Line_Check!BG14&gt;=Policy!$B$14),1,0),1),IF(Line_Check!BR14=1,IF(AND(Line_Check!CA14&gt;=Line_Check!BS14,Line_Check!CA14-Line_Check!BS14&gt;=Policy!$B$14),1,0),1),IF(Line_Check!CD14=1,IF(AND(Line_Check!CM14&gt;=Line_Check!CE14,Line_Check!CM14-Line_Check!CE14&gt;=Policy!$B$14),1,0),1),IF(Line_Check!CP14=1,IF(AND(Line_Check!CY14&gt;=Line_Check!CQ14,Line_Check!CY14-Line_Check!CQ14&gt;=Policy!$B$14),1,0),1))=1,"PASS","FAIL")</f>
        <v/>
      </c>
      <c r="M14" s="25">
        <f>IF(G14&gt;=2,"PASS","FAIL")</f>
        <v/>
      </c>
      <c r="N14" s="25" t="inlineStr">
        <is>
          <t>N/A</t>
        </is>
      </c>
      <c r="O14" s="25" t="inlineStr">
        <is>
          <t>N/A</t>
        </is>
      </c>
      <c r="P14" s="25">
        <f>IF(C14=Request!$B$4,"PASS","FAIL")</f>
        <v/>
      </c>
      <c r="Q14" s="25">
        <f>IF(OR(D14="Standard",B14=Request!$B$6),"PASS","FAIL")</f>
        <v/>
      </c>
      <c r="R14" s="25" t="inlineStr">
        <is>
          <t>N/A</t>
        </is>
      </c>
      <c r="S14" s="25">
        <f>IF(MIN(IF(Line_Check!J14=1,IF(MIN(Line_Check!M14,Line_Check!S14)&gt;=Line_Check!K14,1,0),1),IF(Line_Check!V14=1,IF(MIN(Line_Check!Y14,Line_Check!AE14)&gt;=Line_Check!W14,1,0),1),IF(Line_Check!AH14=1,IF(MIN(Line_Check!AK14,Line_Check!AQ14)&gt;=Line_Check!AI14,1,0),1),IF(Line_Check!AT14=1,IF(MIN(Line_Check!AW14,Line_Check!BC14)&gt;=Line_Check!AU14,1,0),1),IF(Line_Check!BF14=1,IF(MIN(Line_Check!BI14,Line_Check!BO14)&gt;=Line_Check!BG14,1,0),1),IF(Line_Check!BR14=1,IF(MIN(Line_Check!BU14,Line_Check!CA14)&gt;=Line_Check!BS14,1,0),1),IF(Line_Check!CD14=1,IF(MIN(Line_Check!CG14,Line_Check!CM14)&gt;=Line_Check!CE14,1,0),1),IF(Line_Check!CP14=1,IF(MIN(Line_Check!CS14,Line_Check!CY14)&gt;=Line_Check!CQ14,1,0),1))=1,"PASS","FAIL")</f>
        <v/>
      </c>
      <c r="T14" s="36">
        <f>IF(AND(J14=1,OR(K14="PASS",K14="N/A"),OR(L14="PASS",L14="N/A"),OR(M14="PASS",M14="N/A"),OR(N14="PASS",N14="N/A"),OR(O14="PASS",O14="N/A"),OR(P14="PASS",P14="N/A"),OR(Q14="PASS",Q14="N/A"),OR(R14="PASS",R14="N/A"),OR(S14="PASS",S14="N/A")),1,0)</f>
        <v/>
      </c>
      <c r="U14" s="30">
        <f>IF(J14&lt;&gt;1,"—",MIN(IF(Line_Check!J14=1,MAX(0,MIN(1,IF(Line_Check!N14=0,0,Line_Check!O14/Line_Check!N14))),1),IF(Line_Check!V14=1,MAX(0,MIN(1,IF(Line_Check!Z14=0,0,Line_Check!AA14/Line_Check!Z14))),1),IF(Line_Check!AH14=1,MAX(0,MIN(1,IF(Line_Check!AL14=0,0,Line_Check!AM14/Line_Check!AL14))),1),IF(Line_Check!AT14=1,MAX(0,MIN(1,IF(Line_Check!AX14=0,0,Line_Check!AY14/Line_Check!AX14))),1),IF(Line_Check!BF14=1,MAX(0,MIN(1,IF(Line_Check!BJ14=0,0,Line_Check!BK14/Line_Check!BJ14))),1),IF(Line_Check!BR14=1,MAX(0,MIN(1,IF(Line_Check!BV14=0,0,Line_Check!BW14/Line_Check!BV14))),1),IF(Line_Check!CD14=1,MAX(0,MIN(1,IF(Line_Check!CH14=0,0,Line_Check!CI14/Line_Check!CH14))),1),IF(Line_Check!CP14=1,MAX(0,MIN(1,IF(Line_Check!CT14=0,0,Line_Check!CU14/Line_Check!CT14))),1)))</f>
        <v/>
      </c>
      <c r="V14" s="30">
        <f>IF(J14&lt;&gt;1,"—",MIN(IF(Line_Check!J14=1,MAX(0,MIN(1,IF(Line_Check!T14=0,0,Line_Check!S14/Line_Check!T14))),1),IF(Line_Check!V14=1,MAX(0,MIN(1,IF(Line_Check!AF14=0,0,Line_Check!AE14/Line_Check!AF14))),1),IF(Line_Check!AH14=1,MAX(0,MIN(1,IF(Line_Check!AR14=0,0,Line_Check!AQ14/Line_Check!AR14))),1),IF(Line_Check!AT14=1,MAX(0,MIN(1,IF(Line_Check!BD14=0,0,Line_Check!BC14/Line_Check!BD14))),1),IF(Line_Check!BF14=1,MAX(0,MIN(1,IF(Line_Check!BP14=0,0,Line_Check!BO14/Line_Check!BP14))),1),IF(Line_Check!BR14=1,MAX(0,MIN(1,IF(Line_Check!CB14=0,0,Line_Check!CA14/Line_Check!CB14))),1),IF(Line_Check!CD14=1,MAX(0,MIN(1,IF(Line_Check!CN14=0,0,Line_Check!CM14/Line_Check!CN14))),1),IF(Line_Check!CP14=1,MAX(0,MIN(1,IF(Line_Check!CZ14=0,0,Line_Check!CY14/Line_Check!CZ14))),1)))</f>
        <v/>
      </c>
      <c r="W14" s="30">
        <f>IF(J14&lt;&gt;1,"—",IF(SUMIFS($H$5:$H$18,$C$5:$C$18,C14)=0,1,MAX(0,MIN(1,1-H14/SUMIFS($H$5:$H$18,$C$5:$C$18,C14)))))</f>
        <v/>
      </c>
      <c r="X14" s="30">
        <f>IF(J14&lt;&gt;1,"—",MAX(0,MIN(1,I14)))</f>
        <v/>
      </c>
      <c r="Y14" s="30">
        <f>IF(J14&lt;&gt;1,"—",MAX(0,MIN(1,G14/3)))</f>
        <v/>
      </c>
      <c r="Z14" s="30">
        <f>IF(T14&lt;&gt;1,"—",Policy!$B$4*U14+Policy!$B$5*V14+Policy!$B$6*W14+Policy!$B$7*X14+Policy!$B$8*Y14)</f>
        <v/>
      </c>
      <c r="AA14" s="25">
        <f>IF(T14&lt;&gt;1,"—",1+COUNTIFS($T$5:$T$18,1,$Z$5:$Z$18,"&gt;"&amp;Z14)+COUNTIFS($T$5:$T$18,1,$Z$5:$Z$18,Z14,$AE$5:$AE$18,"&lt;"&amp;AE14))</f>
        <v/>
      </c>
      <c r="AB14" s="25">
        <f>IF(J14&lt;&gt;1,"—",IF(OR(AND(Line_Check!J14=1,Line_Check!N14=0),AND(Line_Check!V14=1,Line_Check!Z14=0),AND(Line_Check!AH14=1,Line_Check!AL14=0),AND(Line_Check!AT14=1,Line_Check!AX14=0),AND(Line_Check!BF14=1,Line_Check!BJ14=0),AND(Line_Check!BR14=1,Line_Check!BV14=0),AND(Line_Check!CD14=1,Line_Check!CH14=0),AND(Line_Check!CP14=1,Line_Check!CT14=0)),"RESERVATION_DEFICIT",IF(K14="FAIL","CAPACITY_UNAVAILABLE",IF(L14="FAIL","QUOTA_DEFICIT",IF(OR(M14="FAIL",N14="FAIL",O14="FAIL",P14="FAIL",Q14="FAIL",R14="FAIL",S14="FAIL"),"CAPACITY_UNAVAILABLE",IF(AND(T14=1,U14&lt;Policy!$B$12),"READY_WITH_RISK",IF(T14=1,"READY","CAPACITY_UNAVAILABLE")))))))</f>
        <v/>
      </c>
      <c r="AC14" s="25">
        <f>IF(T14&lt;&gt;1,"—",IF(MIN(IF(Line_Check!J14=1,Line_Check!M14,10^9),IF(Line_Check!V14=1,Line_Check!Y14,10^9),IF(Line_Check!AH14=1,Line_Check!AK14,10^9),IF(Line_Check!AT14=1,Line_Check!AW14,10^9),IF(Line_Check!BF14=1,Line_Check!BI14,10^9),IF(Line_Check!BR14=1,Line_Check!BU14,10^9),IF(Line_Check!CD14=1,Line_Check!CG14,10^9),IF(Line_Check!CP14=1,Line_Check!CS14,10^9))&lt;=MIN(IF(Line_Check!J14=1,Line_Check!S14,10^9),IF(Line_Check!V14=1,Line_Check!AE14,10^9),IF(Line_Check!AH14=1,Line_Check!AQ14,10^9),IF(Line_Check!AT14=1,Line_Check!BC14,10^9),IF(Line_Check!BF14=1,Line_Check!BO14,10^9),IF(Line_Check!BR14=1,Line_Check!CA14,10^9),IF(Line_Check!CD14=1,Line_Check!CM14,10^9),IF(Line_Check!CP14=1,Line_Check!CY14,10^9)),"CAPACITY","QUOTA"))</f>
        <v/>
      </c>
      <c r="AE14" s="36">
        <f>ROW()</f>
        <v/>
      </c>
    </row>
    <row r="15">
      <c r="A15" s="6">
        <f>Line_Check!A15</f>
        <v/>
      </c>
      <c r="B15" s="6">
        <f>Line_Check!B15</f>
        <v/>
      </c>
      <c r="C15" s="15">
        <f>Line_Check!C15</f>
        <v/>
      </c>
      <c r="D15" s="15">
        <f>Line_Check!D15</f>
        <v/>
      </c>
      <c r="E15" s="15">
        <f>Line_Check!E15</f>
        <v/>
      </c>
      <c r="F15" s="15">
        <f>Line_Check!F15</f>
        <v/>
      </c>
      <c r="G15" s="42">
        <f>Line_Check!G15</f>
        <v/>
      </c>
      <c r="H15" s="42">
        <f>Line_Check!H15</f>
        <v/>
      </c>
      <c r="I15" s="43">
        <f>Line_Check!I15</f>
        <v/>
      </c>
      <c r="J15" s="36">
        <f>IF(OR(Request!$B$22=0,Policy!$B$10&lt;&gt;"OK",Request!$B$24&lt;&gt;"OK"),0,IF(AND(Request!$B$6="",Request!$B$7&lt;&gt;"Y"),0,IF(Request!$B$6&lt;&gt;"",IF(AND(B15=Request!$B$6,C15=Request!$B$4),1,0),IF(AND(C15=Request!$B$4,D15="Standard"),1,0))))</f>
        <v/>
      </c>
      <c r="K15" s="25">
        <f>IF(MIN(IF(Line_Check!J15=1,IF(Line_Check!M15&gt;=Policy!$B$13*Line_Check!K15,1,0),1),IF(Line_Check!V15=1,IF(Line_Check!Y15&gt;=Policy!$B$13*Line_Check!W15,1,0),1),IF(Line_Check!AH15=1,IF(Line_Check!AK15&gt;=Policy!$B$13*Line_Check!AI15,1,0),1),IF(Line_Check!AT15=1,IF(Line_Check!AW15&gt;=Policy!$B$13*Line_Check!AU15,1,0),1),IF(Line_Check!BF15=1,IF(Line_Check!BI15&gt;=Policy!$B$13*Line_Check!BG15,1,0),1),IF(Line_Check!BR15=1,IF(Line_Check!BU15&gt;=Policy!$B$13*Line_Check!BS15,1,0),1),IF(Line_Check!CD15=1,IF(Line_Check!CG15&gt;=Policy!$B$13*Line_Check!CE15,1,0),1),IF(Line_Check!CP15=1,IF(Line_Check!CS15&gt;=Policy!$B$13*Line_Check!CQ15,1,0),1))=1,"PASS","FAIL")</f>
        <v/>
      </c>
      <c r="L15" s="25">
        <f>IF(MIN(IF(Line_Check!J15=1,IF(AND(Line_Check!S15&gt;=Line_Check!K15,Line_Check!S15-Line_Check!K15&gt;=Policy!$B$14),1,0),1),IF(Line_Check!V15=1,IF(AND(Line_Check!AE15&gt;=Line_Check!W15,Line_Check!AE15-Line_Check!W15&gt;=Policy!$B$14),1,0),1),IF(Line_Check!AH15=1,IF(AND(Line_Check!AQ15&gt;=Line_Check!AI15,Line_Check!AQ15-Line_Check!AI15&gt;=Policy!$B$14),1,0),1),IF(Line_Check!AT15=1,IF(AND(Line_Check!BC15&gt;=Line_Check!AU15,Line_Check!BC15-Line_Check!AU15&gt;=Policy!$B$14),1,0),1),IF(Line_Check!BF15=1,IF(AND(Line_Check!BO15&gt;=Line_Check!BG15,Line_Check!BO15-Line_Check!BG15&gt;=Policy!$B$14),1,0),1),IF(Line_Check!BR15=1,IF(AND(Line_Check!CA15&gt;=Line_Check!BS15,Line_Check!CA15-Line_Check!BS15&gt;=Policy!$B$14),1,0),1),IF(Line_Check!CD15=1,IF(AND(Line_Check!CM15&gt;=Line_Check!CE15,Line_Check!CM15-Line_Check!CE15&gt;=Policy!$B$14),1,0),1),IF(Line_Check!CP15=1,IF(AND(Line_Check!CY15&gt;=Line_Check!CQ15,Line_Check!CY15-Line_Check!CQ15&gt;=Policy!$B$14),1,0),1))=1,"PASS","FAIL")</f>
        <v/>
      </c>
      <c r="M15" s="25">
        <f>IF(G15&gt;=2,"PASS","FAIL")</f>
        <v/>
      </c>
      <c r="N15" s="25" t="inlineStr">
        <is>
          <t>N/A</t>
        </is>
      </c>
      <c r="O15" s="25" t="inlineStr">
        <is>
          <t>N/A</t>
        </is>
      </c>
      <c r="P15" s="25">
        <f>IF(C15=Request!$B$4,"PASS","FAIL")</f>
        <v/>
      </c>
      <c r="Q15" s="25">
        <f>IF(OR(D15="Standard",B15=Request!$B$6),"PASS","FAIL")</f>
        <v/>
      </c>
      <c r="R15" s="25" t="inlineStr">
        <is>
          <t>N/A</t>
        </is>
      </c>
      <c r="S15" s="25">
        <f>IF(MIN(IF(Line_Check!J15=1,IF(MIN(Line_Check!M15,Line_Check!S15)&gt;=Line_Check!K15,1,0),1),IF(Line_Check!V15=1,IF(MIN(Line_Check!Y15,Line_Check!AE15)&gt;=Line_Check!W15,1,0),1),IF(Line_Check!AH15=1,IF(MIN(Line_Check!AK15,Line_Check!AQ15)&gt;=Line_Check!AI15,1,0),1),IF(Line_Check!AT15=1,IF(MIN(Line_Check!AW15,Line_Check!BC15)&gt;=Line_Check!AU15,1,0),1),IF(Line_Check!BF15=1,IF(MIN(Line_Check!BI15,Line_Check!BO15)&gt;=Line_Check!BG15,1,0),1),IF(Line_Check!BR15=1,IF(MIN(Line_Check!BU15,Line_Check!CA15)&gt;=Line_Check!BS15,1,0),1),IF(Line_Check!CD15=1,IF(MIN(Line_Check!CG15,Line_Check!CM15)&gt;=Line_Check!CE15,1,0),1),IF(Line_Check!CP15=1,IF(MIN(Line_Check!CS15,Line_Check!CY15)&gt;=Line_Check!CQ15,1,0),1))=1,"PASS","FAIL")</f>
        <v/>
      </c>
      <c r="T15" s="36">
        <f>IF(AND(J15=1,OR(K15="PASS",K15="N/A"),OR(L15="PASS",L15="N/A"),OR(M15="PASS",M15="N/A"),OR(N15="PASS",N15="N/A"),OR(O15="PASS",O15="N/A"),OR(P15="PASS",P15="N/A"),OR(Q15="PASS",Q15="N/A"),OR(R15="PASS",R15="N/A"),OR(S15="PASS",S15="N/A")),1,0)</f>
        <v/>
      </c>
      <c r="U15" s="30">
        <f>IF(J15&lt;&gt;1,"—",MIN(IF(Line_Check!J15=1,MAX(0,MIN(1,IF(Line_Check!N15=0,0,Line_Check!O15/Line_Check!N15))),1),IF(Line_Check!V15=1,MAX(0,MIN(1,IF(Line_Check!Z15=0,0,Line_Check!AA15/Line_Check!Z15))),1),IF(Line_Check!AH15=1,MAX(0,MIN(1,IF(Line_Check!AL15=0,0,Line_Check!AM15/Line_Check!AL15))),1),IF(Line_Check!AT15=1,MAX(0,MIN(1,IF(Line_Check!AX15=0,0,Line_Check!AY15/Line_Check!AX15))),1),IF(Line_Check!BF15=1,MAX(0,MIN(1,IF(Line_Check!BJ15=0,0,Line_Check!BK15/Line_Check!BJ15))),1),IF(Line_Check!BR15=1,MAX(0,MIN(1,IF(Line_Check!BV15=0,0,Line_Check!BW15/Line_Check!BV15))),1),IF(Line_Check!CD15=1,MAX(0,MIN(1,IF(Line_Check!CH15=0,0,Line_Check!CI15/Line_Check!CH15))),1),IF(Line_Check!CP15=1,MAX(0,MIN(1,IF(Line_Check!CT15=0,0,Line_Check!CU15/Line_Check!CT15))),1)))</f>
        <v/>
      </c>
      <c r="V15" s="30">
        <f>IF(J15&lt;&gt;1,"—",MIN(IF(Line_Check!J15=1,MAX(0,MIN(1,IF(Line_Check!T15=0,0,Line_Check!S15/Line_Check!T15))),1),IF(Line_Check!V15=1,MAX(0,MIN(1,IF(Line_Check!AF15=0,0,Line_Check!AE15/Line_Check!AF15))),1),IF(Line_Check!AH15=1,MAX(0,MIN(1,IF(Line_Check!AR15=0,0,Line_Check!AQ15/Line_Check!AR15))),1),IF(Line_Check!AT15=1,MAX(0,MIN(1,IF(Line_Check!BD15=0,0,Line_Check!BC15/Line_Check!BD15))),1),IF(Line_Check!BF15=1,MAX(0,MIN(1,IF(Line_Check!BP15=0,0,Line_Check!BO15/Line_Check!BP15))),1),IF(Line_Check!BR15=1,MAX(0,MIN(1,IF(Line_Check!CB15=0,0,Line_Check!CA15/Line_Check!CB15))),1),IF(Line_Check!CD15=1,MAX(0,MIN(1,IF(Line_Check!CN15=0,0,Line_Check!CM15/Line_Check!CN15))),1),IF(Line_Check!CP15=1,MAX(0,MIN(1,IF(Line_Check!CZ15=0,0,Line_Check!CY15/Line_Check!CZ15))),1)))</f>
        <v/>
      </c>
      <c r="W15" s="30">
        <f>IF(J15&lt;&gt;1,"—",IF(SUMIFS($H$5:$H$18,$C$5:$C$18,C15)=0,1,MAX(0,MIN(1,1-H15/SUMIFS($H$5:$H$18,$C$5:$C$18,C15)))))</f>
        <v/>
      </c>
      <c r="X15" s="30">
        <f>IF(J15&lt;&gt;1,"—",MAX(0,MIN(1,I15)))</f>
        <v/>
      </c>
      <c r="Y15" s="30">
        <f>IF(J15&lt;&gt;1,"—",MAX(0,MIN(1,G15/3)))</f>
        <v/>
      </c>
      <c r="Z15" s="30">
        <f>IF(T15&lt;&gt;1,"—",Policy!$B$4*U15+Policy!$B$5*V15+Policy!$B$6*W15+Policy!$B$7*X15+Policy!$B$8*Y15)</f>
        <v/>
      </c>
      <c r="AA15" s="25">
        <f>IF(T15&lt;&gt;1,"—",1+COUNTIFS($T$5:$T$18,1,$Z$5:$Z$18,"&gt;"&amp;Z15)+COUNTIFS($T$5:$T$18,1,$Z$5:$Z$18,Z15,$AE$5:$AE$18,"&lt;"&amp;AE15))</f>
        <v/>
      </c>
      <c r="AB15" s="25">
        <f>IF(J15&lt;&gt;1,"—",IF(OR(AND(Line_Check!J15=1,Line_Check!N15=0),AND(Line_Check!V15=1,Line_Check!Z15=0),AND(Line_Check!AH15=1,Line_Check!AL15=0),AND(Line_Check!AT15=1,Line_Check!AX15=0),AND(Line_Check!BF15=1,Line_Check!BJ15=0),AND(Line_Check!BR15=1,Line_Check!BV15=0),AND(Line_Check!CD15=1,Line_Check!CH15=0),AND(Line_Check!CP15=1,Line_Check!CT15=0)),"RESERVATION_DEFICIT",IF(K15="FAIL","CAPACITY_UNAVAILABLE",IF(L15="FAIL","QUOTA_DEFICIT",IF(OR(M15="FAIL",N15="FAIL",O15="FAIL",P15="FAIL",Q15="FAIL",R15="FAIL",S15="FAIL"),"CAPACITY_UNAVAILABLE",IF(AND(T15=1,U15&lt;Policy!$B$12),"READY_WITH_RISK",IF(T15=1,"READY","CAPACITY_UNAVAILABLE")))))))</f>
        <v/>
      </c>
      <c r="AC15" s="25">
        <f>IF(T15&lt;&gt;1,"—",IF(MIN(IF(Line_Check!J15=1,Line_Check!M15,10^9),IF(Line_Check!V15=1,Line_Check!Y15,10^9),IF(Line_Check!AH15=1,Line_Check!AK15,10^9),IF(Line_Check!AT15=1,Line_Check!AW15,10^9),IF(Line_Check!BF15=1,Line_Check!BI15,10^9),IF(Line_Check!BR15=1,Line_Check!BU15,10^9),IF(Line_Check!CD15=1,Line_Check!CG15,10^9),IF(Line_Check!CP15=1,Line_Check!CS15,10^9))&lt;=MIN(IF(Line_Check!J15=1,Line_Check!S15,10^9),IF(Line_Check!V15=1,Line_Check!AE15,10^9),IF(Line_Check!AH15=1,Line_Check!AQ15,10^9),IF(Line_Check!AT15=1,Line_Check!BC15,10^9),IF(Line_Check!BF15=1,Line_Check!BO15,10^9),IF(Line_Check!BR15=1,Line_Check!CA15,10^9),IF(Line_Check!CD15=1,Line_Check!CM15,10^9),IF(Line_Check!CP15=1,Line_Check!CY15,10^9)),"CAPACITY","QUOTA"))</f>
        <v/>
      </c>
      <c r="AE15" s="36">
        <f>ROW()</f>
        <v/>
      </c>
    </row>
    <row r="16">
      <c r="A16" s="6">
        <f>Line_Check!A16</f>
        <v/>
      </c>
      <c r="B16" s="6">
        <f>Line_Check!B16</f>
        <v/>
      </c>
      <c r="C16" s="15">
        <f>Line_Check!C16</f>
        <v/>
      </c>
      <c r="D16" s="15">
        <f>Line_Check!D16</f>
        <v/>
      </c>
      <c r="E16" s="15">
        <f>Line_Check!E16</f>
        <v/>
      </c>
      <c r="F16" s="15">
        <f>Line_Check!F16</f>
        <v/>
      </c>
      <c r="G16" s="42">
        <f>Line_Check!G16</f>
        <v/>
      </c>
      <c r="H16" s="42">
        <f>Line_Check!H16</f>
        <v/>
      </c>
      <c r="I16" s="43">
        <f>Line_Check!I16</f>
        <v/>
      </c>
      <c r="J16" s="36">
        <f>IF(OR(Request!$B$22=0,Policy!$B$10&lt;&gt;"OK",Request!$B$24&lt;&gt;"OK"),0,IF(AND(Request!$B$6="",Request!$B$7&lt;&gt;"Y"),0,IF(Request!$B$6&lt;&gt;"",IF(AND(B16=Request!$B$6,C16=Request!$B$4),1,0),IF(AND(C16=Request!$B$4,D16="Standard"),1,0))))</f>
        <v/>
      </c>
      <c r="K16" s="25">
        <f>IF(MIN(IF(Line_Check!J16=1,IF(Line_Check!M16&gt;=Policy!$B$13*Line_Check!K16,1,0),1),IF(Line_Check!V16=1,IF(Line_Check!Y16&gt;=Policy!$B$13*Line_Check!W16,1,0),1),IF(Line_Check!AH16=1,IF(Line_Check!AK16&gt;=Policy!$B$13*Line_Check!AI16,1,0),1),IF(Line_Check!AT16=1,IF(Line_Check!AW16&gt;=Policy!$B$13*Line_Check!AU16,1,0),1),IF(Line_Check!BF16=1,IF(Line_Check!BI16&gt;=Policy!$B$13*Line_Check!BG16,1,0),1),IF(Line_Check!BR16=1,IF(Line_Check!BU16&gt;=Policy!$B$13*Line_Check!BS16,1,0),1),IF(Line_Check!CD16=1,IF(Line_Check!CG16&gt;=Policy!$B$13*Line_Check!CE16,1,0),1),IF(Line_Check!CP16=1,IF(Line_Check!CS16&gt;=Policy!$B$13*Line_Check!CQ16,1,0),1))=1,"PASS","FAIL")</f>
        <v/>
      </c>
      <c r="L16" s="25">
        <f>IF(MIN(IF(Line_Check!J16=1,IF(AND(Line_Check!S16&gt;=Line_Check!K16,Line_Check!S16-Line_Check!K16&gt;=Policy!$B$14),1,0),1),IF(Line_Check!V16=1,IF(AND(Line_Check!AE16&gt;=Line_Check!W16,Line_Check!AE16-Line_Check!W16&gt;=Policy!$B$14),1,0),1),IF(Line_Check!AH16=1,IF(AND(Line_Check!AQ16&gt;=Line_Check!AI16,Line_Check!AQ16-Line_Check!AI16&gt;=Policy!$B$14),1,0),1),IF(Line_Check!AT16=1,IF(AND(Line_Check!BC16&gt;=Line_Check!AU16,Line_Check!BC16-Line_Check!AU16&gt;=Policy!$B$14),1,0),1),IF(Line_Check!BF16=1,IF(AND(Line_Check!BO16&gt;=Line_Check!BG16,Line_Check!BO16-Line_Check!BG16&gt;=Policy!$B$14),1,0),1),IF(Line_Check!BR16=1,IF(AND(Line_Check!CA16&gt;=Line_Check!BS16,Line_Check!CA16-Line_Check!BS16&gt;=Policy!$B$14),1,0),1),IF(Line_Check!CD16=1,IF(AND(Line_Check!CM16&gt;=Line_Check!CE16,Line_Check!CM16-Line_Check!CE16&gt;=Policy!$B$14),1,0),1),IF(Line_Check!CP16=1,IF(AND(Line_Check!CY16&gt;=Line_Check!CQ16,Line_Check!CY16-Line_Check!CQ16&gt;=Policy!$B$14),1,0),1))=1,"PASS","FAIL")</f>
        <v/>
      </c>
      <c r="M16" s="25">
        <f>IF(G16&gt;=2,"PASS","FAIL")</f>
        <v/>
      </c>
      <c r="N16" s="25" t="inlineStr">
        <is>
          <t>N/A</t>
        </is>
      </c>
      <c r="O16" s="25" t="inlineStr">
        <is>
          <t>N/A</t>
        </is>
      </c>
      <c r="P16" s="25">
        <f>IF(C16=Request!$B$4,"PASS","FAIL")</f>
        <v/>
      </c>
      <c r="Q16" s="25">
        <f>IF(OR(D16="Standard",B16=Request!$B$6),"PASS","FAIL")</f>
        <v/>
      </c>
      <c r="R16" s="25" t="inlineStr">
        <is>
          <t>N/A</t>
        </is>
      </c>
      <c r="S16" s="25">
        <f>IF(MIN(IF(Line_Check!J16=1,IF(MIN(Line_Check!M16,Line_Check!S16)&gt;=Line_Check!K16,1,0),1),IF(Line_Check!V16=1,IF(MIN(Line_Check!Y16,Line_Check!AE16)&gt;=Line_Check!W16,1,0),1),IF(Line_Check!AH16=1,IF(MIN(Line_Check!AK16,Line_Check!AQ16)&gt;=Line_Check!AI16,1,0),1),IF(Line_Check!AT16=1,IF(MIN(Line_Check!AW16,Line_Check!BC16)&gt;=Line_Check!AU16,1,0),1),IF(Line_Check!BF16=1,IF(MIN(Line_Check!BI16,Line_Check!BO16)&gt;=Line_Check!BG16,1,0),1),IF(Line_Check!BR16=1,IF(MIN(Line_Check!BU16,Line_Check!CA16)&gt;=Line_Check!BS16,1,0),1),IF(Line_Check!CD16=1,IF(MIN(Line_Check!CG16,Line_Check!CM16)&gt;=Line_Check!CE16,1,0),1),IF(Line_Check!CP16=1,IF(MIN(Line_Check!CS16,Line_Check!CY16)&gt;=Line_Check!CQ16,1,0),1))=1,"PASS","FAIL")</f>
        <v/>
      </c>
      <c r="T16" s="36">
        <f>IF(AND(J16=1,OR(K16="PASS",K16="N/A"),OR(L16="PASS",L16="N/A"),OR(M16="PASS",M16="N/A"),OR(N16="PASS",N16="N/A"),OR(O16="PASS",O16="N/A"),OR(P16="PASS",P16="N/A"),OR(Q16="PASS",Q16="N/A"),OR(R16="PASS",R16="N/A"),OR(S16="PASS",S16="N/A")),1,0)</f>
        <v/>
      </c>
      <c r="U16" s="30">
        <f>IF(J16&lt;&gt;1,"—",MIN(IF(Line_Check!J16=1,MAX(0,MIN(1,IF(Line_Check!N16=0,0,Line_Check!O16/Line_Check!N16))),1),IF(Line_Check!V16=1,MAX(0,MIN(1,IF(Line_Check!Z16=0,0,Line_Check!AA16/Line_Check!Z16))),1),IF(Line_Check!AH16=1,MAX(0,MIN(1,IF(Line_Check!AL16=0,0,Line_Check!AM16/Line_Check!AL16))),1),IF(Line_Check!AT16=1,MAX(0,MIN(1,IF(Line_Check!AX16=0,0,Line_Check!AY16/Line_Check!AX16))),1),IF(Line_Check!BF16=1,MAX(0,MIN(1,IF(Line_Check!BJ16=0,0,Line_Check!BK16/Line_Check!BJ16))),1),IF(Line_Check!BR16=1,MAX(0,MIN(1,IF(Line_Check!BV16=0,0,Line_Check!BW16/Line_Check!BV16))),1),IF(Line_Check!CD16=1,MAX(0,MIN(1,IF(Line_Check!CH16=0,0,Line_Check!CI16/Line_Check!CH16))),1),IF(Line_Check!CP16=1,MAX(0,MIN(1,IF(Line_Check!CT16=0,0,Line_Check!CU16/Line_Check!CT16))),1)))</f>
        <v/>
      </c>
      <c r="V16" s="30">
        <f>IF(J16&lt;&gt;1,"—",MIN(IF(Line_Check!J16=1,MAX(0,MIN(1,IF(Line_Check!T16=0,0,Line_Check!S16/Line_Check!T16))),1),IF(Line_Check!V16=1,MAX(0,MIN(1,IF(Line_Check!AF16=0,0,Line_Check!AE16/Line_Check!AF16))),1),IF(Line_Check!AH16=1,MAX(0,MIN(1,IF(Line_Check!AR16=0,0,Line_Check!AQ16/Line_Check!AR16))),1),IF(Line_Check!AT16=1,MAX(0,MIN(1,IF(Line_Check!BD16=0,0,Line_Check!BC16/Line_Check!BD16))),1),IF(Line_Check!BF16=1,MAX(0,MIN(1,IF(Line_Check!BP16=0,0,Line_Check!BO16/Line_Check!BP16))),1),IF(Line_Check!BR16=1,MAX(0,MIN(1,IF(Line_Check!CB16=0,0,Line_Check!CA16/Line_Check!CB16))),1),IF(Line_Check!CD16=1,MAX(0,MIN(1,IF(Line_Check!CN16=0,0,Line_Check!CM16/Line_Check!CN16))),1),IF(Line_Check!CP16=1,MAX(0,MIN(1,IF(Line_Check!CZ16=0,0,Line_Check!CY16/Line_Check!CZ16))),1)))</f>
        <v/>
      </c>
      <c r="W16" s="30">
        <f>IF(J16&lt;&gt;1,"—",IF(SUMIFS($H$5:$H$18,$C$5:$C$18,C16)=0,1,MAX(0,MIN(1,1-H16/SUMIFS($H$5:$H$18,$C$5:$C$18,C16)))))</f>
        <v/>
      </c>
      <c r="X16" s="30">
        <f>IF(J16&lt;&gt;1,"—",MAX(0,MIN(1,I16)))</f>
        <v/>
      </c>
      <c r="Y16" s="30">
        <f>IF(J16&lt;&gt;1,"—",MAX(0,MIN(1,G16/3)))</f>
        <v/>
      </c>
      <c r="Z16" s="30">
        <f>IF(T16&lt;&gt;1,"—",Policy!$B$4*U16+Policy!$B$5*V16+Policy!$B$6*W16+Policy!$B$7*X16+Policy!$B$8*Y16)</f>
        <v/>
      </c>
      <c r="AA16" s="25">
        <f>IF(T16&lt;&gt;1,"—",1+COUNTIFS($T$5:$T$18,1,$Z$5:$Z$18,"&gt;"&amp;Z16)+COUNTIFS($T$5:$T$18,1,$Z$5:$Z$18,Z16,$AE$5:$AE$18,"&lt;"&amp;AE16))</f>
        <v/>
      </c>
      <c r="AB16" s="25">
        <f>IF(J16&lt;&gt;1,"—",IF(OR(AND(Line_Check!J16=1,Line_Check!N16=0),AND(Line_Check!V16=1,Line_Check!Z16=0),AND(Line_Check!AH16=1,Line_Check!AL16=0),AND(Line_Check!AT16=1,Line_Check!AX16=0),AND(Line_Check!BF16=1,Line_Check!BJ16=0),AND(Line_Check!BR16=1,Line_Check!BV16=0),AND(Line_Check!CD16=1,Line_Check!CH16=0),AND(Line_Check!CP16=1,Line_Check!CT16=0)),"RESERVATION_DEFICIT",IF(K16="FAIL","CAPACITY_UNAVAILABLE",IF(L16="FAIL","QUOTA_DEFICIT",IF(OR(M16="FAIL",N16="FAIL",O16="FAIL",P16="FAIL",Q16="FAIL",R16="FAIL",S16="FAIL"),"CAPACITY_UNAVAILABLE",IF(AND(T16=1,U16&lt;Policy!$B$12),"READY_WITH_RISK",IF(T16=1,"READY","CAPACITY_UNAVAILABLE")))))))</f>
        <v/>
      </c>
      <c r="AC16" s="25">
        <f>IF(T16&lt;&gt;1,"—",IF(MIN(IF(Line_Check!J16=1,Line_Check!M16,10^9),IF(Line_Check!V16=1,Line_Check!Y16,10^9),IF(Line_Check!AH16=1,Line_Check!AK16,10^9),IF(Line_Check!AT16=1,Line_Check!AW16,10^9),IF(Line_Check!BF16=1,Line_Check!BI16,10^9),IF(Line_Check!BR16=1,Line_Check!BU16,10^9),IF(Line_Check!CD16=1,Line_Check!CG16,10^9),IF(Line_Check!CP16=1,Line_Check!CS16,10^9))&lt;=MIN(IF(Line_Check!J16=1,Line_Check!S16,10^9),IF(Line_Check!V16=1,Line_Check!AE16,10^9),IF(Line_Check!AH16=1,Line_Check!AQ16,10^9),IF(Line_Check!AT16=1,Line_Check!BC16,10^9),IF(Line_Check!BF16=1,Line_Check!BO16,10^9),IF(Line_Check!BR16=1,Line_Check!CA16,10^9),IF(Line_Check!CD16=1,Line_Check!CM16,10^9),IF(Line_Check!CP16=1,Line_Check!CY16,10^9)),"CAPACITY","QUOTA"))</f>
        <v/>
      </c>
      <c r="AE16" s="36">
        <f>ROW()</f>
        <v/>
      </c>
    </row>
    <row r="17">
      <c r="A17" s="6">
        <f>Line_Check!A17</f>
        <v/>
      </c>
      <c r="B17" s="6">
        <f>Line_Check!B17</f>
        <v/>
      </c>
      <c r="C17" s="15">
        <f>Line_Check!C17</f>
        <v/>
      </c>
      <c r="D17" s="15">
        <f>Line_Check!D17</f>
        <v/>
      </c>
      <c r="E17" s="15">
        <f>Line_Check!E17</f>
        <v/>
      </c>
      <c r="F17" s="15">
        <f>Line_Check!F17</f>
        <v/>
      </c>
      <c r="G17" s="42">
        <f>Line_Check!G17</f>
        <v/>
      </c>
      <c r="H17" s="42">
        <f>Line_Check!H17</f>
        <v/>
      </c>
      <c r="I17" s="43">
        <f>Line_Check!I17</f>
        <v/>
      </c>
      <c r="J17" s="36">
        <f>IF(OR(Request!$B$22=0,Policy!$B$10&lt;&gt;"OK",Request!$B$24&lt;&gt;"OK"),0,IF(AND(Request!$B$6="",Request!$B$7&lt;&gt;"Y"),0,IF(Request!$B$6&lt;&gt;"",IF(AND(B17=Request!$B$6,C17=Request!$B$4),1,0),IF(AND(C17=Request!$B$4,D17="Standard"),1,0))))</f>
        <v/>
      </c>
      <c r="K17" s="25">
        <f>IF(MIN(IF(Line_Check!J17=1,IF(Line_Check!M17&gt;=Policy!$B$13*Line_Check!K17,1,0),1),IF(Line_Check!V17=1,IF(Line_Check!Y17&gt;=Policy!$B$13*Line_Check!W17,1,0),1),IF(Line_Check!AH17=1,IF(Line_Check!AK17&gt;=Policy!$B$13*Line_Check!AI17,1,0),1),IF(Line_Check!AT17=1,IF(Line_Check!AW17&gt;=Policy!$B$13*Line_Check!AU17,1,0),1),IF(Line_Check!BF17=1,IF(Line_Check!BI17&gt;=Policy!$B$13*Line_Check!BG17,1,0),1),IF(Line_Check!BR17=1,IF(Line_Check!BU17&gt;=Policy!$B$13*Line_Check!BS17,1,0),1),IF(Line_Check!CD17=1,IF(Line_Check!CG17&gt;=Policy!$B$13*Line_Check!CE17,1,0),1),IF(Line_Check!CP17=1,IF(Line_Check!CS17&gt;=Policy!$B$13*Line_Check!CQ17,1,0),1))=1,"PASS","FAIL")</f>
        <v/>
      </c>
      <c r="L17" s="25">
        <f>IF(MIN(IF(Line_Check!J17=1,IF(AND(Line_Check!S17&gt;=Line_Check!K17,Line_Check!S17-Line_Check!K17&gt;=Policy!$B$14),1,0),1),IF(Line_Check!V17=1,IF(AND(Line_Check!AE17&gt;=Line_Check!W17,Line_Check!AE17-Line_Check!W17&gt;=Policy!$B$14),1,0),1),IF(Line_Check!AH17=1,IF(AND(Line_Check!AQ17&gt;=Line_Check!AI17,Line_Check!AQ17-Line_Check!AI17&gt;=Policy!$B$14),1,0),1),IF(Line_Check!AT17=1,IF(AND(Line_Check!BC17&gt;=Line_Check!AU17,Line_Check!BC17-Line_Check!AU17&gt;=Policy!$B$14),1,0),1),IF(Line_Check!BF17=1,IF(AND(Line_Check!BO17&gt;=Line_Check!BG17,Line_Check!BO17-Line_Check!BG17&gt;=Policy!$B$14),1,0),1),IF(Line_Check!BR17=1,IF(AND(Line_Check!CA17&gt;=Line_Check!BS17,Line_Check!CA17-Line_Check!BS17&gt;=Policy!$B$14),1,0),1),IF(Line_Check!CD17=1,IF(AND(Line_Check!CM17&gt;=Line_Check!CE17,Line_Check!CM17-Line_Check!CE17&gt;=Policy!$B$14),1,0),1),IF(Line_Check!CP17=1,IF(AND(Line_Check!CY17&gt;=Line_Check!CQ17,Line_Check!CY17-Line_Check!CQ17&gt;=Policy!$B$14),1,0),1))=1,"PASS","FAIL")</f>
        <v/>
      </c>
      <c r="M17" s="25">
        <f>IF(G17&gt;=2,"PASS","FAIL")</f>
        <v/>
      </c>
      <c r="N17" s="25" t="inlineStr">
        <is>
          <t>N/A</t>
        </is>
      </c>
      <c r="O17" s="25" t="inlineStr">
        <is>
          <t>N/A</t>
        </is>
      </c>
      <c r="P17" s="25">
        <f>IF(C17=Request!$B$4,"PASS","FAIL")</f>
        <v/>
      </c>
      <c r="Q17" s="25">
        <f>IF(OR(D17="Standard",B17=Request!$B$6),"PASS","FAIL")</f>
        <v/>
      </c>
      <c r="R17" s="25" t="inlineStr">
        <is>
          <t>N/A</t>
        </is>
      </c>
      <c r="S17" s="25">
        <f>IF(MIN(IF(Line_Check!J17=1,IF(MIN(Line_Check!M17,Line_Check!S17)&gt;=Line_Check!K17,1,0),1),IF(Line_Check!V17=1,IF(MIN(Line_Check!Y17,Line_Check!AE17)&gt;=Line_Check!W17,1,0),1),IF(Line_Check!AH17=1,IF(MIN(Line_Check!AK17,Line_Check!AQ17)&gt;=Line_Check!AI17,1,0),1),IF(Line_Check!AT17=1,IF(MIN(Line_Check!AW17,Line_Check!BC17)&gt;=Line_Check!AU17,1,0),1),IF(Line_Check!BF17=1,IF(MIN(Line_Check!BI17,Line_Check!BO17)&gt;=Line_Check!BG17,1,0),1),IF(Line_Check!BR17=1,IF(MIN(Line_Check!BU17,Line_Check!CA17)&gt;=Line_Check!BS17,1,0),1),IF(Line_Check!CD17=1,IF(MIN(Line_Check!CG17,Line_Check!CM17)&gt;=Line_Check!CE17,1,0),1),IF(Line_Check!CP17=1,IF(MIN(Line_Check!CS17,Line_Check!CY17)&gt;=Line_Check!CQ17,1,0),1))=1,"PASS","FAIL")</f>
        <v/>
      </c>
      <c r="T17" s="36">
        <f>IF(AND(J17=1,OR(K17="PASS",K17="N/A"),OR(L17="PASS",L17="N/A"),OR(M17="PASS",M17="N/A"),OR(N17="PASS",N17="N/A"),OR(O17="PASS",O17="N/A"),OR(P17="PASS",P17="N/A"),OR(Q17="PASS",Q17="N/A"),OR(R17="PASS",R17="N/A"),OR(S17="PASS",S17="N/A")),1,0)</f>
        <v/>
      </c>
      <c r="U17" s="30">
        <f>IF(J17&lt;&gt;1,"—",MIN(IF(Line_Check!J17=1,MAX(0,MIN(1,IF(Line_Check!N17=0,0,Line_Check!O17/Line_Check!N17))),1),IF(Line_Check!V17=1,MAX(0,MIN(1,IF(Line_Check!Z17=0,0,Line_Check!AA17/Line_Check!Z17))),1),IF(Line_Check!AH17=1,MAX(0,MIN(1,IF(Line_Check!AL17=0,0,Line_Check!AM17/Line_Check!AL17))),1),IF(Line_Check!AT17=1,MAX(0,MIN(1,IF(Line_Check!AX17=0,0,Line_Check!AY17/Line_Check!AX17))),1),IF(Line_Check!BF17=1,MAX(0,MIN(1,IF(Line_Check!BJ17=0,0,Line_Check!BK17/Line_Check!BJ17))),1),IF(Line_Check!BR17=1,MAX(0,MIN(1,IF(Line_Check!BV17=0,0,Line_Check!BW17/Line_Check!BV17))),1),IF(Line_Check!CD17=1,MAX(0,MIN(1,IF(Line_Check!CH17=0,0,Line_Check!CI17/Line_Check!CH17))),1),IF(Line_Check!CP17=1,MAX(0,MIN(1,IF(Line_Check!CT17=0,0,Line_Check!CU17/Line_Check!CT17))),1)))</f>
        <v/>
      </c>
      <c r="V17" s="30">
        <f>IF(J17&lt;&gt;1,"—",MIN(IF(Line_Check!J17=1,MAX(0,MIN(1,IF(Line_Check!T17=0,0,Line_Check!S17/Line_Check!T17))),1),IF(Line_Check!V17=1,MAX(0,MIN(1,IF(Line_Check!AF17=0,0,Line_Check!AE17/Line_Check!AF17))),1),IF(Line_Check!AH17=1,MAX(0,MIN(1,IF(Line_Check!AR17=0,0,Line_Check!AQ17/Line_Check!AR17))),1),IF(Line_Check!AT17=1,MAX(0,MIN(1,IF(Line_Check!BD17=0,0,Line_Check!BC17/Line_Check!BD17))),1),IF(Line_Check!BF17=1,MAX(0,MIN(1,IF(Line_Check!BP17=0,0,Line_Check!BO17/Line_Check!BP17))),1),IF(Line_Check!BR17=1,MAX(0,MIN(1,IF(Line_Check!CB17=0,0,Line_Check!CA17/Line_Check!CB17))),1),IF(Line_Check!CD17=1,MAX(0,MIN(1,IF(Line_Check!CN17=0,0,Line_Check!CM17/Line_Check!CN17))),1),IF(Line_Check!CP17=1,MAX(0,MIN(1,IF(Line_Check!CZ17=0,0,Line_Check!CY17/Line_Check!CZ17))),1)))</f>
        <v/>
      </c>
      <c r="W17" s="30">
        <f>IF(J17&lt;&gt;1,"—",IF(SUMIFS($H$5:$H$18,$C$5:$C$18,C17)=0,1,MAX(0,MIN(1,1-H17/SUMIFS($H$5:$H$18,$C$5:$C$18,C17)))))</f>
        <v/>
      </c>
      <c r="X17" s="30">
        <f>IF(J17&lt;&gt;1,"—",MAX(0,MIN(1,I17)))</f>
        <v/>
      </c>
      <c r="Y17" s="30">
        <f>IF(J17&lt;&gt;1,"—",MAX(0,MIN(1,G17/3)))</f>
        <v/>
      </c>
      <c r="Z17" s="30">
        <f>IF(T17&lt;&gt;1,"—",Policy!$B$4*U17+Policy!$B$5*V17+Policy!$B$6*W17+Policy!$B$7*X17+Policy!$B$8*Y17)</f>
        <v/>
      </c>
      <c r="AA17" s="25">
        <f>IF(T17&lt;&gt;1,"—",1+COUNTIFS($T$5:$T$18,1,$Z$5:$Z$18,"&gt;"&amp;Z17)+COUNTIFS($T$5:$T$18,1,$Z$5:$Z$18,Z17,$AE$5:$AE$18,"&lt;"&amp;AE17))</f>
        <v/>
      </c>
      <c r="AB17" s="25">
        <f>IF(J17&lt;&gt;1,"—",IF(OR(AND(Line_Check!J17=1,Line_Check!N17=0),AND(Line_Check!V17=1,Line_Check!Z17=0),AND(Line_Check!AH17=1,Line_Check!AL17=0),AND(Line_Check!AT17=1,Line_Check!AX17=0),AND(Line_Check!BF17=1,Line_Check!BJ17=0),AND(Line_Check!BR17=1,Line_Check!BV17=0),AND(Line_Check!CD17=1,Line_Check!CH17=0),AND(Line_Check!CP17=1,Line_Check!CT17=0)),"RESERVATION_DEFICIT",IF(K17="FAIL","CAPACITY_UNAVAILABLE",IF(L17="FAIL","QUOTA_DEFICIT",IF(OR(M17="FAIL",N17="FAIL",O17="FAIL",P17="FAIL",Q17="FAIL",R17="FAIL",S17="FAIL"),"CAPACITY_UNAVAILABLE",IF(AND(T17=1,U17&lt;Policy!$B$12),"READY_WITH_RISK",IF(T17=1,"READY","CAPACITY_UNAVAILABLE")))))))</f>
        <v/>
      </c>
      <c r="AC17" s="25">
        <f>IF(T17&lt;&gt;1,"—",IF(MIN(IF(Line_Check!J17=1,Line_Check!M17,10^9),IF(Line_Check!V17=1,Line_Check!Y17,10^9),IF(Line_Check!AH17=1,Line_Check!AK17,10^9),IF(Line_Check!AT17=1,Line_Check!AW17,10^9),IF(Line_Check!BF17=1,Line_Check!BI17,10^9),IF(Line_Check!BR17=1,Line_Check!BU17,10^9),IF(Line_Check!CD17=1,Line_Check!CG17,10^9),IF(Line_Check!CP17=1,Line_Check!CS17,10^9))&lt;=MIN(IF(Line_Check!J17=1,Line_Check!S17,10^9),IF(Line_Check!V17=1,Line_Check!AE17,10^9),IF(Line_Check!AH17=1,Line_Check!AQ17,10^9),IF(Line_Check!AT17=1,Line_Check!BC17,10^9),IF(Line_Check!BF17=1,Line_Check!BO17,10^9),IF(Line_Check!BR17=1,Line_Check!CA17,10^9),IF(Line_Check!CD17=1,Line_Check!CM17,10^9),IF(Line_Check!CP17=1,Line_Check!CY17,10^9)),"CAPACITY","QUOTA"))</f>
        <v/>
      </c>
      <c r="AE17" s="36">
        <f>ROW()</f>
        <v/>
      </c>
    </row>
    <row r="18">
      <c r="A18" s="6">
        <f>Line_Check!A18</f>
        <v/>
      </c>
      <c r="B18" s="6">
        <f>Line_Check!B18</f>
        <v/>
      </c>
      <c r="C18" s="15">
        <f>Line_Check!C18</f>
        <v/>
      </c>
      <c r="D18" s="15">
        <f>Line_Check!D18</f>
        <v/>
      </c>
      <c r="E18" s="15">
        <f>Line_Check!E18</f>
        <v/>
      </c>
      <c r="F18" s="15">
        <f>Line_Check!F18</f>
        <v/>
      </c>
      <c r="G18" s="42">
        <f>Line_Check!G18</f>
        <v/>
      </c>
      <c r="H18" s="42">
        <f>Line_Check!H18</f>
        <v/>
      </c>
      <c r="I18" s="43">
        <f>Line_Check!I18</f>
        <v/>
      </c>
      <c r="J18" s="36">
        <f>IF(OR(Request!$B$22=0,Policy!$B$10&lt;&gt;"OK",Request!$B$24&lt;&gt;"OK"),0,IF(AND(Request!$B$6="",Request!$B$7&lt;&gt;"Y"),0,IF(Request!$B$6&lt;&gt;"",IF(AND(B18=Request!$B$6,C18=Request!$B$4),1,0),IF(AND(C18=Request!$B$4,D18="Standard"),1,0))))</f>
        <v/>
      </c>
      <c r="K18" s="25">
        <f>IF(MIN(IF(Line_Check!J18=1,IF(Line_Check!M18&gt;=Policy!$B$13*Line_Check!K18,1,0),1),IF(Line_Check!V18=1,IF(Line_Check!Y18&gt;=Policy!$B$13*Line_Check!W18,1,0),1),IF(Line_Check!AH18=1,IF(Line_Check!AK18&gt;=Policy!$B$13*Line_Check!AI18,1,0),1),IF(Line_Check!AT18=1,IF(Line_Check!AW18&gt;=Policy!$B$13*Line_Check!AU18,1,0),1),IF(Line_Check!BF18=1,IF(Line_Check!BI18&gt;=Policy!$B$13*Line_Check!BG18,1,0),1),IF(Line_Check!BR18=1,IF(Line_Check!BU18&gt;=Policy!$B$13*Line_Check!BS18,1,0),1),IF(Line_Check!CD18=1,IF(Line_Check!CG18&gt;=Policy!$B$13*Line_Check!CE18,1,0),1),IF(Line_Check!CP18=1,IF(Line_Check!CS18&gt;=Policy!$B$13*Line_Check!CQ18,1,0),1))=1,"PASS","FAIL")</f>
        <v/>
      </c>
      <c r="L18" s="25">
        <f>IF(MIN(IF(Line_Check!J18=1,IF(AND(Line_Check!S18&gt;=Line_Check!K18,Line_Check!S18-Line_Check!K18&gt;=Policy!$B$14),1,0),1),IF(Line_Check!V18=1,IF(AND(Line_Check!AE18&gt;=Line_Check!W18,Line_Check!AE18-Line_Check!W18&gt;=Policy!$B$14),1,0),1),IF(Line_Check!AH18=1,IF(AND(Line_Check!AQ18&gt;=Line_Check!AI18,Line_Check!AQ18-Line_Check!AI18&gt;=Policy!$B$14),1,0),1),IF(Line_Check!AT18=1,IF(AND(Line_Check!BC18&gt;=Line_Check!AU18,Line_Check!BC18-Line_Check!AU18&gt;=Policy!$B$14),1,0),1),IF(Line_Check!BF18=1,IF(AND(Line_Check!BO18&gt;=Line_Check!BG18,Line_Check!BO18-Line_Check!BG18&gt;=Policy!$B$14),1,0),1),IF(Line_Check!BR18=1,IF(AND(Line_Check!CA18&gt;=Line_Check!BS18,Line_Check!CA18-Line_Check!BS18&gt;=Policy!$B$14),1,0),1),IF(Line_Check!CD18=1,IF(AND(Line_Check!CM18&gt;=Line_Check!CE18,Line_Check!CM18-Line_Check!CE18&gt;=Policy!$B$14),1,0),1),IF(Line_Check!CP18=1,IF(AND(Line_Check!CY18&gt;=Line_Check!CQ18,Line_Check!CY18-Line_Check!CQ18&gt;=Policy!$B$14),1,0),1))=1,"PASS","FAIL")</f>
        <v/>
      </c>
      <c r="M18" s="25">
        <f>IF(G18&gt;=2,"PASS","FAIL")</f>
        <v/>
      </c>
      <c r="N18" s="25" t="inlineStr">
        <is>
          <t>N/A</t>
        </is>
      </c>
      <c r="O18" s="25" t="inlineStr">
        <is>
          <t>N/A</t>
        </is>
      </c>
      <c r="P18" s="25">
        <f>IF(C18=Request!$B$4,"PASS","FAIL")</f>
        <v/>
      </c>
      <c r="Q18" s="25">
        <f>IF(OR(D18="Standard",B18=Request!$B$6),"PASS","FAIL")</f>
        <v/>
      </c>
      <c r="R18" s="25" t="inlineStr">
        <is>
          <t>N/A</t>
        </is>
      </c>
      <c r="S18" s="25">
        <f>IF(MIN(IF(Line_Check!J18=1,IF(MIN(Line_Check!M18,Line_Check!S18)&gt;=Line_Check!K18,1,0),1),IF(Line_Check!V18=1,IF(MIN(Line_Check!Y18,Line_Check!AE18)&gt;=Line_Check!W18,1,0),1),IF(Line_Check!AH18=1,IF(MIN(Line_Check!AK18,Line_Check!AQ18)&gt;=Line_Check!AI18,1,0),1),IF(Line_Check!AT18=1,IF(MIN(Line_Check!AW18,Line_Check!BC18)&gt;=Line_Check!AU18,1,0),1),IF(Line_Check!BF18=1,IF(MIN(Line_Check!BI18,Line_Check!BO18)&gt;=Line_Check!BG18,1,0),1),IF(Line_Check!BR18=1,IF(MIN(Line_Check!BU18,Line_Check!CA18)&gt;=Line_Check!BS18,1,0),1),IF(Line_Check!CD18=1,IF(MIN(Line_Check!CG18,Line_Check!CM18)&gt;=Line_Check!CE18,1,0),1),IF(Line_Check!CP18=1,IF(MIN(Line_Check!CS18,Line_Check!CY18)&gt;=Line_Check!CQ18,1,0),1))=1,"PASS","FAIL")</f>
        <v/>
      </c>
      <c r="T18" s="36">
        <f>IF(AND(J18=1,OR(K18="PASS",K18="N/A"),OR(L18="PASS",L18="N/A"),OR(M18="PASS",M18="N/A"),OR(N18="PASS",N18="N/A"),OR(O18="PASS",O18="N/A"),OR(P18="PASS",P18="N/A"),OR(Q18="PASS",Q18="N/A"),OR(R18="PASS",R18="N/A"),OR(S18="PASS",S18="N/A")),1,0)</f>
        <v/>
      </c>
      <c r="U18" s="30">
        <f>IF(J18&lt;&gt;1,"—",MIN(IF(Line_Check!J18=1,MAX(0,MIN(1,IF(Line_Check!N18=0,0,Line_Check!O18/Line_Check!N18))),1),IF(Line_Check!V18=1,MAX(0,MIN(1,IF(Line_Check!Z18=0,0,Line_Check!AA18/Line_Check!Z18))),1),IF(Line_Check!AH18=1,MAX(0,MIN(1,IF(Line_Check!AL18=0,0,Line_Check!AM18/Line_Check!AL18))),1),IF(Line_Check!AT18=1,MAX(0,MIN(1,IF(Line_Check!AX18=0,0,Line_Check!AY18/Line_Check!AX18))),1),IF(Line_Check!BF18=1,MAX(0,MIN(1,IF(Line_Check!BJ18=0,0,Line_Check!BK18/Line_Check!BJ18))),1),IF(Line_Check!BR18=1,MAX(0,MIN(1,IF(Line_Check!BV18=0,0,Line_Check!BW18/Line_Check!BV18))),1),IF(Line_Check!CD18=1,MAX(0,MIN(1,IF(Line_Check!CH18=0,0,Line_Check!CI18/Line_Check!CH18))),1),IF(Line_Check!CP18=1,MAX(0,MIN(1,IF(Line_Check!CT18=0,0,Line_Check!CU18/Line_Check!CT18))),1)))</f>
        <v/>
      </c>
      <c r="V18" s="30">
        <f>IF(J18&lt;&gt;1,"—",MIN(IF(Line_Check!J18=1,MAX(0,MIN(1,IF(Line_Check!T18=0,0,Line_Check!S18/Line_Check!T18))),1),IF(Line_Check!V18=1,MAX(0,MIN(1,IF(Line_Check!AF18=0,0,Line_Check!AE18/Line_Check!AF18))),1),IF(Line_Check!AH18=1,MAX(0,MIN(1,IF(Line_Check!AR18=0,0,Line_Check!AQ18/Line_Check!AR18))),1),IF(Line_Check!AT18=1,MAX(0,MIN(1,IF(Line_Check!BD18=0,0,Line_Check!BC18/Line_Check!BD18))),1),IF(Line_Check!BF18=1,MAX(0,MIN(1,IF(Line_Check!BP18=0,0,Line_Check!BO18/Line_Check!BP18))),1),IF(Line_Check!BR18=1,MAX(0,MIN(1,IF(Line_Check!CB18=0,0,Line_Check!CA18/Line_Check!CB18))),1),IF(Line_Check!CD18=1,MAX(0,MIN(1,IF(Line_Check!CN18=0,0,Line_Check!CM18/Line_Check!CN18))),1),IF(Line_Check!CP18=1,MAX(0,MIN(1,IF(Line_Check!CZ18=0,0,Line_Check!CY18/Line_Check!CZ18))),1)))</f>
        <v/>
      </c>
      <c r="W18" s="30">
        <f>IF(J18&lt;&gt;1,"—",IF(SUMIFS($H$5:$H$18,$C$5:$C$18,C18)=0,1,MAX(0,MIN(1,1-H18/SUMIFS($H$5:$H$18,$C$5:$C$18,C18)))))</f>
        <v/>
      </c>
      <c r="X18" s="30">
        <f>IF(J18&lt;&gt;1,"—",MAX(0,MIN(1,I18)))</f>
        <v/>
      </c>
      <c r="Y18" s="30">
        <f>IF(J18&lt;&gt;1,"—",MAX(0,MIN(1,G18/3)))</f>
        <v/>
      </c>
      <c r="Z18" s="30">
        <f>IF(T18&lt;&gt;1,"—",Policy!$B$4*U18+Policy!$B$5*V18+Policy!$B$6*W18+Policy!$B$7*X18+Policy!$B$8*Y18)</f>
        <v/>
      </c>
      <c r="AA18" s="25">
        <f>IF(T18&lt;&gt;1,"—",1+COUNTIFS($T$5:$T$18,1,$Z$5:$Z$18,"&gt;"&amp;Z18)+COUNTIFS($T$5:$T$18,1,$Z$5:$Z$18,Z18,$AE$5:$AE$18,"&lt;"&amp;AE18))</f>
        <v/>
      </c>
      <c r="AB18" s="25">
        <f>IF(J18&lt;&gt;1,"—",IF(OR(AND(Line_Check!J18=1,Line_Check!N18=0),AND(Line_Check!V18=1,Line_Check!Z18=0),AND(Line_Check!AH18=1,Line_Check!AL18=0),AND(Line_Check!AT18=1,Line_Check!AX18=0),AND(Line_Check!BF18=1,Line_Check!BJ18=0),AND(Line_Check!BR18=1,Line_Check!BV18=0),AND(Line_Check!CD18=1,Line_Check!CH18=0),AND(Line_Check!CP18=1,Line_Check!CT18=0)),"RESERVATION_DEFICIT",IF(K18="FAIL","CAPACITY_UNAVAILABLE",IF(L18="FAIL","QUOTA_DEFICIT",IF(OR(M18="FAIL",N18="FAIL",O18="FAIL",P18="FAIL",Q18="FAIL",R18="FAIL",S18="FAIL"),"CAPACITY_UNAVAILABLE",IF(AND(T18=1,U18&lt;Policy!$B$12),"READY_WITH_RISK",IF(T18=1,"READY","CAPACITY_UNAVAILABLE")))))))</f>
        <v/>
      </c>
      <c r="AC18" s="25">
        <f>IF(T18&lt;&gt;1,"—",IF(MIN(IF(Line_Check!J18=1,Line_Check!M18,10^9),IF(Line_Check!V18=1,Line_Check!Y18,10^9),IF(Line_Check!AH18=1,Line_Check!AK18,10^9),IF(Line_Check!AT18=1,Line_Check!AW18,10^9),IF(Line_Check!BF18=1,Line_Check!BI18,10^9),IF(Line_Check!BR18=1,Line_Check!BU18,10^9),IF(Line_Check!CD18=1,Line_Check!CG18,10^9),IF(Line_Check!CP18=1,Line_Check!CS18,10^9))&lt;=MIN(IF(Line_Check!J18=1,Line_Check!S18,10^9),IF(Line_Check!V18=1,Line_Check!AE18,10^9),IF(Line_Check!AH18=1,Line_Check!AQ18,10^9),IF(Line_Check!AT18=1,Line_Check!BC18,10^9),IF(Line_Check!BF18=1,Line_Check!BO18,10^9),IF(Line_Check!BR18=1,Line_Check!CA18,10^9),IF(Line_Check!CD18=1,Line_Check!CM18,10^9),IF(Line_Check!CP18=1,Line_Check!CY18,10^9)),"CAPACITY","QUOTA"))</f>
        <v/>
      </c>
      <c r="AE18" s="36">
        <f>ROW()</f>
        <v/>
      </c>
    </row>
  </sheetData>
  <autoFilter ref="A4:AC18"/>
  <conditionalFormatting sqref="AB5:AB18">
    <cfRule type="expression" priority="1" dxfId="1">
      <formula>LEFT(AB5,5)="READY"</formula>
    </cfRule>
    <cfRule type="expression" priority="2" dxfId="2">
      <formula>AND(AB5&lt;&gt;"—",ISERROR(SEARCH("READY",AB5)),AB5&lt;&gt;"N/A")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4" customWidth="1" min="5" max="5"/>
    <col width="16" customWidth="1" min="6" max="6"/>
    <col width="8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4" customWidth="1" min="28" max="28"/>
    <col width="14" customWidth="1" min="29" max="29"/>
    <col hidden="1" width="8" customWidth="1" min="31" max="31"/>
  </cols>
  <sheetData>
    <row r="1">
      <c r="A1" s="1" t="inlineStr">
        <is>
          <t>CVAL / NonProd score — PS_NonProd</t>
        </is>
      </c>
    </row>
    <row r="2">
      <c r="A2" s="18" t="inlineStr">
        <is>
          <t>Eligible = 1 only after every gate passes. Placement score is blank for everyone else. Rank 1 is the winner. Ties break toward the earlier catalogue row.</t>
        </is>
      </c>
    </row>
    <row r="4" ht="32" customHeight="1">
      <c r="A4" s="12" t="inlineStr">
        <is>
          <t>Region</t>
        </is>
      </c>
      <c r="B4" s="12" t="inlineStr">
        <is>
          <t>Region id</t>
        </is>
      </c>
      <c r="C4" s="12" t="inlineStr">
        <is>
          <t>Geography</t>
        </is>
      </c>
      <c r="D4" s="12" t="inlineStr">
        <is>
          <t>Class</t>
        </is>
      </c>
      <c r="E4" s="12" t="inlineStr">
        <is>
          <t>Model</t>
        </is>
      </c>
      <c r="F4" s="12" t="inlineStr">
        <is>
          <t>DR scope</t>
        </is>
      </c>
      <c r="G4" s="12" t="inlineStr">
        <is>
          <t>AZ</t>
        </is>
      </c>
      <c r="H4" s="12" t="inlineStr">
        <is>
          <t>Customers</t>
        </is>
      </c>
      <c r="I4" s="12" t="inlineStr">
        <is>
          <t>DR coverage</t>
        </is>
      </c>
      <c r="J4" s="12" t="inlineStr">
        <is>
          <t>Candidate</t>
        </is>
      </c>
      <c r="K4" s="12" t="inlineStr">
        <is>
          <t>HC-2</t>
        </is>
      </c>
      <c r="L4" s="12" t="inlineStr">
        <is>
          <t>HC-3</t>
        </is>
      </c>
      <c r="M4" s="12" t="inlineStr">
        <is>
          <t>HC-5</t>
        </is>
      </c>
      <c r="N4" s="12" t="inlineStr">
        <is>
          <t>HC-6</t>
        </is>
      </c>
      <c r="O4" s="12" t="inlineStr">
        <is>
          <t>HC-7</t>
        </is>
      </c>
      <c r="P4" s="12" t="inlineStr">
        <is>
          <t>HC-8</t>
        </is>
      </c>
      <c r="Q4" s="12" t="inlineStr">
        <is>
          <t>HC-9</t>
        </is>
      </c>
      <c r="R4" s="12" t="inlineStr">
        <is>
          <t>HC-4</t>
        </is>
      </c>
      <c r="S4" s="12" t="inlineStr">
        <is>
          <t>Meets-all</t>
        </is>
      </c>
      <c r="T4" s="12" t="inlineStr">
        <is>
          <t>Eligible</t>
        </is>
      </c>
      <c r="U4" s="12" t="inlineStr">
        <is>
          <t>α</t>
        </is>
      </c>
      <c r="V4" s="12" t="inlineStr">
        <is>
          <t>β</t>
        </is>
      </c>
      <c r="W4" s="12" t="inlineStr">
        <is>
          <t>γ</t>
        </is>
      </c>
      <c r="X4" s="12" t="inlineStr">
        <is>
          <t>δ</t>
        </is>
      </c>
      <c r="Y4" s="12" t="inlineStr">
        <is>
          <t>ε</t>
        </is>
      </c>
      <c r="Z4" s="12" t="inlineStr">
        <is>
          <t>PS</t>
        </is>
      </c>
      <c r="AA4" s="12" t="inlineStr">
        <is>
          <t>Rank</t>
        </is>
      </c>
      <c r="AB4" s="12" t="inlineStr">
        <is>
          <t>Readiness</t>
        </is>
      </c>
      <c r="AC4" s="12" t="inlineStr">
        <is>
          <t>Binding</t>
        </is>
      </c>
    </row>
    <row r="5">
      <c r="A5" s="6">
        <f>Line_Check!A5</f>
        <v/>
      </c>
      <c r="B5" s="6">
        <f>Line_Check!B5</f>
        <v/>
      </c>
      <c r="C5" s="15">
        <f>Line_Check!C5</f>
        <v/>
      </c>
      <c r="D5" s="15">
        <f>Line_Check!D5</f>
        <v/>
      </c>
      <c r="E5" s="15">
        <f>Line_Check!E5</f>
        <v/>
      </c>
      <c r="F5" s="15">
        <f>Line_Check!F5</f>
        <v/>
      </c>
      <c r="G5" s="42">
        <f>Line_Check!G5</f>
        <v/>
      </c>
      <c r="H5" s="42">
        <f>Line_Check!H5</f>
        <v/>
      </c>
      <c r="I5" s="43">
        <f>Line_Check!I5</f>
        <v/>
      </c>
      <c r="J5" s="36">
        <f>IF(OR(OR(Request!$B$22=0,Policy!$B$10&lt;&gt;"OK",Request!$B$24&lt;&gt;"OK"),NOT(AND(Allocation!$C$9&lt;&gt;"NONE ELIGIBLE",Allocation!$C$9&lt;&gt;"POLICY_BLOCKED",Allocation!$C$9&lt;&gt;"NO REQUEST"))),0,IF(Request!$B$9="cross-geo",IF(B5=Allocation!$C$9,1,0),IF(AND(C5=Request!$B$4,D5="Standard",B5&lt;&gt;Allocation!$C$9),1,0)))</f>
        <v/>
      </c>
      <c r="K5" s="25">
        <f>IF(MIN(IF(Line_Check!J5=1,IF(Line_Check!O5&gt;=Policy!$B$13*Line_Check!K5,1,0),1),IF(Line_Check!V5=1,IF(Line_Check!AA5&gt;=Policy!$B$13*Line_Check!W5,1,0),1),IF(Line_Check!AH5=1,IF(Line_Check!AM5&gt;=Policy!$B$13*Line_Check!AI5,1,0),1),IF(Line_Check!AT5=1,IF(Line_Check!AY5&gt;=Policy!$B$13*Line_Check!AU5,1,0),1),IF(Line_Check!BF5=1,IF(Line_Check!BK5&gt;=Policy!$B$13*Line_Check!BG5,1,0),1),IF(Line_Check!BR5=1,IF(Line_Check!BW5&gt;=Policy!$B$13*Line_Check!BS5,1,0),1),IF(Line_Check!CD5=1,IF(Line_Check!CI5&gt;=Policy!$B$13*Line_Check!CE5,1,0),1),IF(Line_Check!CP5=1,IF(Line_Check!CU5&gt;=Policy!$B$13*Line_Check!CQ5,1,0),1))=1,"PASS","FAIL")</f>
        <v/>
      </c>
      <c r="L5" s="25">
        <f>IF(MIN(IF(Line_Check!J5=1,IF(AND(Line_Check!S5&gt;=Line_Check!K5,Line_Check!S5-Line_Check!K5&gt;=Policy!$B$14),1,0),1),IF(Line_Check!V5=1,IF(AND(Line_Check!AE5&gt;=Line_Check!W5,Line_Check!AE5-Line_Check!W5&gt;=Policy!$B$14),1,0),1),IF(Line_Check!AH5=1,IF(AND(Line_Check!AQ5&gt;=Line_Check!AI5,Line_Check!AQ5-Line_Check!AI5&gt;=Policy!$B$14),1,0),1),IF(Line_Check!AT5=1,IF(AND(Line_Check!BC5&gt;=Line_Check!AU5,Line_Check!BC5-Line_Check!AU5&gt;=Policy!$B$14),1,0),1),IF(Line_Check!BF5=1,IF(AND(Line_Check!BO5&gt;=Line_Check!BG5,Line_Check!BO5-Line_Check!BG5&gt;=Policy!$B$14),1,0),1),IF(Line_Check!BR5=1,IF(AND(Line_Check!CA5&gt;=Line_Check!BS5,Line_Check!CA5-Line_Check!BS5&gt;=Policy!$B$14),1,0),1),IF(Line_Check!CD5=1,IF(AND(Line_Check!CM5&gt;=Line_Check!CE5,Line_Check!CM5-Line_Check!CE5&gt;=Policy!$B$14),1,0),1),IF(Line_Check!CP5=1,IF(AND(Line_Check!CY5&gt;=Line_Check!CQ5,Line_Check!CY5-Line_Check!CQ5&gt;=Policy!$B$14),1,0),1))=1,"PASS","FAIL")</f>
        <v/>
      </c>
      <c r="M5" s="25">
        <f>IF(G5&gt;=2,"PASS","FAIL")</f>
        <v/>
      </c>
      <c r="N5" s="25" t="inlineStr">
        <is>
          <t>N/A</t>
        </is>
      </c>
      <c r="O5" s="25">
        <f>IF(MIN(IF(Line_Check!J5=1,IF(AND(Line_Check!U5&gt;=Line_Check!K5,Line_Check!U5-Line_Check!K5&gt;=Policy!$B$14),1,0),1),IF(Line_Check!V5=1,IF(AND(Line_Check!AG5&gt;=Line_Check!W5,Line_Check!AG5-Line_Check!W5&gt;=Policy!$B$14),1,0),1),IF(Line_Check!AH5=1,IF(AND(Line_Check!AS5&gt;=Line_Check!AI5,Line_Check!AS5-Line_Check!AI5&gt;=Policy!$B$14),1,0),1),IF(Line_Check!AT5=1,IF(AND(Line_Check!BE5&gt;=Line_Check!AU5,Line_Check!BE5-Line_Check!AU5&gt;=Policy!$B$14),1,0),1),IF(Line_Check!BF5=1,IF(AND(Line_Check!BQ5&gt;=Line_Check!BG5,Line_Check!BQ5-Line_Check!BG5&gt;=Policy!$B$14),1,0),1),IF(Line_Check!BR5=1,IF(AND(Line_Check!CC5&gt;=Line_Check!BS5,Line_Check!CC5-Line_Check!BS5&gt;=Policy!$B$14),1,0),1),IF(Line_Check!CD5=1,IF(AND(Line_Check!CO5&gt;=Line_Check!CE5,Line_Check!CO5-Line_Check!CE5&gt;=Policy!$B$14),1,0),1),IF(Line_Check!CP5=1,IF(AND(Line_Check!DA5&gt;=Line_Check!CQ5,Line_Check!DA5-Line_Check!CQ5&gt;=Policy!$B$14),1,0),1))=1,"PASS","FAIL")</f>
        <v/>
      </c>
      <c r="P5" s="25">
        <f>IF(C5=Request!$B$4,"PASS","FAIL")</f>
        <v/>
      </c>
      <c r="Q5" s="25">
        <f>IF(D5="Standard","PASS","FAIL")</f>
        <v/>
      </c>
      <c r="R5" s="25" t="inlineStr">
        <is>
          <t>N/A</t>
        </is>
      </c>
      <c r="S5" s="25">
        <f>IF(MIN(IF(Line_Check!J5=1,IF(MIN(Line_Check!O5,Line_Check!U5)&gt;=Line_Check!K5,1,0),1),IF(Line_Check!V5=1,IF(MIN(Line_Check!AA5,Line_Check!AG5)&gt;=Line_Check!W5,1,0),1),IF(Line_Check!AH5=1,IF(MIN(Line_Check!AM5,Line_Check!AS5)&gt;=Line_Check!AI5,1,0),1),IF(Line_Check!AT5=1,IF(MIN(Line_Check!AY5,Line_Check!BE5)&gt;=Line_Check!AU5,1,0),1),IF(Line_Check!BF5=1,IF(MIN(Line_Check!BK5,Line_Check!BQ5)&gt;=Line_Check!BG5,1,0),1),IF(Line_Check!BR5=1,IF(MIN(Line_Check!BW5,Line_Check!CC5)&gt;=Line_Check!BS5,1,0),1),IF(Line_Check!CD5=1,IF(MIN(Line_Check!CI5,Line_Check!CO5)&gt;=Line_Check!CE5,1,0),1),IF(Line_Check!CP5=1,IF(MIN(Line_Check!CU5,Line_Check!DA5)&gt;=Line_Check!CQ5,1,0),1))=1,"PASS","FAIL")</f>
        <v/>
      </c>
      <c r="T5" s="36">
        <f>IF(AND(J5=1,OR(K5="PASS",K5="N/A"),OR(L5="PASS",L5="N/A"),OR(M5="PASS",M5="N/A"),OR(N5="PASS",N5="N/A"),OR(O5="PASS",O5="N/A"),OR(P5="PASS",P5="N/A"),OR(Q5="PASS",Q5="N/A"),OR(R5="PASS",R5="N/A"),OR(S5="PASS",S5="N/A")),1,0)</f>
        <v/>
      </c>
      <c r="U5" s="30">
        <f>IF(J5&lt;&gt;1,"—",MIN(IF(Line_Check!J5=1,MAX(0,MIN(1,IF(Line_Check!P5=0,0,Line_Check!O5/Line_Check!P5))),1),IF(Line_Check!V5=1,MAX(0,MIN(1,IF(Line_Check!AB5=0,0,Line_Check!AA5/Line_Check!AB5))),1),IF(Line_Check!AH5=1,MAX(0,MIN(1,IF(Line_Check!AN5=0,0,Line_Check!AM5/Line_Check!AN5))),1),IF(Line_Check!AT5=1,MAX(0,MIN(1,IF(Line_Check!AZ5=0,0,Line_Check!AY5/Line_Check!AZ5))),1),IF(Line_Check!BF5=1,MAX(0,MIN(1,IF(Line_Check!BL5=0,0,Line_Check!BK5/Line_Check!BL5))),1),IF(Line_Check!BR5=1,MAX(0,MIN(1,IF(Line_Check!BX5=0,0,Line_Check!BW5/Line_Check!BX5))),1),IF(Line_Check!CD5=1,MAX(0,MIN(1,IF(Line_Check!CJ5=0,0,Line_Check!CI5/Line_Check!CJ5))),1),IF(Line_Check!CP5=1,MAX(0,MIN(1,IF(Line_Check!CV5=0,0,Line_Check!CU5/Line_Check!CV5))),1)))</f>
        <v/>
      </c>
      <c r="V5" s="30">
        <f>IF(J5&lt;&gt;1,"—",MIN(IF(Line_Check!J5=1,MAX(0,MIN(1,IF(Line_Check!T5=0,0,Line_Check!S5/Line_Check!T5))),1),IF(Line_Check!V5=1,MAX(0,MIN(1,IF(Line_Check!AF5=0,0,Line_Check!AE5/Line_Check!AF5))),1),IF(Line_Check!AH5=1,MAX(0,MIN(1,IF(Line_Check!AR5=0,0,Line_Check!AQ5/Line_Check!AR5))),1),IF(Line_Check!AT5=1,MAX(0,MIN(1,IF(Line_Check!BD5=0,0,Line_Check!BC5/Line_Check!BD5))),1),IF(Line_Check!BF5=1,MAX(0,MIN(1,IF(Line_Check!BP5=0,0,Line_Check!BO5/Line_Check!BP5))),1),IF(Line_Check!BR5=1,MAX(0,MIN(1,IF(Line_Check!CB5=0,0,Line_Check!CA5/Line_Check!CB5))),1),IF(Line_Check!CD5=1,MAX(0,MIN(1,IF(Line_Check!CN5=0,0,Line_Check!CM5/Line_Check!CN5))),1),IF(Line_Check!CP5=1,MAX(0,MIN(1,IF(Line_Check!CZ5=0,0,Line_Check!CY5/Line_Check!CZ5))),1)))</f>
        <v/>
      </c>
      <c r="W5" s="30">
        <f>IF(J5&lt;&gt;1,"—",IF(SUMIFS($H$5:$H$18,$C$5:$C$18,C5)=0,1,MAX(0,MIN(1,1-H5/SUMIFS($H$5:$H$18,$C$5:$C$18,C5)))))</f>
        <v/>
      </c>
      <c r="X5" s="30">
        <f>IF(J5&lt;&gt;1,"—",MIN(IF(Line_Check!J5=1,MAX(0,MIN(1,IF(Line_Check!P5=0,0,Line_Check!O5/Line_Check!P5))),1),IF(Line_Check!V5=1,MAX(0,MIN(1,IF(Line_Check!AB5=0,0,Line_Check!AA5/Line_Check!AB5))),1),IF(Line_Check!AH5=1,MAX(0,MIN(1,IF(Line_Check!AN5=0,0,Line_Check!AM5/Line_Check!AN5))),1),IF(Line_Check!AT5=1,MAX(0,MIN(1,IF(Line_Check!AZ5=0,0,Line_Check!AY5/Line_Check!AZ5))),1),IF(Line_Check!BF5=1,MAX(0,MIN(1,IF(Line_Check!BL5=0,0,Line_Check!BK5/Line_Check!BL5))),1),IF(Line_Check!BR5=1,MAX(0,MIN(1,IF(Line_Check!BX5=0,0,Line_Check!BW5/Line_Check!BX5))),1),IF(Line_Check!CD5=1,MAX(0,MIN(1,IF(Line_Check!CJ5=0,0,Line_Check!CI5/Line_Check!CJ5))),1),IF(Line_Check!CP5=1,MAX(0,MIN(1,IF(Line_Check!CV5=0,0,Line_Check!CU5/Line_Check!CV5))),1)))</f>
        <v/>
      </c>
      <c r="Y5" s="30">
        <f>IF(J5&lt;&gt;1,"—",MAX(0,MIN(1,G5/3)))</f>
        <v/>
      </c>
      <c r="Z5" s="30">
        <f>IF(T5&lt;&gt;1,"—",Policy!$B$4*U5+Policy!$B$5*V5+Policy!$B$6*W5+Policy!$B$7*X5+Policy!$B$8*Y5)</f>
        <v/>
      </c>
      <c r="AA5" s="25">
        <f>IF(T5&lt;&gt;1,"—",1+COUNTIFS($T$5:$T$18,1,$Z$5:$Z$18,"&gt;"&amp;Z5)+COUNTIFS($T$5:$T$18,1,$Z$5:$Z$18,Z5,$AE$5:$AE$18,"&lt;"&amp;AE5))</f>
        <v/>
      </c>
      <c r="AB5" s="25">
        <f>IF(J5&lt;&gt;1,"—",IF(OR(AND(Line_Check!J5=1,Line_Check!P5=0),AND(Line_Check!V5=1,Line_Check!AB5=0),AND(Line_Check!AH5=1,Line_Check!AN5=0),AND(Line_Check!AT5=1,Line_Check!AZ5=0),AND(Line_Check!BF5=1,Line_Check!BL5=0),AND(Line_Check!BR5=1,Line_Check!BX5=0),AND(Line_Check!CD5=1,Line_Check!CJ5=0),AND(Line_Check!CP5=1,Line_Check!CV5=0)),"RESERVATION_DEFICIT",IF(K5="FAIL","CAPACITY_UNAVAILABLE",IF(L5="FAIL","QUOTA_DEFICIT",IF(OR(M5="FAIL",N5="FAIL",O5="FAIL",P5="FAIL",Q5="FAIL",R5="FAIL",S5="FAIL"),"CAPACITY_UNAVAILABLE",IF(AND(T5=1,U5&lt;Policy!$B$12),"READY_WITH_RISK",IF(T5=1,"READY","CAPACITY_UNAVAILABLE")))))))</f>
        <v/>
      </c>
      <c r="AC5" s="25">
        <f>IF(T5&lt;&gt;1,"—",IF(MIN(IF(Line_Check!J5=1,Line_Check!O5,10^9),IF(Line_Check!V5=1,Line_Check!AA5,10^9),IF(Line_Check!AH5=1,Line_Check!AM5,10^9),IF(Line_Check!AT5=1,Line_Check!AY5,10^9),IF(Line_Check!BF5=1,Line_Check!BK5,10^9),IF(Line_Check!BR5=1,Line_Check!BW5,10^9),IF(Line_Check!CD5=1,Line_Check!CI5,10^9),IF(Line_Check!CP5=1,Line_Check!CU5,10^9))&lt;=MIN(IF(Line_Check!J5=1,Line_Check!U5,10^9),IF(Line_Check!V5=1,Line_Check!AG5,10^9),IF(Line_Check!AH5=1,Line_Check!AS5,10^9),IF(Line_Check!AT5=1,Line_Check!BE5,10^9),IF(Line_Check!BF5=1,Line_Check!BQ5,10^9),IF(Line_Check!BR5=1,Line_Check!CC5,10^9),IF(Line_Check!CD5=1,Line_Check!CO5,10^9),IF(Line_Check!CP5=1,Line_Check!DA5,10^9)),"CAPACITY","QUOTA"))</f>
        <v/>
      </c>
      <c r="AE5" s="36">
        <f>ROW()</f>
        <v/>
      </c>
    </row>
    <row r="6">
      <c r="A6" s="6">
        <f>Line_Check!A6</f>
        <v/>
      </c>
      <c r="B6" s="6">
        <f>Line_Check!B6</f>
        <v/>
      </c>
      <c r="C6" s="15">
        <f>Line_Check!C6</f>
        <v/>
      </c>
      <c r="D6" s="15">
        <f>Line_Check!D6</f>
        <v/>
      </c>
      <c r="E6" s="15">
        <f>Line_Check!E6</f>
        <v/>
      </c>
      <c r="F6" s="15">
        <f>Line_Check!F6</f>
        <v/>
      </c>
      <c r="G6" s="42">
        <f>Line_Check!G6</f>
        <v/>
      </c>
      <c r="H6" s="42">
        <f>Line_Check!H6</f>
        <v/>
      </c>
      <c r="I6" s="43">
        <f>Line_Check!I6</f>
        <v/>
      </c>
      <c r="J6" s="36">
        <f>IF(OR(OR(Request!$B$22=0,Policy!$B$10&lt;&gt;"OK",Request!$B$24&lt;&gt;"OK"),NOT(AND(Allocation!$C$9&lt;&gt;"NONE ELIGIBLE",Allocation!$C$9&lt;&gt;"POLICY_BLOCKED",Allocation!$C$9&lt;&gt;"NO REQUEST"))),0,IF(Request!$B$9="cross-geo",IF(B6=Allocation!$C$9,1,0),IF(AND(C6=Request!$B$4,D6="Standard",B6&lt;&gt;Allocation!$C$9),1,0)))</f>
        <v/>
      </c>
      <c r="K6" s="25">
        <f>IF(MIN(IF(Line_Check!J6=1,IF(Line_Check!O6&gt;=Policy!$B$13*Line_Check!K6,1,0),1),IF(Line_Check!V6=1,IF(Line_Check!AA6&gt;=Policy!$B$13*Line_Check!W6,1,0),1),IF(Line_Check!AH6=1,IF(Line_Check!AM6&gt;=Policy!$B$13*Line_Check!AI6,1,0),1),IF(Line_Check!AT6=1,IF(Line_Check!AY6&gt;=Policy!$B$13*Line_Check!AU6,1,0),1),IF(Line_Check!BF6=1,IF(Line_Check!BK6&gt;=Policy!$B$13*Line_Check!BG6,1,0),1),IF(Line_Check!BR6=1,IF(Line_Check!BW6&gt;=Policy!$B$13*Line_Check!BS6,1,0),1),IF(Line_Check!CD6=1,IF(Line_Check!CI6&gt;=Policy!$B$13*Line_Check!CE6,1,0),1),IF(Line_Check!CP6=1,IF(Line_Check!CU6&gt;=Policy!$B$13*Line_Check!CQ6,1,0),1))=1,"PASS","FAIL")</f>
        <v/>
      </c>
      <c r="L6" s="25">
        <f>IF(MIN(IF(Line_Check!J6=1,IF(AND(Line_Check!S6&gt;=Line_Check!K6,Line_Check!S6-Line_Check!K6&gt;=Policy!$B$14),1,0),1),IF(Line_Check!V6=1,IF(AND(Line_Check!AE6&gt;=Line_Check!W6,Line_Check!AE6-Line_Check!W6&gt;=Policy!$B$14),1,0),1),IF(Line_Check!AH6=1,IF(AND(Line_Check!AQ6&gt;=Line_Check!AI6,Line_Check!AQ6-Line_Check!AI6&gt;=Policy!$B$14),1,0),1),IF(Line_Check!AT6=1,IF(AND(Line_Check!BC6&gt;=Line_Check!AU6,Line_Check!BC6-Line_Check!AU6&gt;=Policy!$B$14),1,0),1),IF(Line_Check!BF6=1,IF(AND(Line_Check!BO6&gt;=Line_Check!BG6,Line_Check!BO6-Line_Check!BG6&gt;=Policy!$B$14),1,0),1),IF(Line_Check!BR6=1,IF(AND(Line_Check!CA6&gt;=Line_Check!BS6,Line_Check!CA6-Line_Check!BS6&gt;=Policy!$B$14),1,0),1),IF(Line_Check!CD6=1,IF(AND(Line_Check!CM6&gt;=Line_Check!CE6,Line_Check!CM6-Line_Check!CE6&gt;=Policy!$B$14),1,0),1),IF(Line_Check!CP6=1,IF(AND(Line_Check!CY6&gt;=Line_Check!CQ6,Line_Check!CY6-Line_Check!CQ6&gt;=Policy!$B$14),1,0),1))=1,"PASS","FAIL")</f>
        <v/>
      </c>
      <c r="M6" s="25">
        <f>IF(G6&gt;=2,"PASS","FAIL")</f>
        <v/>
      </c>
      <c r="N6" s="25" t="inlineStr">
        <is>
          <t>N/A</t>
        </is>
      </c>
      <c r="O6" s="25">
        <f>IF(MIN(IF(Line_Check!J6=1,IF(AND(Line_Check!U6&gt;=Line_Check!K6,Line_Check!U6-Line_Check!K6&gt;=Policy!$B$14),1,0),1),IF(Line_Check!V6=1,IF(AND(Line_Check!AG6&gt;=Line_Check!W6,Line_Check!AG6-Line_Check!W6&gt;=Policy!$B$14),1,0),1),IF(Line_Check!AH6=1,IF(AND(Line_Check!AS6&gt;=Line_Check!AI6,Line_Check!AS6-Line_Check!AI6&gt;=Policy!$B$14),1,0),1),IF(Line_Check!AT6=1,IF(AND(Line_Check!BE6&gt;=Line_Check!AU6,Line_Check!BE6-Line_Check!AU6&gt;=Policy!$B$14),1,0),1),IF(Line_Check!BF6=1,IF(AND(Line_Check!BQ6&gt;=Line_Check!BG6,Line_Check!BQ6-Line_Check!BG6&gt;=Policy!$B$14),1,0),1),IF(Line_Check!BR6=1,IF(AND(Line_Check!CC6&gt;=Line_Check!BS6,Line_Check!CC6-Line_Check!BS6&gt;=Policy!$B$14),1,0),1),IF(Line_Check!CD6=1,IF(AND(Line_Check!CO6&gt;=Line_Check!CE6,Line_Check!CO6-Line_Check!CE6&gt;=Policy!$B$14),1,0),1),IF(Line_Check!CP6=1,IF(AND(Line_Check!DA6&gt;=Line_Check!CQ6,Line_Check!DA6-Line_Check!CQ6&gt;=Policy!$B$14),1,0),1))=1,"PASS","FAIL")</f>
        <v/>
      </c>
      <c r="P6" s="25">
        <f>IF(C6=Request!$B$4,"PASS","FAIL")</f>
        <v/>
      </c>
      <c r="Q6" s="25">
        <f>IF(D6="Standard","PASS","FAIL")</f>
        <v/>
      </c>
      <c r="R6" s="25" t="inlineStr">
        <is>
          <t>N/A</t>
        </is>
      </c>
      <c r="S6" s="25">
        <f>IF(MIN(IF(Line_Check!J6=1,IF(MIN(Line_Check!O6,Line_Check!U6)&gt;=Line_Check!K6,1,0),1),IF(Line_Check!V6=1,IF(MIN(Line_Check!AA6,Line_Check!AG6)&gt;=Line_Check!W6,1,0),1),IF(Line_Check!AH6=1,IF(MIN(Line_Check!AM6,Line_Check!AS6)&gt;=Line_Check!AI6,1,0),1),IF(Line_Check!AT6=1,IF(MIN(Line_Check!AY6,Line_Check!BE6)&gt;=Line_Check!AU6,1,0),1),IF(Line_Check!BF6=1,IF(MIN(Line_Check!BK6,Line_Check!BQ6)&gt;=Line_Check!BG6,1,0),1),IF(Line_Check!BR6=1,IF(MIN(Line_Check!BW6,Line_Check!CC6)&gt;=Line_Check!BS6,1,0),1),IF(Line_Check!CD6=1,IF(MIN(Line_Check!CI6,Line_Check!CO6)&gt;=Line_Check!CE6,1,0),1),IF(Line_Check!CP6=1,IF(MIN(Line_Check!CU6,Line_Check!DA6)&gt;=Line_Check!CQ6,1,0),1))=1,"PASS","FAIL")</f>
        <v/>
      </c>
      <c r="T6" s="36">
        <f>IF(AND(J6=1,OR(K6="PASS",K6="N/A"),OR(L6="PASS",L6="N/A"),OR(M6="PASS",M6="N/A"),OR(N6="PASS",N6="N/A"),OR(O6="PASS",O6="N/A"),OR(P6="PASS",P6="N/A"),OR(Q6="PASS",Q6="N/A"),OR(R6="PASS",R6="N/A"),OR(S6="PASS",S6="N/A")),1,0)</f>
        <v/>
      </c>
      <c r="U6" s="30">
        <f>IF(J6&lt;&gt;1,"—",MIN(IF(Line_Check!J6=1,MAX(0,MIN(1,IF(Line_Check!P6=0,0,Line_Check!O6/Line_Check!P6))),1),IF(Line_Check!V6=1,MAX(0,MIN(1,IF(Line_Check!AB6=0,0,Line_Check!AA6/Line_Check!AB6))),1),IF(Line_Check!AH6=1,MAX(0,MIN(1,IF(Line_Check!AN6=0,0,Line_Check!AM6/Line_Check!AN6))),1),IF(Line_Check!AT6=1,MAX(0,MIN(1,IF(Line_Check!AZ6=0,0,Line_Check!AY6/Line_Check!AZ6))),1),IF(Line_Check!BF6=1,MAX(0,MIN(1,IF(Line_Check!BL6=0,0,Line_Check!BK6/Line_Check!BL6))),1),IF(Line_Check!BR6=1,MAX(0,MIN(1,IF(Line_Check!BX6=0,0,Line_Check!BW6/Line_Check!BX6))),1),IF(Line_Check!CD6=1,MAX(0,MIN(1,IF(Line_Check!CJ6=0,0,Line_Check!CI6/Line_Check!CJ6))),1),IF(Line_Check!CP6=1,MAX(0,MIN(1,IF(Line_Check!CV6=0,0,Line_Check!CU6/Line_Check!CV6))),1)))</f>
        <v/>
      </c>
      <c r="V6" s="30">
        <f>IF(J6&lt;&gt;1,"—",MIN(IF(Line_Check!J6=1,MAX(0,MIN(1,IF(Line_Check!T6=0,0,Line_Check!S6/Line_Check!T6))),1),IF(Line_Check!V6=1,MAX(0,MIN(1,IF(Line_Check!AF6=0,0,Line_Check!AE6/Line_Check!AF6))),1),IF(Line_Check!AH6=1,MAX(0,MIN(1,IF(Line_Check!AR6=0,0,Line_Check!AQ6/Line_Check!AR6))),1),IF(Line_Check!AT6=1,MAX(0,MIN(1,IF(Line_Check!BD6=0,0,Line_Check!BC6/Line_Check!BD6))),1),IF(Line_Check!BF6=1,MAX(0,MIN(1,IF(Line_Check!BP6=0,0,Line_Check!BO6/Line_Check!BP6))),1),IF(Line_Check!BR6=1,MAX(0,MIN(1,IF(Line_Check!CB6=0,0,Line_Check!CA6/Line_Check!CB6))),1),IF(Line_Check!CD6=1,MAX(0,MIN(1,IF(Line_Check!CN6=0,0,Line_Check!CM6/Line_Check!CN6))),1),IF(Line_Check!CP6=1,MAX(0,MIN(1,IF(Line_Check!CZ6=0,0,Line_Check!CY6/Line_Check!CZ6))),1)))</f>
        <v/>
      </c>
      <c r="W6" s="30">
        <f>IF(J6&lt;&gt;1,"—",IF(SUMIFS($H$5:$H$18,$C$5:$C$18,C6)=0,1,MAX(0,MIN(1,1-H6/SUMIFS($H$5:$H$18,$C$5:$C$18,C6)))))</f>
        <v/>
      </c>
      <c r="X6" s="30">
        <f>IF(J6&lt;&gt;1,"—",MIN(IF(Line_Check!J6=1,MAX(0,MIN(1,IF(Line_Check!P6=0,0,Line_Check!O6/Line_Check!P6))),1),IF(Line_Check!V6=1,MAX(0,MIN(1,IF(Line_Check!AB6=0,0,Line_Check!AA6/Line_Check!AB6))),1),IF(Line_Check!AH6=1,MAX(0,MIN(1,IF(Line_Check!AN6=0,0,Line_Check!AM6/Line_Check!AN6))),1),IF(Line_Check!AT6=1,MAX(0,MIN(1,IF(Line_Check!AZ6=0,0,Line_Check!AY6/Line_Check!AZ6))),1),IF(Line_Check!BF6=1,MAX(0,MIN(1,IF(Line_Check!BL6=0,0,Line_Check!BK6/Line_Check!BL6))),1),IF(Line_Check!BR6=1,MAX(0,MIN(1,IF(Line_Check!BX6=0,0,Line_Check!BW6/Line_Check!BX6))),1),IF(Line_Check!CD6=1,MAX(0,MIN(1,IF(Line_Check!CJ6=0,0,Line_Check!CI6/Line_Check!CJ6))),1),IF(Line_Check!CP6=1,MAX(0,MIN(1,IF(Line_Check!CV6=0,0,Line_Check!CU6/Line_Check!CV6))),1)))</f>
        <v/>
      </c>
      <c r="Y6" s="30">
        <f>IF(J6&lt;&gt;1,"—",MAX(0,MIN(1,G6/3)))</f>
        <v/>
      </c>
      <c r="Z6" s="30">
        <f>IF(T6&lt;&gt;1,"—",Policy!$B$4*U6+Policy!$B$5*V6+Policy!$B$6*W6+Policy!$B$7*X6+Policy!$B$8*Y6)</f>
        <v/>
      </c>
      <c r="AA6" s="25">
        <f>IF(T6&lt;&gt;1,"—",1+COUNTIFS($T$5:$T$18,1,$Z$5:$Z$18,"&gt;"&amp;Z6)+COUNTIFS($T$5:$T$18,1,$Z$5:$Z$18,Z6,$AE$5:$AE$18,"&lt;"&amp;AE6))</f>
        <v/>
      </c>
      <c r="AB6" s="25">
        <f>IF(J6&lt;&gt;1,"—",IF(OR(AND(Line_Check!J6=1,Line_Check!P6=0),AND(Line_Check!V6=1,Line_Check!AB6=0),AND(Line_Check!AH6=1,Line_Check!AN6=0),AND(Line_Check!AT6=1,Line_Check!AZ6=0),AND(Line_Check!BF6=1,Line_Check!BL6=0),AND(Line_Check!BR6=1,Line_Check!BX6=0),AND(Line_Check!CD6=1,Line_Check!CJ6=0),AND(Line_Check!CP6=1,Line_Check!CV6=0)),"RESERVATION_DEFICIT",IF(K6="FAIL","CAPACITY_UNAVAILABLE",IF(L6="FAIL","QUOTA_DEFICIT",IF(OR(M6="FAIL",N6="FAIL",O6="FAIL",P6="FAIL",Q6="FAIL",R6="FAIL",S6="FAIL"),"CAPACITY_UNAVAILABLE",IF(AND(T6=1,U6&lt;Policy!$B$12),"READY_WITH_RISK",IF(T6=1,"READY","CAPACITY_UNAVAILABLE")))))))</f>
        <v/>
      </c>
      <c r="AC6" s="25">
        <f>IF(T6&lt;&gt;1,"—",IF(MIN(IF(Line_Check!J6=1,Line_Check!O6,10^9),IF(Line_Check!V6=1,Line_Check!AA6,10^9),IF(Line_Check!AH6=1,Line_Check!AM6,10^9),IF(Line_Check!AT6=1,Line_Check!AY6,10^9),IF(Line_Check!BF6=1,Line_Check!BK6,10^9),IF(Line_Check!BR6=1,Line_Check!BW6,10^9),IF(Line_Check!CD6=1,Line_Check!CI6,10^9),IF(Line_Check!CP6=1,Line_Check!CU6,10^9))&lt;=MIN(IF(Line_Check!J6=1,Line_Check!U6,10^9),IF(Line_Check!V6=1,Line_Check!AG6,10^9),IF(Line_Check!AH6=1,Line_Check!AS6,10^9),IF(Line_Check!AT6=1,Line_Check!BE6,10^9),IF(Line_Check!BF6=1,Line_Check!BQ6,10^9),IF(Line_Check!BR6=1,Line_Check!CC6,10^9),IF(Line_Check!CD6=1,Line_Check!CO6,10^9),IF(Line_Check!CP6=1,Line_Check!DA6,10^9)),"CAPACITY","QUOTA"))</f>
        <v/>
      </c>
      <c r="AE6" s="36">
        <f>ROW()</f>
        <v/>
      </c>
    </row>
    <row r="7">
      <c r="A7" s="6">
        <f>Line_Check!A7</f>
        <v/>
      </c>
      <c r="B7" s="6">
        <f>Line_Check!B7</f>
        <v/>
      </c>
      <c r="C7" s="15">
        <f>Line_Check!C7</f>
        <v/>
      </c>
      <c r="D7" s="15">
        <f>Line_Check!D7</f>
        <v/>
      </c>
      <c r="E7" s="15">
        <f>Line_Check!E7</f>
        <v/>
      </c>
      <c r="F7" s="15">
        <f>Line_Check!F7</f>
        <v/>
      </c>
      <c r="G7" s="42">
        <f>Line_Check!G7</f>
        <v/>
      </c>
      <c r="H7" s="42">
        <f>Line_Check!H7</f>
        <v/>
      </c>
      <c r="I7" s="43">
        <f>Line_Check!I7</f>
        <v/>
      </c>
      <c r="J7" s="36">
        <f>IF(OR(OR(Request!$B$22=0,Policy!$B$10&lt;&gt;"OK",Request!$B$24&lt;&gt;"OK"),NOT(AND(Allocation!$C$9&lt;&gt;"NONE ELIGIBLE",Allocation!$C$9&lt;&gt;"POLICY_BLOCKED",Allocation!$C$9&lt;&gt;"NO REQUEST"))),0,IF(Request!$B$9="cross-geo",IF(B7=Allocation!$C$9,1,0),IF(AND(C7=Request!$B$4,D7="Standard",B7&lt;&gt;Allocation!$C$9),1,0)))</f>
        <v/>
      </c>
      <c r="K7" s="25">
        <f>IF(MIN(IF(Line_Check!J7=1,IF(Line_Check!O7&gt;=Policy!$B$13*Line_Check!K7,1,0),1),IF(Line_Check!V7=1,IF(Line_Check!AA7&gt;=Policy!$B$13*Line_Check!W7,1,0),1),IF(Line_Check!AH7=1,IF(Line_Check!AM7&gt;=Policy!$B$13*Line_Check!AI7,1,0),1),IF(Line_Check!AT7=1,IF(Line_Check!AY7&gt;=Policy!$B$13*Line_Check!AU7,1,0),1),IF(Line_Check!BF7=1,IF(Line_Check!BK7&gt;=Policy!$B$13*Line_Check!BG7,1,0),1),IF(Line_Check!BR7=1,IF(Line_Check!BW7&gt;=Policy!$B$13*Line_Check!BS7,1,0),1),IF(Line_Check!CD7=1,IF(Line_Check!CI7&gt;=Policy!$B$13*Line_Check!CE7,1,0),1),IF(Line_Check!CP7=1,IF(Line_Check!CU7&gt;=Policy!$B$13*Line_Check!CQ7,1,0),1))=1,"PASS","FAIL")</f>
        <v/>
      </c>
      <c r="L7" s="25">
        <f>IF(MIN(IF(Line_Check!J7=1,IF(AND(Line_Check!S7&gt;=Line_Check!K7,Line_Check!S7-Line_Check!K7&gt;=Policy!$B$14),1,0),1),IF(Line_Check!V7=1,IF(AND(Line_Check!AE7&gt;=Line_Check!W7,Line_Check!AE7-Line_Check!W7&gt;=Policy!$B$14),1,0),1),IF(Line_Check!AH7=1,IF(AND(Line_Check!AQ7&gt;=Line_Check!AI7,Line_Check!AQ7-Line_Check!AI7&gt;=Policy!$B$14),1,0),1),IF(Line_Check!AT7=1,IF(AND(Line_Check!BC7&gt;=Line_Check!AU7,Line_Check!BC7-Line_Check!AU7&gt;=Policy!$B$14),1,0),1),IF(Line_Check!BF7=1,IF(AND(Line_Check!BO7&gt;=Line_Check!BG7,Line_Check!BO7-Line_Check!BG7&gt;=Policy!$B$14),1,0),1),IF(Line_Check!BR7=1,IF(AND(Line_Check!CA7&gt;=Line_Check!BS7,Line_Check!CA7-Line_Check!BS7&gt;=Policy!$B$14),1,0),1),IF(Line_Check!CD7=1,IF(AND(Line_Check!CM7&gt;=Line_Check!CE7,Line_Check!CM7-Line_Check!CE7&gt;=Policy!$B$14),1,0),1),IF(Line_Check!CP7=1,IF(AND(Line_Check!CY7&gt;=Line_Check!CQ7,Line_Check!CY7-Line_Check!CQ7&gt;=Policy!$B$14),1,0),1))=1,"PASS","FAIL")</f>
        <v/>
      </c>
      <c r="M7" s="25">
        <f>IF(G7&gt;=2,"PASS","FAIL")</f>
        <v/>
      </c>
      <c r="N7" s="25" t="inlineStr">
        <is>
          <t>N/A</t>
        </is>
      </c>
      <c r="O7" s="25">
        <f>IF(MIN(IF(Line_Check!J7=1,IF(AND(Line_Check!U7&gt;=Line_Check!K7,Line_Check!U7-Line_Check!K7&gt;=Policy!$B$14),1,0),1),IF(Line_Check!V7=1,IF(AND(Line_Check!AG7&gt;=Line_Check!W7,Line_Check!AG7-Line_Check!W7&gt;=Policy!$B$14),1,0),1),IF(Line_Check!AH7=1,IF(AND(Line_Check!AS7&gt;=Line_Check!AI7,Line_Check!AS7-Line_Check!AI7&gt;=Policy!$B$14),1,0),1),IF(Line_Check!AT7=1,IF(AND(Line_Check!BE7&gt;=Line_Check!AU7,Line_Check!BE7-Line_Check!AU7&gt;=Policy!$B$14),1,0),1),IF(Line_Check!BF7=1,IF(AND(Line_Check!BQ7&gt;=Line_Check!BG7,Line_Check!BQ7-Line_Check!BG7&gt;=Policy!$B$14),1,0),1),IF(Line_Check!BR7=1,IF(AND(Line_Check!CC7&gt;=Line_Check!BS7,Line_Check!CC7-Line_Check!BS7&gt;=Policy!$B$14),1,0),1),IF(Line_Check!CD7=1,IF(AND(Line_Check!CO7&gt;=Line_Check!CE7,Line_Check!CO7-Line_Check!CE7&gt;=Policy!$B$14),1,0),1),IF(Line_Check!CP7=1,IF(AND(Line_Check!DA7&gt;=Line_Check!CQ7,Line_Check!DA7-Line_Check!CQ7&gt;=Policy!$B$14),1,0),1))=1,"PASS","FAIL")</f>
        <v/>
      </c>
      <c r="P7" s="25">
        <f>IF(C7=Request!$B$4,"PASS","FAIL")</f>
        <v/>
      </c>
      <c r="Q7" s="25">
        <f>IF(D7="Standard","PASS","FAIL")</f>
        <v/>
      </c>
      <c r="R7" s="25" t="inlineStr">
        <is>
          <t>N/A</t>
        </is>
      </c>
      <c r="S7" s="25">
        <f>IF(MIN(IF(Line_Check!J7=1,IF(MIN(Line_Check!O7,Line_Check!U7)&gt;=Line_Check!K7,1,0),1),IF(Line_Check!V7=1,IF(MIN(Line_Check!AA7,Line_Check!AG7)&gt;=Line_Check!W7,1,0),1),IF(Line_Check!AH7=1,IF(MIN(Line_Check!AM7,Line_Check!AS7)&gt;=Line_Check!AI7,1,0),1),IF(Line_Check!AT7=1,IF(MIN(Line_Check!AY7,Line_Check!BE7)&gt;=Line_Check!AU7,1,0),1),IF(Line_Check!BF7=1,IF(MIN(Line_Check!BK7,Line_Check!BQ7)&gt;=Line_Check!BG7,1,0),1),IF(Line_Check!BR7=1,IF(MIN(Line_Check!BW7,Line_Check!CC7)&gt;=Line_Check!BS7,1,0),1),IF(Line_Check!CD7=1,IF(MIN(Line_Check!CI7,Line_Check!CO7)&gt;=Line_Check!CE7,1,0),1),IF(Line_Check!CP7=1,IF(MIN(Line_Check!CU7,Line_Check!DA7)&gt;=Line_Check!CQ7,1,0),1))=1,"PASS","FAIL")</f>
        <v/>
      </c>
      <c r="T7" s="36">
        <f>IF(AND(J7=1,OR(K7="PASS",K7="N/A"),OR(L7="PASS",L7="N/A"),OR(M7="PASS",M7="N/A"),OR(N7="PASS",N7="N/A"),OR(O7="PASS",O7="N/A"),OR(P7="PASS",P7="N/A"),OR(Q7="PASS",Q7="N/A"),OR(R7="PASS",R7="N/A"),OR(S7="PASS",S7="N/A")),1,0)</f>
        <v/>
      </c>
      <c r="U7" s="30">
        <f>IF(J7&lt;&gt;1,"—",MIN(IF(Line_Check!J7=1,MAX(0,MIN(1,IF(Line_Check!P7=0,0,Line_Check!O7/Line_Check!P7))),1),IF(Line_Check!V7=1,MAX(0,MIN(1,IF(Line_Check!AB7=0,0,Line_Check!AA7/Line_Check!AB7))),1),IF(Line_Check!AH7=1,MAX(0,MIN(1,IF(Line_Check!AN7=0,0,Line_Check!AM7/Line_Check!AN7))),1),IF(Line_Check!AT7=1,MAX(0,MIN(1,IF(Line_Check!AZ7=0,0,Line_Check!AY7/Line_Check!AZ7))),1),IF(Line_Check!BF7=1,MAX(0,MIN(1,IF(Line_Check!BL7=0,0,Line_Check!BK7/Line_Check!BL7))),1),IF(Line_Check!BR7=1,MAX(0,MIN(1,IF(Line_Check!BX7=0,0,Line_Check!BW7/Line_Check!BX7))),1),IF(Line_Check!CD7=1,MAX(0,MIN(1,IF(Line_Check!CJ7=0,0,Line_Check!CI7/Line_Check!CJ7))),1),IF(Line_Check!CP7=1,MAX(0,MIN(1,IF(Line_Check!CV7=0,0,Line_Check!CU7/Line_Check!CV7))),1)))</f>
        <v/>
      </c>
      <c r="V7" s="30">
        <f>IF(J7&lt;&gt;1,"—",MIN(IF(Line_Check!J7=1,MAX(0,MIN(1,IF(Line_Check!T7=0,0,Line_Check!S7/Line_Check!T7))),1),IF(Line_Check!V7=1,MAX(0,MIN(1,IF(Line_Check!AF7=0,0,Line_Check!AE7/Line_Check!AF7))),1),IF(Line_Check!AH7=1,MAX(0,MIN(1,IF(Line_Check!AR7=0,0,Line_Check!AQ7/Line_Check!AR7))),1),IF(Line_Check!AT7=1,MAX(0,MIN(1,IF(Line_Check!BD7=0,0,Line_Check!BC7/Line_Check!BD7))),1),IF(Line_Check!BF7=1,MAX(0,MIN(1,IF(Line_Check!BP7=0,0,Line_Check!BO7/Line_Check!BP7))),1),IF(Line_Check!BR7=1,MAX(0,MIN(1,IF(Line_Check!CB7=0,0,Line_Check!CA7/Line_Check!CB7))),1),IF(Line_Check!CD7=1,MAX(0,MIN(1,IF(Line_Check!CN7=0,0,Line_Check!CM7/Line_Check!CN7))),1),IF(Line_Check!CP7=1,MAX(0,MIN(1,IF(Line_Check!CZ7=0,0,Line_Check!CY7/Line_Check!CZ7))),1)))</f>
        <v/>
      </c>
      <c r="W7" s="30">
        <f>IF(J7&lt;&gt;1,"—",IF(SUMIFS($H$5:$H$18,$C$5:$C$18,C7)=0,1,MAX(0,MIN(1,1-H7/SUMIFS($H$5:$H$18,$C$5:$C$18,C7)))))</f>
        <v/>
      </c>
      <c r="X7" s="30">
        <f>IF(J7&lt;&gt;1,"—",MIN(IF(Line_Check!J7=1,MAX(0,MIN(1,IF(Line_Check!P7=0,0,Line_Check!O7/Line_Check!P7))),1),IF(Line_Check!V7=1,MAX(0,MIN(1,IF(Line_Check!AB7=0,0,Line_Check!AA7/Line_Check!AB7))),1),IF(Line_Check!AH7=1,MAX(0,MIN(1,IF(Line_Check!AN7=0,0,Line_Check!AM7/Line_Check!AN7))),1),IF(Line_Check!AT7=1,MAX(0,MIN(1,IF(Line_Check!AZ7=0,0,Line_Check!AY7/Line_Check!AZ7))),1),IF(Line_Check!BF7=1,MAX(0,MIN(1,IF(Line_Check!BL7=0,0,Line_Check!BK7/Line_Check!BL7))),1),IF(Line_Check!BR7=1,MAX(0,MIN(1,IF(Line_Check!BX7=0,0,Line_Check!BW7/Line_Check!BX7))),1),IF(Line_Check!CD7=1,MAX(0,MIN(1,IF(Line_Check!CJ7=0,0,Line_Check!CI7/Line_Check!CJ7))),1),IF(Line_Check!CP7=1,MAX(0,MIN(1,IF(Line_Check!CV7=0,0,Line_Check!CU7/Line_Check!CV7))),1)))</f>
        <v/>
      </c>
      <c r="Y7" s="30">
        <f>IF(J7&lt;&gt;1,"—",MAX(0,MIN(1,G7/3)))</f>
        <v/>
      </c>
      <c r="Z7" s="30">
        <f>IF(T7&lt;&gt;1,"—",Policy!$B$4*U7+Policy!$B$5*V7+Policy!$B$6*W7+Policy!$B$7*X7+Policy!$B$8*Y7)</f>
        <v/>
      </c>
      <c r="AA7" s="25">
        <f>IF(T7&lt;&gt;1,"—",1+COUNTIFS($T$5:$T$18,1,$Z$5:$Z$18,"&gt;"&amp;Z7)+COUNTIFS($T$5:$T$18,1,$Z$5:$Z$18,Z7,$AE$5:$AE$18,"&lt;"&amp;AE7))</f>
        <v/>
      </c>
      <c r="AB7" s="25">
        <f>IF(J7&lt;&gt;1,"—",IF(OR(AND(Line_Check!J7=1,Line_Check!P7=0),AND(Line_Check!V7=1,Line_Check!AB7=0),AND(Line_Check!AH7=1,Line_Check!AN7=0),AND(Line_Check!AT7=1,Line_Check!AZ7=0),AND(Line_Check!BF7=1,Line_Check!BL7=0),AND(Line_Check!BR7=1,Line_Check!BX7=0),AND(Line_Check!CD7=1,Line_Check!CJ7=0),AND(Line_Check!CP7=1,Line_Check!CV7=0)),"RESERVATION_DEFICIT",IF(K7="FAIL","CAPACITY_UNAVAILABLE",IF(L7="FAIL","QUOTA_DEFICIT",IF(OR(M7="FAIL",N7="FAIL",O7="FAIL",P7="FAIL",Q7="FAIL",R7="FAIL",S7="FAIL"),"CAPACITY_UNAVAILABLE",IF(AND(T7=1,U7&lt;Policy!$B$12),"READY_WITH_RISK",IF(T7=1,"READY","CAPACITY_UNAVAILABLE")))))))</f>
        <v/>
      </c>
      <c r="AC7" s="25">
        <f>IF(T7&lt;&gt;1,"—",IF(MIN(IF(Line_Check!J7=1,Line_Check!O7,10^9),IF(Line_Check!V7=1,Line_Check!AA7,10^9),IF(Line_Check!AH7=1,Line_Check!AM7,10^9),IF(Line_Check!AT7=1,Line_Check!AY7,10^9),IF(Line_Check!BF7=1,Line_Check!BK7,10^9),IF(Line_Check!BR7=1,Line_Check!BW7,10^9),IF(Line_Check!CD7=1,Line_Check!CI7,10^9),IF(Line_Check!CP7=1,Line_Check!CU7,10^9))&lt;=MIN(IF(Line_Check!J7=1,Line_Check!U7,10^9),IF(Line_Check!V7=1,Line_Check!AG7,10^9),IF(Line_Check!AH7=1,Line_Check!AS7,10^9),IF(Line_Check!AT7=1,Line_Check!BE7,10^9),IF(Line_Check!BF7=1,Line_Check!BQ7,10^9),IF(Line_Check!BR7=1,Line_Check!CC7,10^9),IF(Line_Check!CD7=1,Line_Check!CO7,10^9),IF(Line_Check!CP7=1,Line_Check!DA7,10^9)),"CAPACITY","QUOTA"))</f>
        <v/>
      </c>
      <c r="AE7" s="36">
        <f>ROW()</f>
        <v/>
      </c>
    </row>
    <row r="8">
      <c r="A8" s="6">
        <f>Line_Check!A8</f>
        <v/>
      </c>
      <c r="B8" s="6">
        <f>Line_Check!B8</f>
        <v/>
      </c>
      <c r="C8" s="15">
        <f>Line_Check!C8</f>
        <v/>
      </c>
      <c r="D8" s="15">
        <f>Line_Check!D8</f>
        <v/>
      </c>
      <c r="E8" s="15">
        <f>Line_Check!E8</f>
        <v/>
      </c>
      <c r="F8" s="15">
        <f>Line_Check!F8</f>
        <v/>
      </c>
      <c r="G8" s="42">
        <f>Line_Check!G8</f>
        <v/>
      </c>
      <c r="H8" s="42">
        <f>Line_Check!H8</f>
        <v/>
      </c>
      <c r="I8" s="43">
        <f>Line_Check!I8</f>
        <v/>
      </c>
      <c r="J8" s="36">
        <f>IF(OR(OR(Request!$B$22=0,Policy!$B$10&lt;&gt;"OK",Request!$B$24&lt;&gt;"OK"),NOT(AND(Allocation!$C$9&lt;&gt;"NONE ELIGIBLE",Allocation!$C$9&lt;&gt;"POLICY_BLOCKED",Allocation!$C$9&lt;&gt;"NO REQUEST"))),0,IF(Request!$B$9="cross-geo",IF(B8=Allocation!$C$9,1,0),IF(AND(C8=Request!$B$4,D8="Standard",B8&lt;&gt;Allocation!$C$9),1,0)))</f>
        <v/>
      </c>
      <c r="K8" s="25">
        <f>IF(MIN(IF(Line_Check!J8=1,IF(Line_Check!O8&gt;=Policy!$B$13*Line_Check!K8,1,0),1),IF(Line_Check!V8=1,IF(Line_Check!AA8&gt;=Policy!$B$13*Line_Check!W8,1,0),1),IF(Line_Check!AH8=1,IF(Line_Check!AM8&gt;=Policy!$B$13*Line_Check!AI8,1,0),1),IF(Line_Check!AT8=1,IF(Line_Check!AY8&gt;=Policy!$B$13*Line_Check!AU8,1,0),1),IF(Line_Check!BF8=1,IF(Line_Check!BK8&gt;=Policy!$B$13*Line_Check!BG8,1,0),1),IF(Line_Check!BR8=1,IF(Line_Check!BW8&gt;=Policy!$B$13*Line_Check!BS8,1,0),1),IF(Line_Check!CD8=1,IF(Line_Check!CI8&gt;=Policy!$B$13*Line_Check!CE8,1,0),1),IF(Line_Check!CP8=1,IF(Line_Check!CU8&gt;=Policy!$B$13*Line_Check!CQ8,1,0),1))=1,"PASS","FAIL")</f>
        <v/>
      </c>
      <c r="L8" s="25">
        <f>IF(MIN(IF(Line_Check!J8=1,IF(AND(Line_Check!S8&gt;=Line_Check!K8,Line_Check!S8-Line_Check!K8&gt;=Policy!$B$14),1,0),1),IF(Line_Check!V8=1,IF(AND(Line_Check!AE8&gt;=Line_Check!W8,Line_Check!AE8-Line_Check!W8&gt;=Policy!$B$14),1,0),1),IF(Line_Check!AH8=1,IF(AND(Line_Check!AQ8&gt;=Line_Check!AI8,Line_Check!AQ8-Line_Check!AI8&gt;=Policy!$B$14),1,0),1),IF(Line_Check!AT8=1,IF(AND(Line_Check!BC8&gt;=Line_Check!AU8,Line_Check!BC8-Line_Check!AU8&gt;=Policy!$B$14),1,0),1),IF(Line_Check!BF8=1,IF(AND(Line_Check!BO8&gt;=Line_Check!BG8,Line_Check!BO8-Line_Check!BG8&gt;=Policy!$B$14),1,0),1),IF(Line_Check!BR8=1,IF(AND(Line_Check!CA8&gt;=Line_Check!BS8,Line_Check!CA8-Line_Check!BS8&gt;=Policy!$B$14),1,0),1),IF(Line_Check!CD8=1,IF(AND(Line_Check!CM8&gt;=Line_Check!CE8,Line_Check!CM8-Line_Check!CE8&gt;=Policy!$B$14),1,0),1),IF(Line_Check!CP8=1,IF(AND(Line_Check!CY8&gt;=Line_Check!CQ8,Line_Check!CY8-Line_Check!CQ8&gt;=Policy!$B$14),1,0),1))=1,"PASS","FAIL")</f>
        <v/>
      </c>
      <c r="M8" s="25">
        <f>IF(G8&gt;=2,"PASS","FAIL")</f>
        <v/>
      </c>
      <c r="N8" s="25" t="inlineStr">
        <is>
          <t>N/A</t>
        </is>
      </c>
      <c r="O8" s="25">
        <f>IF(MIN(IF(Line_Check!J8=1,IF(AND(Line_Check!U8&gt;=Line_Check!K8,Line_Check!U8-Line_Check!K8&gt;=Policy!$B$14),1,0),1),IF(Line_Check!V8=1,IF(AND(Line_Check!AG8&gt;=Line_Check!W8,Line_Check!AG8-Line_Check!W8&gt;=Policy!$B$14),1,0),1),IF(Line_Check!AH8=1,IF(AND(Line_Check!AS8&gt;=Line_Check!AI8,Line_Check!AS8-Line_Check!AI8&gt;=Policy!$B$14),1,0),1),IF(Line_Check!AT8=1,IF(AND(Line_Check!BE8&gt;=Line_Check!AU8,Line_Check!BE8-Line_Check!AU8&gt;=Policy!$B$14),1,0),1),IF(Line_Check!BF8=1,IF(AND(Line_Check!BQ8&gt;=Line_Check!BG8,Line_Check!BQ8-Line_Check!BG8&gt;=Policy!$B$14),1,0),1),IF(Line_Check!BR8=1,IF(AND(Line_Check!CC8&gt;=Line_Check!BS8,Line_Check!CC8-Line_Check!BS8&gt;=Policy!$B$14),1,0),1),IF(Line_Check!CD8=1,IF(AND(Line_Check!CO8&gt;=Line_Check!CE8,Line_Check!CO8-Line_Check!CE8&gt;=Policy!$B$14),1,0),1),IF(Line_Check!CP8=1,IF(AND(Line_Check!DA8&gt;=Line_Check!CQ8,Line_Check!DA8-Line_Check!CQ8&gt;=Policy!$B$14),1,0),1))=1,"PASS","FAIL")</f>
        <v/>
      </c>
      <c r="P8" s="25">
        <f>IF(C8=Request!$B$4,"PASS","FAIL")</f>
        <v/>
      </c>
      <c r="Q8" s="25">
        <f>IF(D8="Standard","PASS","FAIL")</f>
        <v/>
      </c>
      <c r="R8" s="25" t="inlineStr">
        <is>
          <t>N/A</t>
        </is>
      </c>
      <c r="S8" s="25">
        <f>IF(MIN(IF(Line_Check!J8=1,IF(MIN(Line_Check!O8,Line_Check!U8)&gt;=Line_Check!K8,1,0),1),IF(Line_Check!V8=1,IF(MIN(Line_Check!AA8,Line_Check!AG8)&gt;=Line_Check!W8,1,0),1),IF(Line_Check!AH8=1,IF(MIN(Line_Check!AM8,Line_Check!AS8)&gt;=Line_Check!AI8,1,0),1),IF(Line_Check!AT8=1,IF(MIN(Line_Check!AY8,Line_Check!BE8)&gt;=Line_Check!AU8,1,0),1),IF(Line_Check!BF8=1,IF(MIN(Line_Check!BK8,Line_Check!BQ8)&gt;=Line_Check!BG8,1,0),1),IF(Line_Check!BR8=1,IF(MIN(Line_Check!BW8,Line_Check!CC8)&gt;=Line_Check!BS8,1,0),1),IF(Line_Check!CD8=1,IF(MIN(Line_Check!CI8,Line_Check!CO8)&gt;=Line_Check!CE8,1,0),1),IF(Line_Check!CP8=1,IF(MIN(Line_Check!CU8,Line_Check!DA8)&gt;=Line_Check!CQ8,1,0),1))=1,"PASS","FAIL")</f>
        <v/>
      </c>
      <c r="T8" s="36">
        <f>IF(AND(J8=1,OR(K8="PASS",K8="N/A"),OR(L8="PASS",L8="N/A"),OR(M8="PASS",M8="N/A"),OR(N8="PASS",N8="N/A"),OR(O8="PASS",O8="N/A"),OR(P8="PASS",P8="N/A"),OR(Q8="PASS",Q8="N/A"),OR(R8="PASS",R8="N/A"),OR(S8="PASS",S8="N/A")),1,0)</f>
        <v/>
      </c>
      <c r="U8" s="30">
        <f>IF(J8&lt;&gt;1,"—",MIN(IF(Line_Check!J8=1,MAX(0,MIN(1,IF(Line_Check!P8=0,0,Line_Check!O8/Line_Check!P8))),1),IF(Line_Check!V8=1,MAX(0,MIN(1,IF(Line_Check!AB8=0,0,Line_Check!AA8/Line_Check!AB8))),1),IF(Line_Check!AH8=1,MAX(0,MIN(1,IF(Line_Check!AN8=0,0,Line_Check!AM8/Line_Check!AN8))),1),IF(Line_Check!AT8=1,MAX(0,MIN(1,IF(Line_Check!AZ8=0,0,Line_Check!AY8/Line_Check!AZ8))),1),IF(Line_Check!BF8=1,MAX(0,MIN(1,IF(Line_Check!BL8=0,0,Line_Check!BK8/Line_Check!BL8))),1),IF(Line_Check!BR8=1,MAX(0,MIN(1,IF(Line_Check!BX8=0,0,Line_Check!BW8/Line_Check!BX8))),1),IF(Line_Check!CD8=1,MAX(0,MIN(1,IF(Line_Check!CJ8=0,0,Line_Check!CI8/Line_Check!CJ8))),1),IF(Line_Check!CP8=1,MAX(0,MIN(1,IF(Line_Check!CV8=0,0,Line_Check!CU8/Line_Check!CV8))),1)))</f>
        <v/>
      </c>
      <c r="V8" s="30">
        <f>IF(J8&lt;&gt;1,"—",MIN(IF(Line_Check!J8=1,MAX(0,MIN(1,IF(Line_Check!T8=0,0,Line_Check!S8/Line_Check!T8))),1),IF(Line_Check!V8=1,MAX(0,MIN(1,IF(Line_Check!AF8=0,0,Line_Check!AE8/Line_Check!AF8))),1),IF(Line_Check!AH8=1,MAX(0,MIN(1,IF(Line_Check!AR8=0,0,Line_Check!AQ8/Line_Check!AR8))),1),IF(Line_Check!AT8=1,MAX(0,MIN(1,IF(Line_Check!BD8=0,0,Line_Check!BC8/Line_Check!BD8))),1),IF(Line_Check!BF8=1,MAX(0,MIN(1,IF(Line_Check!BP8=0,0,Line_Check!BO8/Line_Check!BP8))),1),IF(Line_Check!BR8=1,MAX(0,MIN(1,IF(Line_Check!CB8=0,0,Line_Check!CA8/Line_Check!CB8))),1),IF(Line_Check!CD8=1,MAX(0,MIN(1,IF(Line_Check!CN8=0,0,Line_Check!CM8/Line_Check!CN8))),1),IF(Line_Check!CP8=1,MAX(0,MIN(1,IF(Line_Check!CZ8=0,0,Line_Check!CY8/Line_Check!CZ8))),1)))</f>
        <v/>
      </c>
      <c r="W8" s="30">
        <f>IF(J8&lt;&gt;1,"—",IF(SUMIFS($H$5:$H$18,$C$5:$C$18,C8)=0,1,MAX(0,MIN(1,1-H8/SUMIFS($H$5:$H$18,$C$5:$C$18,C8)))))</f>
        <v/>
      </c>
      <c r="X8" s="30">
        <f>IF(J8&lt;&gt;1,"—",MIN(IF(Line_Check!J8=1,MAX(0,MIN(1,IF(Line_Check!P8=0,0,Line_Check!O8/Line_Check!P8))),1),IF(Line_Check!V8=1,MAX(0,MIN(1,IF(Line_Check!AB8=0,0,Line_Check!AA8/Line_Check!AB8))),1),IF(Line_Check!AH8=1,MAX(0,MIN(1,IF(Line_Check!AN8=0,0,Line_Check!AM8/Line_Check!AN8))),1),IF(Line_Check!AT8=1,MAX(0,MIN(1,IF(Line_Check!AZ8=0,0,Line_Check!AY8/Line_Check!AZ8))),1),IF(Line_Check!BF8=1,MAX(0,MIN(1,IF(Line_Check!BL8=0,0,Line_Check!BK8/Line_Check!BL8))),1),IF(Line_Check!BR8=1,MAX(0,MIN(1,IF(Line_Check!BX8=0,0,Line_Check!BW8/Line_Check!BX8))),1),IF(Line_Check!CD8=1,MAX(0,MIN(1,IF(Line_Check!CJ8=0,0,Line_Check!CI8/Line_Check!CJ8))),1),IF(Line_Check!CP8=1,MAX(0,MIN(1,IF(Line_Check!CV8=0,0,Line_Check!CU8/Line_Check!CV8))),1)))</f>
        <v/>
      </c>
      <c r="Y8" s="30">
        <f>IF(J8&lt;&gt;1,"—",MAX(0,MIN(1,G8/3)))</f>
        <v/>
      </c>
      <c r="Z8" s="30">
        <f>IF(T8&lt;&gt;1,"—",Policy!$B$4*U8+Policy!$B$5*V8+Policy!$B$6*W8+Policy!$B$7*X8+Policy!$B$8*Y8)</f>
        <v/>
      </c>
      <c r="AA8" s="25">
        <f>IF(T8&lt;&gt;1,"—",1+COUNTIFS($T$5:$T$18,1,$Z$5:$Z$18,"&gt;"&amp;Z8)+COUNTIFS($T$5:$T$18,1,$Z$5:$Z$18,Z8,$AE$5:$AE$18,"&lt;"&amp;AE8))</f>
        <v/>
      </c>
      <c r="AB8" s="25">
        <f>IF(J8&lt;&gt;1,"—",IF(OR(AND(Line_Check!J8=1,Line_Check!P8=0),AND(Line_Check!V8=1,Line_Check!AB8=0),AND(Line_Check!AH8=1,Line_Check!AN8=0),AND(Line_Check!AT8=1,Line_Check!AZ8=0),AND(Line_Check!BF8=1,Line_Check!BL8=0),AND(Line_Check!BR8=1,Line_Check!BX8=0),AND(Line_Check!CD8=1,Line_Check!CJ8=0),AND(Line_Check!CP8=1,Line_Check!CV8=0)),"RESERVATION_DEFICIT",IF(K8="FAIL","CAPACITY_UNAVAILABLE",IF(L8="FAIL","QUOTA_DEFICIT",IF(OR(M8="FAIL",N8="FAIL",O8="FAIL",P8="FAIL",Q8="FAIL",R8="FAIL",S8="FAIL"),"CAPACITY_UNAVAILABLE",IF(AND(T8=1,U8&lt;Policy!$B$12),"READY_WITH_RISK",IF(T8=1,"READY","CAPACITY_UNAVAILABLE")))))))</f>
        <v/>
      </c>
      <c r="AC8" s="25">
        <f>IF(T8&lt;&gt;1,"—",IF(MIN(IF(Line_Check!J8=1,Line_Check!O8,10^9),IF(Line_Check!V8=1,Line_Check!AA8,10^9),IF(Line_Check!AH8=1,Line_Check!AM8,10^9),IF(Line_Check!AT8=1,Line_Check!AY8,10^9),IF(Line_Check!BF8=1,Line_Check!BK8,10^9),IF(Line_Check!BR8=1,Line_Check!BW8,10^9),IF(Line_Check!CD8=1,Line_Check!CI8,10^9),IF(Line_Check!CP8=1,Line_Check!CU8,10^9))&lt;=MIN(IF(Line_Check!J8=1,Line_Check!U8,10^9),IF(Line_Check!V8=1,Line_Check!AG8,10^9),IF(Line_Check!AH8=1,Line_Check!AS8,10^9),IF(Line_Check!AT8=1,Line_Check!BE8,10^9),IF(Line_Check!BF8=1,Line_Check!BQ8,10^9),IF(Line_Check!BR8=1,Line_Check!CC8,10^9),IF(Line_Check!CD8=1,Line_Check!CO8,10^9),IF(Line_Check!CP8=1,Line_Check!DA8,10^9)),"CAPACITY","QUOTA"))</f>
        <v/>
      </c>
      <c r="AE8" s="36">
        <f>ROW()</f>
        <v/>
      </c>
    </row>
    <row r="9">
      <c r="A9" s="6">
        <f>Line_Check!A9</f>
        <v/>
      </c>
      <c r="B9" s="6">
        <f>Line_Check!B9</f>
        <v/>
      </c>
      <c r="C9" s="15">
        <f>Line_Check!C9</f>
        <v/>
      </c>
      <c r="D9" s="15">
        <f>Line_Check!D9</f>
        <v/>
      </c>
      <c r="E9" s="15">
        <f>Line_Check!E9</f>
        <v/>
      </c>
      <c r="F9" s="15">
        <f>Line_Check!F9</f>
        <v/>
      </c>
      <c r="G9" s="42">
        <f>Line_Check!G9</f>
        <v/>
      </c>
      <c r="H9" s="42">
        <f>Line_Check!H9</f>
        <v/>
      </c>
      <c r="I9" s="43">
        <f>Line_Check!I9</f>
        <v/>
      </c>
      <c r="J9" s="36">
        <f>IF(OR(OR(Request!$B$22=0,Policy!$B$10&lt;&gt;"OK",Request!$B$24&lt;&gt;"OK"),NOT(AND(Allocation!$C$9&lt;&gt;"NONE ELIGIBLE",Allocation!$C$9&lt;&gt;"POLICY_BLOCKED",Allocation!$C$9&lt;&gt;"NO REQUEST"))),0,IF(Request!$B$9="cross-geo",IF(B9=Allocation!$C$9,1,0),IF(AND(C9=Request!$B$4,D9="Standard",B9&lt;&gt;Allocation!$C$9),1,0)))</f>
        <v/>
      </c>
      <c r="K9" s="25">
        <f>IF(MIN(IF(Line_Check!J9=1,IF(Line_Check!O9&gt;=Policy!$B$13*Line_Check!K9,1,0),1),IF(Line_Check!V9=1,IF(Line_Check!AA9&gt;=Policy!$B$13*Line_Check!W9,1,0),1),IF(Line_Check!AH9=1,IF(Line_Check!AM9&gt;=Policy!$B$13*Line_Check!AI9,1,0),1),IF(Line_Check!AT9=1,IF(Line_Check!AY9&gt;=Policy!$B$13*Line_Check!AU9,1,0),1),IF(Line_Check!BF9=1,IF(Line_Check!BK9&gt;=Policy!$B$13*Line_Check!BG9,1,0),1),IF(Line_Check!BR9=1,IF(Line_Check!BW9&gt;=Policy!$B$13*Line_Check!BS9,1,0),1),IF(Line_Check!CD9=1,IF(Line_Check!CI9&gt;=Policy!$B$13*Line_Check!CE9,1,0),1),IF(Line_Check!CP9=1,IF(Line_Check!CU9&gt;=Policy!$B$13*Line_Check!CQ9,1,0),1))=1,"PASS","FAIL")</f>
        <v/>
      </c>
      <c r="L9" s="25">
        <f>IF(MIN(IF(Line_Check!J9=1,IF(AND(Line_Check!S9&gt;=Line_Check!K9,Line_Check!S9-Line_Check!K9&gt;=Policy!$B$14),1,0),1),IF(Line_Check!V9=1,IF(AND(Line_Check!AE9&gt;=Line_Check!W9,Line_Check!AE9-Line_Check!W9&gt;=Policy!$B$14),1,0),1),IF(Line_Check!AH9=1,IF(AND(Line_Check!AQ9&gt;=Line_Check!AI9,Line_Check!AQ9-Line_Check!AI9&gt;=Policy!$B$14),1,0),1),IF(Line_Check!AT9=1,IF(AND(Line_Check!BC9&gt;=Line_Check!AU9,Line_Check!BC9-Line_Check!AU9&gt;=Policy!$B$14),1,0),1),IF(Line_Check!BF9=1,IF(AND(Line_Check!BO9&gt;=Line_Check!BG9,Line_Check!BO9-Line_Check!BG9&gt;=Policy!$B$14),1,0),1),IF(Line_Check!BR9=1,IF(AND(Line_Check!CA9&gt;=Line_Check!BS9,Line_Check!CA9-Line_Check!BS9&gt;=Policy!$B$14),1,0),1),IF(Line_Check!CD9=1,IF(AND(Line_Check!CM9&gt;=Line_Check!CE9,Line_Check!CM9-Line_Check!CE9&gt;=Policy!$B$14),1,0),1),IF(Line_Check!CP9=1,IF(AND(Line_Check!CY9&gt;=Line_Check!CQ9,Line_Check!CY9-Line_Check!CQ9&gt;=Policy!$B$14),1,0),1))=1,"PASS","FAIL")</f>
        <v/>
      </c>
      <c r="M9" s="25">
        <f>IF(G9&gt;=2,"PASS","FAIL")</f>
        <v/>
      </c>
      <c r="N9" s="25" t="inlineStr">
        <is>
          <t>N/A</t>
        </is>
      </c>
      <c r="O9" s="25">
        <f>IF(MIN(IF(Line_Check!J9=1,IF(AND(Line_Check!U9&gt;=Line_Check!K9,Line_Check!U9-Line_Check!K9&gt;=Policy!$B$14),1,0),1),IF(Line_Check!V9=1,IF(AND(Line_Check!AG9&gt;=Line_Check!W9,Line_Check!AG9-Line_Check!W9&gt;=Policy!$B$14),1,0),1),IF(Line_Check!AH9=1,IF(AND(Line_Check!AS9&gt;=Line_Check!AI9,Line_Check!AS9-Line_Check!AI9&gt;=Policy!$B$14),1,0),1),IF(Line_Check!AT9=1,IF(AND(Line_Check!BE9&gt;=Line_Check!AU9,Line_Check!BE9-Line_Check!AU9&gt;=Policy!$B$14),1,0),1),IF(Line_Check!BF9=1,IF(AND(Line_Check!BQ9&gt;=Line_Check!BG9,Line_Check!BQ9-Line_Check!BG9&gt;=Policy!$B$14),1,0),1),IF(Line_Check!BR9=1,IF(AND(Line_Check!CC9&gt;=Line_Check!BS9,Line_Check!CC9-Line_Check!BS9&gt;=Policy!$B$14),1,0),1),IF(Line_Check!CD9=1,IF(AND(Line_Check!CO9&gt;=Line_Check!CE9,Line_Check!CO9-Line_Check!CE9&gt;=Policy!$B$14),1,0),1),IF(Line_Check!CP9=1,IF(AND(Line_Check!DA9&gt;=Line_Check!CQ9,Line_Check!DA9-Line_Check!CQ9&gt;=Policy!$B$14),1,0),1))=1,"PASS","FAIL")</f>
        <v/>
      </c>
      <c r="P9" s="25">
        <f>IF(C9=Request!$B$4,"PASS","FAIL")</f>
        <v/>
      </c>
      <c r="Q9" s="25">
        <f>IF(D9="Standard","PASS","FAIL")</f>
        <v/>
      </c>
      <c r="R9" s="25" t="inlineStr">
        <is>
          <t>N/A</t>
        </is>
      </c>
      <c r="S9" s="25">
        <f>IF(MIN(IF(Line_Check!J9=1,IF(MIN(Line_Check!O9,Line_Check!U9)&gt;=Line_Check!K9,1,0),1),IF(Line_Check!V9=1,IF(MIN(Line_Check!AA9,Line_Check!AG9)&gt;=Line_Check!W9,1,0),1),IF(Line_Check!AH9=1,IF(MIN(Line_Check!AM9,Line_Check!AS9)&gt;=Line_Check!AI9,1,0),1),IF(Line_Check!AT9=1,IF(MIN(Line_Check!AY9,Line_Check!BE9)&gt;=Line_Check!AU9,1,0),1),IF(Line_Check!BF9=1,IF(MIN(Line_Check!BK9,Line_Check!BQ9)&gt;=Line_Check!BG9,1,0),1),IF(Line_Check!BR9=1,IF(MIN(Line_Check!BW9,Line_Check!CC9)&gt;=Line_Check!BS9,1,0),1),IF(Line_Check!CD9=1,IF(MIN(Line_Check!CI9,Line_Check!CO9)&gt;=Line_Check!CE9,1,0),1),IF(Line_Check!CP9=1,IF(MIN(Line_Check!CU9,Line_Check!DA9)&gt;=Line_Check!CQ9,1,0),1))=1,"PASS","FAIL")</f>
        <v/>
      </c>
      <c r="T9" s="36">
        <f>IF(AND(J9=1,OR(K9="PASS",K9="N/A"),OR(L9="PASS",L9="N/A"),OR(M9="PASS",M9="N/A"),OR(N9="PASS",N9="N/A"),OR(O9="PASS",O9="N/A"),OR(P9="PASS",P9="N/A"),OR(Q9="PASS",Q9="N/A"),OR(R9="PASS",R9="N/A"),OR(S9="PASS",S9="N/A")),1,0)</f>
        <v/>
      </c>
      <c r="U9" s="30">
        <f>IF(J9&lt;&gt;1,"—",MIN(IF(Line_Check!J9=1,MAX(0,MIN(1,IF(Line_Check!P9=0,0,Line_Check!O9/Line_Check!P9))),1),IF(Line_Check!V9=1,MAX(0,MIN(1,IF(Line_Check!AB9=0,0,Line_Check!AA9/Line_Check!AB9))),1),IF(Line_Check!AH9=1,MAX(0,MIN(1,IF(Line_Check!AN9=0,0,Line_Check!AM9/Line_Check!AN9))),1),IF(Line_Check!AT9=1,MAX(0,MIN(1,IF(Line_Check!AZ9=0,0,Line_Check!AY9/Line_Check!AZ9))),1),IF(Line_Check!BF9=1,MAX(0,MIN(1,IF(Line_Check!BL9=0,0,Line_Check!BK9/Line_Check!BL9))),1),IF(Line_Check!BR9=1,MAX(0,MIN(1,IF(Line_Check!BX9=0,0,Line_Check!BW9/Line_Check!BX9))),1),IF(Line_Check!CD9=1,MAX(0,MIN(1,IF(Line_Check!CJ9=0,0,Line_Check!CI9/Line_Check!CJ9))),1),IF(Line_Check!CP9=1,MAX(0,MIN(1,IF(Line_Check!CV9=0,0,Line_Check!CU9/Line_Check!CV9))),1)))</f>
        <v/>
      </c>
      <c r="V9" s="30">
        <f>IF(J9&lt;&gt;1,"—",MIN(IF(Line_Check!J9=1,MAX(0,MIN(1,IF(Line_Check!T9=0,0,Line_Check!S9/Line_Check!T9))),1),IF(Line_Check!V9=1,MAX(0,MIN(1,IF(Line_Check!AF9=0,0,Line_Check!AE9/Line_Check!AF9))),1),IF(Line_Check!AH9=1,MAX(0,MIN(1,IF(Line_Check!AR9=0,0,Line_Check!AQ9/Line_Check!AR9))),1),IF(Line_Check!AT9=1,MAX(0,MIN(1,IF(Line_Check!BD9=0,0,Line_Check!BC9/Line_Check!BD9))),1),IF(Line_Check!BF9=1,MAX(0,MIN(1,IF(Line_Check!BP9=0,0,Line_Check!BO9/Line_Check!BP9))),1),IF(Line_Check!BR9=1,MAX(0,MIN(1,IF(Line_Check!CB9=0,0,Line_Check!CA9/Line_Check!CB9))),1),IF(Line_Check!CD9=1,MAX(0,MIN(1,IF(Line_Check!CN9=0,0,Line_Check!CM9/Line_Check!CN9))),1),IF(Line_Check!CP9=1,MAX(0,MIN(1,IF(Line_Check!CZ9=0,0,Line_Check!CY9/Line_Check!CZ9))),1)))</f>
        <v/>
      </c>
      <c r="W9" s="30">
        <f>IF(J9&lt;&gt;1,"—",IF(SUMIFS($H$5:$H$18,$C$5:$C$18,C9)=0,1,MAX(0,MIN(1,1-H9/SUMIFS($H$5:$H$18,$C$5:$C$18,C9)))))</f>
        <v/>
      </c>
      <c r="X9" s="30">
        <f>IF(J9&lt;&gt;1,"—",MIN(IF(Line_Check!J9=1,MAX(0,MIN(1,IF(Line_Check!P9=0,0,Line_Check!O9/Line_Check!P9))),1),IF(Line_Check!V9=1,MAX(0,MIN(1,IF(Line_Check!AB9=0,0,Line_Check!AA9/Line_Check!AB9))),1),IF(Line_Check!AH9=1,MAX(0,MIN(1,IF(Line_Check!AN9=0,0,Line_Check!AM9/Line_Check!AN9))),1),IF(Line_Check!AT9=1,MAX(0,MIN(1,IF(Line_Check!AZ9=0,0,Line_Check!AY9/Line_Check!AZ9))),1),IF(Line_Check!BF9=1,MAX(0,MIN(1,IF(Line_Check!BL9=0,0,Line_Check!BK9/Line_Check!BL9))),1),IF(Line_Check!BR9=1,MAX(0,MIN(1,IF(Line_Check!BX9=0,0,Line_Check!BW9/Line_Check!BX9))),1),IF(Line_Check!CD9=1,MAX(0,MIN(1,IF(Line_Check!CJ9=0,0,Line_Check!CI9/Line_Check!CJ9))),1),IF(Line_Check!CP9=1,MAX(0,MIN(1,IF(Line_Check!CV9=0,0,Line_Check!CU9/Line_Check!CV9))),1)))</f>
        <v/>
      </c>
      <c r="Y9" s="30">
        <f>IF(J9&lt;&gt;1,"—",MAX(0,MIN(1,G9/3)))</f>
        <v/>
      </c>
      <c r="Z9" s="30">
        <f>IF(T9&lt;&gt;1,"—",Policy!$B$4*U9+Policy!$B$5*V9+Policy!$B$6*W9+Policy!$B$7*X9+Policy!$B$8*Y9)</f>
        <v/>
      </c>
      <c r="AA9" s="25">
        <f>IF(T9&lt;&gt;1,"—",1+COUNTIFS($T$5:$T$18,1,$Z$5:$Z$18,"&gt;"&amp;Z9)+COUNTIFS($T$5:$T$18,1,$Z$5:$Z$18,Z9,$AE$5:$AE$18,"&lt;"&amp;AE9))</f>
        <v/>
      </c>
      <c r="AB9" s="25">
        <f>IF(J9&lt;&gt;1,"—",IF(OR(AND(Line_Check!J9=1,Line_Check!P9=0),AND(Line_Check!V9=1,Line_Check!AB9=0),AND(Line_Check!AH9=1,Line_Check!AN9=0),AND(Line_Check!AT9=1,Line_Check!AZ9=0),AND(Line_Check!BF9=1,Line_Check!BL9=0),AND(Line_Check!BR9=1,Line_Check!BX9=0),AND(Line_Check!CD9=1,Line_Check!CJ9=0),AND(Line_Check!CP9=1,Line_Check!CV9=0)),"RESERVATION_DEFICIT",IF(K9="FAIL","CAPACITY_UNAVAILABLE",IF(L9="FAIL","QUOTA_DEFICIT",IF(OR(M9="FAIL",N9="FAIL",O9="FAIL",P9="FAIL",Q9="FAIL",R9="FAIL",S9="FAIL"),"CAPACITY_UNAVAILABLE",IF(AND(T9=1,U9&lt;Policy!$B$12),"READY_WITH_RISK",IF(T9=1,"READY","CAPACITY_UNAVAILABLE")))))))</f>
        <v/>
      </c>
      <c r="AC9" s="25">
        <f>IF(T9&lt;&gt;1,"—",IF(MIN(IF(Line_Check!J9=1,Line_Check!O9,10^9),IF(Line_Check!V9=1,Line_Check!AA9,10^9),IF(Line_Check!AH9=1,Line_Check!AM9,10^9),IF(Line_Check!AT9=1,Line_Check!AY9,10^9),IF(Line_Check!BF9=1,Line_Check!BK9,10^9),IF(Line_Check!BR9=1,Line_Check!BW9,10^9),IF(Line_Check!CD9=1,Line_Check!CI9,10^9),IF(Line_Check!CP9=1,Line_Check!CU9,10^9))&lt;=MIN(IF(Line_Check!J9=1,Line_Check!U9,10^9),IF(Line_Check!V9=1,Line_Check!AG9,10^9),IF(Line_Check!AH9=1,Line_Check!AS9,10^9),IF(Line_Check!AT9=1,Line_Check!BE9,10^9),IF(Line_Check!BF9=1,Line_Check!BQ9,10^9),IF(Line_Check!BR9=1,Line_Check!CC9,10^9),IF(Line_Check!CD9=1,Line_Check!CO9,10^9),IF(Line_Check!CP9=1,Line_Check!DA9,10^9)),"CAPACITY","QUOTA"))</f>
        <v/>
      </c>
      <c r="AE9" s="36">
        <f>ROW()</f>
        <v/>
      </c>
    </row>
    <row r="10">
      <c r="A10" s="6">
        <f>Line_Check!A10</f>
        <v/>
      </c>
      <c r="B10" s="6">
        <f>Line_Check!B10</f>
        <v/>
      </c>
      <c r="C10" s="15">
        <f>Line_Check!C10</f>
        <v/>
      </c>
      <c r="D10" s="15">
        <f>Line_Check!D10</f>
        <v/>
      </c>
      <c r="E10" s="15">
        <f>Line_Check!E10</f>
        <v/>
      </c>
      <c r="F10" s="15">
        <f>Line_Check!F10</f>
        <v/>
      </c>
      <c r="G10" s="42">
        <f>Line_Check!G10</f>
        <v/>
      </c>
      <c r="H10" s="42">
        <f>Line_Check!H10</f>
        <v/>
      </c>
      <c r="I10" s="43">
        <f>Line_Check!I10</f>
        <v/>
      </c>
      <c r="J10" s="36">
        <f>IF(OR(OR(Request!$B$22=0,Policy!$B$10&lt;&gt;"OK",Request!$B$24&lt;&gt;"OK"),NOT(AND(Allocation!$C$9&lt;&gt;"NONE ELIGIBLE",Allocation!$C$9&lt;&gt;"POLICY_BLOCKED",Allocation!$C$9&lt;&gt;"NO REQUEST"))),0,IF(Request!$B$9="cross-geo",IF(B10=Allocation!$C$9,1,0),IF(AND(C10=Request!$B$4,D10="Standard",B10&lt;&gt;Allocation!$C$9),1,0)))</f>
        <v/>
      </c>
      <c r="K10" s="25">
        <f>IF(MIN(IF(Line_Check!J10=1,IF(Line_Check!O10&gt;=Policy!$B$13*Line_Check!K10,1,0),1),IF(Line_Check!V10=1,IF(Line_Check!AA10&gt;=Policy!$B$13*Line_Check!W10,1,0),1),IF(Line_Check!AH10=1,IF(Line_Check!AM10&gt;=Policy!$B$13*Line_Check!AI10,1,0),1),IF(Line_Check!AT10=1,IF(Line_Check!AY10&gt;=Policy!$B$13*Line_Check!AU10,1,0),1),IF(Line_Check!BF10=1,IF(Line_Check!BK10&gt;=Policy!$B$13*Line_Check!BG10,1,0),1),IF(Line_Check!BR10=1,IF(Line_Check!BW10&gt;=Policy!$B$13*Line_Check!BS10,1,0),1),IF(Line_Check!CD10=1,IF(Line_Check!CI10&gt;=Policy!$B$13*Line_Check!CE10,1,0),1),IF(Line_Check!CP10=1,IF(Line_Check!CU10&gt;=Policy!$B$13*Line_Check!CQ10,1,0),1))=1,"PASS","FAIL")</f>
        <v/>
      </c>
      <c r="L10" s="25">
        <f>IF(MIN(IF(Line_Check!J10=1,IF(AND(Line_Check!S10&gt;=Line_Check!K10,Line_Check!S10-Line_Check!K10&gt;=Policy!$B$14),1,0),1),IF(Line_Check!V10=1,IF(AND(Line_Check!AE10&gt;=Line_Check!W10,Line_Check!AE10-Line_Check!W10&gt;=Policy!$B$14),1,0),1),IF(Line_Check!AH10=1,IF(AND(Line_Check!AQ10&gt;=Line_Check!AI10,Line_Check!AQ10-Line_Check!AI10&gt;=Policy!$B$14),1,0),1),IF(Line_Check!AT10=1,IF(AND(Line_Check!BC10&gt;=Line_Check!AU10,Line_Check!BC10-Line_Check!AU10&gt;=Policy!$B$14),1,0),1),IF(Line_Check!BF10=1,IF(AND(Line_Check!BO10&gt;=Line_Check!BG10,Line_Check!BO10-Line_Check!BG10&gt;=Policy!$B$14),1,0),1),IF(Line_Check!BR10=1,IF(AND(Line_Check!CA10&gt;=Line_Check!BS10,Line_Check!CA10-Line_Check!BS10&gt;=Policy!$B$14),1,0),1),IF(Line_Check!CD10=1,IF(AND(Line_Check!CM10&gt;=Line_Check!CE10,Line_Check!CM10-Line_Check!CE10&gt;=Policy!$B$14),1,0),1),IF(Line_Check!CP10=1,IF(AND(Line_Check!CY10&gt;=Line_Check!CQ10,Line_Check!CY10-Line_Check!CQ10&gt;=Policy!$B$14),1,0),1))=1,"PASS","FAIL")</f>
        <v/>
      </c>
      <c r="M10" s="25">
        <f>IF(G10&gt;=2,"PASS","FAIL")</f>
        <v/>
      </c>
      <c r="N10" s="25" t="inlineStr">
        <is>
          <t>N/A</t>
        </is>
      </c>
      <c r="O10" s="25">
        <f>IF(MIN(IF(Line_Check!J10=1,IF(AND(Line_Check!U10&gt;=Line_Check!K10,Line_Check!U10-Line_Check!K10&gt;=Policy!$B$14),1,0),1),IF(Line_Check!V10=1,IF(AND(Line_Check!AG10&gt;=Line_Check!W10,Line_Check!AG10-Line_Check!W10&gt;=Policy!$B$14),1,0),1),IF(Line_Check!AH10=1,IF(AND(Line_Check!AS10&gt;=Line_Check!AI10,Line_Check!AS10-Line_Check!AI10&gt;=Policy!$B$14),1,0),1),IF(Line_Check!AT10=1,IF(AND(Line_Check!BE10&gt;=Line_Check!AU10,Line_Check!BE10-Line_Check!AU10&gt;=Policy!$B$14),1,0),1),IF(Line_Check!BF10=1,IF(AND(Line_Check!BQ10&gt;=Line_Check!BG10,Line_Check!BQ10-Line_Check!BG10&gt;=Policy!$B$14),1,0),1),IF(Line_Check!BR10=1,IF(AND(Line_Check!CC10&gt;=Line_Check!BS10,Line_Check!CC10-Line_Check!BS10&gt;=Policy!$B$14),1,0),1),IF(Line_Check!CD10=1,IF(AND(Line_Check!CO10&gt;=Line_Check!CE10,Line_Check!CO10-Line_Check!CE10&gt;=Policy!$B$14),1,0),1),IF(Line_Check!CP10=1,IF(AND(Line_Check!DA10&gt;=Line_Check!CQ10,Line_Check!DA10-Line_Check!CQ10&gt;=Policy!$B$14),1,0),1))=1,"PASS","FAIL")</f>
        <v/>
      </c>
      <c r="P10" s="25">
        <f>IF(C10=Request!$B$4,"PASS","FAIL")</f>
        <v/>
      </c>
      <c r="Q10" s="25">
        <f>IF(D10="Standard","PASS","FAIL")</f>
        <v/>
      </c>
      <c r="R10" s="25" t="inlineStr">
        <is>
          <t>N/A</t>
        </is>
      </c>
      <c r="S10" s="25">
        <f>IF(MIN(IF(Line_Check!J10=1,IF(MIN(Line_Check!O10,Line_Check!U10)&gt;=Line_Check!K10,1,0),1),IF(Line_Check!V10=1,IF(MIN(Line_Check!AA10,Line_Check!AG10)&gt;=Line_Check!W10,1,0),1),IF(Line_Check!AH10=1,IF(MIN(Line_Check!AM10,Line_Check!AS10)&gt;=Line_Check!AI10,1,0),1),IF(Line_Check!AT10=1,IF(MIN(Line_Check!AY10,Line_Check!BE10)&gt;=Line_Check!AU10,1,0),1),IF(Line_Check!BF10=1,IF(MIN(Line_Check!BK10,Line_Check!BQ10)&gt;=Line_Check!BG10,1,0),1),IF(Line_Check!BR10=1,IF(MIN(Line_Check!BW10,Line_Check!CC10)&gt;=Line_Check!BS10,1,0),1),IF(Line_Check!CD10=1,IF(MIN(Line_Check!CI10,Line_Check!CO10)&gt;=Line_Check!CE10,1,0),1),IF(Line_Check!CP10=1,IF(MIN(Line_Check!CU10,Line_Check!DA10)&gt;=Line_Check!CQ10,1,0),1))=1,"PASS","FAIL")</f>
        <v/>
      </c>
      <c r="T10" s="36">
        <f>IF(AND(J10=1,OR(K10="PASS",K10="N/A"),OR(L10="PASS",L10="N/A"),OR(M10="PASS",M10="N/A"),OR(N10="PASS",N10="N/A"),OR(O10="PASS",O10="N/A"),OR(P10="PASS",P10="N/A"),OR(Q10="PASS",Q10="N/A"),OR(R10="PASS",R10="N/A"),OR(S10="PASS",S10="N/A")),1,0)</f>
        <v/>
      </c>
      <c r="U10" s="30">
        <f>IF(J10&lt;&gt;1,"—",MIN(IF(Line_Check!J10=1,MAX(0,MIN(1,IF(Line_Check!P10=0,0,Line_Check!O10/Line_Check!P10))),1),IF(Line_Check!V10=1,MAX(0,MIN(1,IF(Line_Check!AB10=0,0,Line_Check!AA10/Line_Check!AB10))),1),IF(Line_Check!AH10=1,MAX(0,MIN(1,IF(Line_Check!AN10=0,0,Line_Check!AM10/Line_Check!AN10))),1),IF(Line_Check!AT10=1,MAX(0,MIN(1,IF(Line_Check!AZ10=0,0,Line_Check!AY10/Line_Check!AZ10))),1),IF(Line_Check!BF10=1,MAX(0,MIN(1,IF(Line_Check!BL10=0,0,Line_Check!BK10/Line_Check!BL10))),1),IF(Line_Check!BR10=1,MAX(0,MIN(1,IF(Line_Check!BX10=0,0,Line_Check!BW10/Line_Check!BX10))),1),IF(Line_Check!CD10=1,MAX(0,MIN(1,IF(Line_Check!CJ10=0,0,Line_Check!CI10/Line_Check!CJ10))),1),IF(Line_Check!CP10=1,MAX(0,MIN(1,IF(Line_Check!CV10=0,0,Line_Check!CU10/Line_Check!CV10))),1)))</f>
        <v/>
      </c>
      <c r="V10" s="30">
        <f>IF(J10&lt;&gt;1,"—",MIN(IF(Line_Check!J10=1,MAX(0,MIN(1,IF(Line_Check!T10=0,0,Line_Check!S10/Line_Check!T10))),1),IF(Line_Check!V10=1,MAX(0,MIN(1,IF(Line_Check!AF10=0,0,Line_Check!AE10/Line_Check!AF10))),1),IF(Line_Check!AH10=1,MAX(0,MIN(1,IF(Line_Check!AR10=0,0,Line_Check!AQ10/Line_Check!AR10))),1),IF(Line_Check!AT10=1,MAX(0,MIN(1,IF(Line_Check!BD10=0,0,Line_Check!BC10/Line_Check!BD10))),1),IF(Line_Check!BF10=1,MAX(0,MIN(1,IF(Line_Check!BP10=0,0,Line_Check!BO10/Line_Check!BP10))),1),IF(Line_Check!BR10=1,MAX(0,MIN(1,IF(Line_Check!CB10=0,0,Line_Check!CA10/Line_Check!CB10))),1),IF(Line_Check!CD10=1,MAX(0,MIN(1,IF(Line_Check!CN10=0,0,Line_Check!CM10/Line_Check!CN10))),1),IF(Line_Check!CP10=1,MAX(0,MIN(1,IF(Line_Check!CZ10=0,0,Line_Check!CY10/Line_Check!CZ10))),1)))</f>
        <v/>
      </c>
      <c r="W10" s="30">
        <f>IF(J10&lt;&gt;1,"—",IF(SUMIFS($H$5:$H$18,$C$5:$C$18,C10)=0,1,MAX(0,MIN(1,1-H10/SUMIFS($H$5:$H$18,$C$5:$C$18,C10)))))</f>
        <v/>
      </c>
      <c r="X10" s="30">
        <f>IF(J10&lt;&gt;1,"—",MIN(IF(Line_Check!J10=1,MAX(0,MIN(1,IF(Line_Check!P10=0,0,Line_Check!O10/Line_Check!P10))),1),IF(Line_Check!V10=1,MAX(0,MIN(1,IF(Line_Check!AB10=0,0,Line_Check!AA10/Line_Check!AB10))),1),IF(Line_Check!AH10=1,MAX(0,MIN(1,IF(Line_Check!AN10=0,0,Line_Check!AM10/Line_Check!AN10))),1),IF(Line_Check!AT10=1,MAX(0,MIN(1,IF(Line_Check!AZ10=0,0,Line_Check!AY10/Line_Check!AZ10))),1),IF(Line_Check!BF10=1,MAX(0,MIN(1,IF(Line_Check!BL10=0,0,Line_Check!BK10/Line_Check!BL10))),1),IF(Line_Check!BR10=1,MAX(0,MIN(1,IF(Line_Check!BX10=0,0,Line_Check!BW10/Line_Check!BX10))),1),IF(Line_Check!CD10=1,MAX(0,MIN(1,IF(Line_Check!CJ10=0,0,Line_Check!CI10/Line_Check!CJ10))),1),IF(Line_Check!CP10=1,MAX(0,MIN(1,IF(Line_Check!CV10=0,0,Line_Check!CU10/Line_Check!CV10))),1)))</f>
        <v/>
      </c>
      <c r="Y10" s="30">
        <f>IF(J10&lt;&gt;1,"—",MAX(0,MIN(1,G10/3)))</f>
        <v/>
      </c>
      <c r="Z10" s="30">
        <f>IF(T10&lt;&gt;1,"—",Policy!$B$4*U10+Policy!$B$5*V10+Policy!$B$6*W10+Policy!$B$7*X10+Policy!$B$8*Y10)</f>
        <v/>
      </c>
      <c r="AA10" s="25">
        <f>IF(T10&lt;&gt;1,"—",1+COUNTIFS($T$5:$T$18,1,$Z$5:$Z$18,"&gt;"&amp;Z10)+COUNTIFS($T$5:$T$18,1,$Z$5:$Z$18,Z10,$AE$5:$AE$18,"&lt;"&amp;AE10))</f>
        <v/>
      </c>
      <c r="AB10" s="25">
        <f>IF(J10&lt;&gt;1,"—",IF(OR(AND(Line_Check!J10=1,Line_Check!P10=0),AND(Line_Check!V10=1,Line_Check!AB10=0),AND(Line_Check!AH10=1,Line_Check!AN10=0),AND(Line_Check!AT10=1,Line_Check!AZ10=0),AND(Line_Check!BF10=1,Line_Check!BL10=0),AND(Line_Check!BR10=1,Line_Check!BX10=0),AND(Line_Check!CD10=1,Line_Check!CJ10=0),AND(Line_Check!CP10=1,Line_Check!CV10=0)),"RESERVATION_DEFICIT",IF(K10="FAIL","CAPACITY_UNAVAILABLE",IF(L10="FAIL","QUOTA_DEFICIT",IF(OR(M10="FAIL",N10="FAIL",O10="FAIL",P10="FAIL",Q10="FAIL",R10="FAIL",S10="FAIL"),"CAPACITY_UNAVAILABLE",IF(AND(T10=1,U10&lt;Policy!$B$12),"READY_WITH_RISK",IF(T10=1,"READY","CAPACITY_UNAVAILABLE")))))))</f>
        <v/>
      </c>
      <c r="AC10" s="25">
        <f>IF(T10&lt;&gt;1,"—",IF(MIN(IF(Line_Check!J10=1,Line_Check!O10,10^9),IF(Line_Check!V10=1,Line_Check!AA10,10^9),IF(Line_Check!AH10=1,Line_Check!AM10,10^9),IF(Line_Check!AT10=1,Line_Check!AY10,10^9),IF(Line_Check!BF10=1,Line_Check!BK10,10^9),IF(Line_Check!BR10=1,Line_Check!BW10,10^9),IF(Line_Check!CD10=1,Line_Check!CI10,10^9),IF(Line_Check!CP10=1,Line_Check!CU10,10^9))&lt;=MIN(IF(Line_Check!J10=1,Line_Check!U10,10^9),IF(Line_Check!V10=1,Line_Check!AG10,10^9),IF(Line_Check!AH10=1,Line_Check!AS10,10^9),IF(Line_Check!AT10=1,Line_Check!BE10,10^9),IF(Line_Check!BF10=1,Line_Check!BQ10,10^9),IF(Line_Check!BR10=1,Line_Check!CC10,10^9),IF(Line_Check!CD10=1,Line_Check!CO10,10^9),IF(Line_Check!CP10=1,Line_Check!DA10,10^9)),"CAPACITY","QUOTA"))</f>
        <v/>
      </c>
      <c r="AE10" s="36">
        <f>ROW()</f>
        <v/>
      </c>
    </row>
    <row r="11">
      <c r="A11" s="6">
        <f>Line_Check!A11</f>
        <v/>
      </c>
      <c r="B11" s="6">
        <f>Line_Check!B11</f>
        <v/>
      </c>
      <c r="C11" s="15">
        <f>Line_Check!C11</f>
        <v/>
      </c>
      <c r="D11" s="15">
        <f>Line_Check!D11</f>
        <v/>
      </c>
      <c r="E11" s="15">
        <f>Line_Check!E11</f>
        <v/>
      </c>
      <c r="F11" s="15">
        <f>Line_Check!F11</f>
        <v/>
      </c>
      <c r="G11" s="42">
        <f>Line_Check!G11</f>
        <v/>
      </c>
      <c r="H11" s="42">
        <f>Line_Check!H11</f>
        <v/>
      </c>
      <c r="I11" s="43">
        <f>Line_Check!I11</f>
        <v/>
      </c>
      <c r="J11" s="36">
        <f>IF(OR(OR(Request!$B$22=0,Policy!$B$10&lt;&gt;"OK",Request!$B$24&lt;&gt;"OK"),NOT(AND(Allocation!$C$9&lt;&gt;"NONE ELIGIBLE",Allocation!$C$9&lt;&gt;"POLICY_BLOCKED",Allocation!$C$9&lt;&gt;"NO REQUEST"))),0,IF(Request!$B$9="cross-geo",IF(B11=Allocation!$C$9,1,0),IF(AND(C11=Request!$B$4,D11="Standard",B11&lt;&gt;Allocation!$C$9),1,0)))</f>
        <v/>
      </c>
      <c r="K11" s="25">
        <f>IF(MIN(IF(Line_Check!J11=1,IF(Line_Check!O11&gt;=Policy!$B$13*Line_Check!K11,1,0),1),IF(Line_Check!V11=1,IF(Line_Check!AA11&gt;=Policy!$B$13*Line_Check!W11,1,0),1),IF(Line_Check!AH11=1,IF(Line_Check!AM11&gt;=Policy!$B$13*Line_Check!AI11,1,0),1),IF(Line_Check!AT11=1,IF(Line_Check!AY11&gt;=Policy!$B$13*Line_Check!AU11,1,0),1),IF(Line_Check!BF11=1,IF(Line_Check!BK11&gt;=Policy!$B$13*Line_Check!BG11,1,0),1),IF(Line_Check!BR11=1,IF(Line_Check!BW11&gt;=Policy!$B$13*Line_Check!BS11,1,0),1),IF(Line_Check!CD11=1,IF(Line_Check!CI11&gt;=Policy!$B$13*Line_Check!CE11,1,0),1),IF(Line_Check!CP11=1,IF(Line_Check!CU11&gt;=Policy!$B$13*Line_Check!CQ11,1,0),1))=1,"PASS","FAIL")</f>
        <v/>
      </c>
      <c r="L11" s="25">
        <f>IF(MIN(IF(Line_Check!J11=1,IF(AND(Line_Check!S11&gt;=Line_Check!K11,Line_Check!S11-Line_Check!K11&gt;=Policy!$B$14),1,0),1),IF(Line_Check!V11=1,IF(AND(Line_Check!AE11&gt;=Line_Check!W11,Line_Check!AE11-Line_Check!W11&gt;=Policy!$B$14),1,0),1),IF(Line_Check!AH11=1,IF(AND(Line_Check!AQ11&gt;=Line_Check!AI11,Line_Check!AQ11-Line_Check!AI11&gt;=Policy!$B$14),1,0),1),IF(Line_Check!AT11=1,IF(AND(Line_Check!BC11&gt;=Line_Check!AU11,Line_Check!BC11-Line_Check!AU11&gt;=Policy!$B$14),1,0),1),IF(Line_Check!BF11=1,IF(AND(Line_Check!BO11&gt;=Line_Check!BG11,Line_Check!BO11-Line_Check!BG11&gt;=Policy!$B$14),1,0),1),IF(Line_Check!BR11=1,IF(AND(Line_Check!CA11&gt;=Line_Check!BS11,Line_Check!CA11-Line_Check!BS11&gt;=Policy!$B$14),1,0),1),IF(Line_Check!CD11=1,IF(AND(Line_Check!CM11&gt;=Line_Check!CE11,Line_Check!CM11-Line_Check!CE11&gt;=Policy!$B$14),1,0),1),IF(Line_Check!CP11=1,IF(AND(Line_Check!CY11&gt;=Line_Check!CQ11,Line_Check!CY11-Line_Check!CQ11&gt;=Policy!$B$14),1,0),1))=1,"PASS","FAIL")</f>
        <v/>
      </c>
      <c r="M11" s="25">
        <f>IF(G11&gt;=2,"PASS","FAIL")</f>
        <v/>
      </c>
      <c r="N11" s="25" t="inlineStr">
        <is>
          <t>N/A</t>
        </is>
      </c>
      <c r="O11" s="25">
        <f>IF(MIN(IF(Line_Check!J11=1,IF(AND(Line_Check!U11&gt;=Line_Check!K11,Line_Check!U11-Line_Check!K11&gt;=Policy!$B$14),1,0),1),IF(Line_Check!V11=1,IF(AND(Line_Check!AG11&gt;=Line_Check!W11,Line_Check!AG11-Line_Check!W11&gt;=Policy!$B$14),1,0),1),IF(Line_Check!AH11=1,IF(AND(Line_Check!AS11&gt;=Line_Check!AI11,Line_Check!AS11-Line_Check!AI11&gt;=Policy!$B$14),1,0),1),IF(Line_Check!AT11=1,IF(AND(Line_Check!BE11&gt;=Line_Check!AU11,Line_Check!BE11-Line_Check!AU11&gt;=Policy!$B$14),1,0),1),IF(Line_Check!BF11=1,IF(AND(Line_Check!BQ11&gt;=Line_Check!BG11,Line_Check!BQ11-Line_Check!BG11&gt;=Policy!$B$14),1,0),1),IF(Line_Check!BR11=1,IF(AND(Line_Check!CC11&gt;=Line_Check!BS11,Line_Check!CC11-Line_Check!BS11&gt;=Policy!$B$14),1,0),1),IF(Line_Check!CD11=1,IF(AND(Line_Check!CO11&gt;=Line_Check!CE11,Line_Check!CO11-Line_Check!CE11&gt;=Policy!$B$14),1,0),1),IF(Line_Check!CP11=1,IF(AND(Line_Check!DA11&gt;=Line_Check!CQ11,Line_Check!DA11-Line_Check!CQ11&gt;=Policy!$B$14),1,0),1))=1,"PASS","FAIL")</f>
        <v/>
      </c>
      <c r="P11" s="25">
        <f>IF(C11=Request!$B$4,"PASS","FAIL")</f>
        <v/>
      </c>
      <c r="Q11" s="25">
        <f>IF(D11="Standard","PASS","FAIL")</f>
        <v/>
      </c>
      <c r="R11" s="25" t="inlineStr">
        <is>
          <t>N/A</t>
        </is>
      </c>
      <c r="S11" s="25">
        <f>IF(MIN(IF(Line_Check!J11=1,IF(MIN(Line_Check!O11,Line_Check!U11)&gt;=Line_Check!K11,1,0),1),IF(Line_Check!V11=1,IF(MIN(Line_Check!AA11,Line_Check!AG11)&gt;=Line_Check!W11,1,0),1),IF(Line_Check!AH11=1,IF(MIN(Line_Check!AM11,Line_Check!AS11)&gt;=Line_Check!AI11,1,0),1),IF(Line_Check!AT11=1,IF(MIN(Line_Check!AY11,Line_Check!BE11)&gt;=Line_Check!AU11,1,0),1),IF(Line_Check!BF11=1,IF(MIN(Line_Check!BK11,Line_Check!BQ11)&gt;=Line_Check!BG11,1,0),1),IF(Line_Check!BR11=1,IF(MIN(Line_Check!BW11,Line_Check!CC11)&gt;=Line_Check!BS11,1,0),1),IF(Line_Check!CD11=1,IF(MIN(Line_Check!CI11,Line_Check!CO11)&gt;=Line_Check!CE11,1,0),1),IF(Line_Check!CP11=1,IF(MIN(Line_Check!CU11,Line_Check!DA11)&gt;=Line_Check!CQ11,1,0),1))=1,"PASS","FAIL")</f>
        <v/>
      </c>
      <c r="T11" s="36">
        <f>IF(AND(J11=1,OR(K11="PASS",K11="N/A"),OR(L11="PASS",L11="N/A"),OR(M11="PASS",M11="N/A"),OR(N11="PASS",N11="N/A"),OR(O11="PASS",O11="N/A"),OR(P11="PASS",P11="N/A"),OR(Q11="PASS",Q11="N/A"),OR(R11="PASS",R11="N/A"),OR(S11="PASS",S11="N/A")),1,0)</f>
        <v/>
      </c>
      <c r="U11" s="30">
        <f>IF(J11&lt;&gt;1,"—",MIN(IF(Line_Check!J11=1,MAX(0,MIN(1,IF(Line_Check!P11=0,0,Line_Check!O11/Line_Check!P11))),1),IF(Line_Check!V11=1,MAX(0,MIN(1,IF(Line_Check!AB11=0,0,Line_Check!AA11/Line_Check!AB11))),1),IF(Line_Check!AH11=1,MAX(0,MIN(1,IF(Line_Check!AN11=0,0,Line_Check!AM11/Line_Check!AN11))),1),IF(Line_Check!AT11=1,MAX(0,MIN(1,IF(Line_Check!AZ11=0,0,Line_Check!AY11/Line_Check!AZ11))),1),IF(Line_Check!BF11=1,MAX(0,MIN(1,IF(Line_Check!BL11=0,0,Line_Check!BK11/Line_Check!BL11))),1),IF(Line_Check!BR11=1,MAX(0,MIN(1,IF(Line_Check!BX11=0,0,Line_Check!BW11/Line_Check!BX11))),1),IF(Line_Check!CD11=1,MAX(0,MIN(1,IF(Line_Check!CJ11=0,0,Line_Check!CI11/Line_Check!CJ11))),1),IF(Line_Check!CP11=1,MAX(0,MIN(1,IF(Line_Check!CV11=0,0,Line_Check!CU11/Line_Check!CV11))),1)))</f>
        <v/>
      </c>
      <c r="V11" s="30">
        <f>IF(J11&lt;&gt;1,"—",MIN(IF(Line_Check!J11=1,MAX(0,MIN(1,IF(Line_Check!T11=0,0,Line_Check!S11/Line_Check!T11))),1),IF(Line_Check!V11=1,MAX(0,MIN(1,IF(Line_Check!AF11=0,0,Line_Check!AE11/Line_Check!AF11))),1),IF(Line_Check!AH11=1,MAX(0,MIN(1,IF(Line_Check!AR11=0,0,Line_Check!AQ11/Line_Check!AR11))),1),IF(Line_Check!AT11=1,MAX(0,MIN(1,IF(Line_Check!BD11=0,0,Line_Check!BC11/Line_Check!BD11))),1),IF(Line_Check!BF11=1,MAX(0,MIN(1,IF(Line_Check!BP11=0,0,Line_Check!BO11/Line_Check!BP11))),1),IF(Line_Check!BR11=1,MAX(0,MIN(1,IF(Line_Check!CB11=0,0,Line_Check!CA11/Line_Check!CB11))),1),IF(Line_Check!CD11=1,MAX(0,MIN(1,IF(Line_Check!CN11=0,0,Line_Check!CM11/Line_Check!CN11))),1),IF(Line_Check!CP11=1,MAX(0,MIN(1,IF(Line_Check!CZ11=0,0,Line_Check!CY11/Line_Check!CZ11))),1)))</f>
        <v/>
      </c>
      <c r="W11" s="30">
        <f>IF(J11&lt;&gt;1,"—",IF(SUMIFS($H$5:$H$18,$C$5:$C$18,C11)=0,1,MAX(0,MIN(1,1-H11/SUMIFS($H$5:$H$18,$C$5:$C$18,C11)))))</f>
        <v/>
      </c>
      <c r="X11" s="30">
        <f>IF(J11&lt;&gt;1,"—",MIN(IF(Line_Check!J11=1,MAX(0,MIN(1,IF(Line_Check!P11=0,0,Line_Check!O11/Line_Check!P11))),1),IF(Line_Check!V11=1,MAX(0,MIN(1,IF(Line_Check!AB11=0,0,Line_Check!AA11/Line_Check!AB11))),1),IF(Line_Check!AH11=1,MAX(0,MIN(1,IF(Line_Check!AN11=0,0,Line_Check!AM11/Line_Check!AN11))),1),IF(Line_Check!AT11=1,MAX(0,MIN(1,IF(Line_Check!AZ11=0,0,Line_Check!AY11/Line_Check!AZ11))),1),IF(Line_Check!BF11=1,MAX(0,MIN(1,IF(Line_Check!BL11=0,0,Line_Check!BK11/Line_Check!BL11))),1),IF(Line_Check!BR11=1,MAX(0,MIN(1,IF(Line_Check!BX11=0,0,Line_Check!BW11/Line_Check!BX11))),1),IF(Line_Check!CD11=1,MAX(0,MIN(1,IF(Line_Check!CJ11=0,0,Line_Check!CI11/Line_Check!CJ11))),1),IF(Line_Check!CP11=1,MAX(0,MIN(1,IF(Line_Check!CV11=0,0,Line_Check!CU11/Line_Check!CV11))),1)))</f>
        <v/>
      </c>
      <c r="Y11" s="30">
        <f>IF(J11&lt;&gt;1,"—",MAX(0,MIN(1,G11/3)))</f>
        <v/>
      </c>
      <c r="Z11" s="30">
        <f>IF(T11&lt;&gt;1,"—",Policy!$B$4*U11+Policy!$B$5*V11+Policy!$B$6*W11+Policy!$B$7*X11+Policy!$B$8*Y11)</f>
        <v/>
      </c>
      <c r="AA11" s="25">
        <f>IF(T11&lt;&gt;1,"—",1+COUNTIFS($T$5:$T$18,1,$Z$5:$Z$18,"&gt;"&amp;Z11)+COUNTIFS($T$5:$T$18,1,$Z$5:$Z$18,Z11,$AE$5:$AE$18,"&lt;"&amp;AE11))</f>
        <v/>
      </c>
      <c r="AB11" s="25">
        <f>IF(J11&lt;&gt;1,"—",IF(OR(AND(Line_Check!J11=1,Line_Check!P11=0),AND(Line_Check!V11=1,Line_Check!AB11=0),AND(Line_Check!AH11=1,Line_Check!AN11=0),AND(Line_Check!AT11=1,Line_Check!AZ11=0),AND(Line_Check!BF11=1,Line_Check!BL11=0),AND(Line_Check!BR11=1,Line_Check!BX11=0),AND(Line_Check!CD11=1,Line_Check!CJ11=0),AND(Line_Check!CP11=1,Line_Check!CV11=0)),"RESERVATION_DEFICIT",IF(K11="FAIL","CAPACITY_UNAVAILABLE",IF(L11="FAIL","QUOTA_DEFICIT",IF(OR(M11="FAIL",N11="FAIL",O11="FAIL",P11="FAIL",Q11="FAIL",R11="FAIL",S11="FAIL"),"CAPACITY_UNAVAILABLE",IF(AND(T11=1,U11&lt;Policy!$B$12),"READY_WITH_RISK",IF(T11=1,"READY","CAPACITY_UNAVAILABLE")))))))</f>
        <v/>
      </c>
      <c r="AC11" s="25">
        <f>IF(T11&lt;&gt;1,"—",IF(MIN(IF(Line_Check!J11=1,Line_Check!O11,10^9),IF(Line_Check!V11=1,Line_Check!AA11,10^9),IF(Line_Check!AH11=1,Line_Check!AM11,10^9),IF(Line_Check!AT11=1,Line_Check!AY11,10^9),IF(Line_Check!BF11=1,Line_Check!BK11,10^9),IF(Line_Check!BR11=1,Line_Check!BW11,10^9),IF(Line_Check!CD11=1,Line_Check!CI11,10^9),IF(Line_Check!CP11=1,Line_Check!CU11,10^9))&lt;=MIN(IF(Line_Check!J11=1,Line_Check!U11,10^9),IF(Line_Check!V11=1,Line_Check!AG11,10^9),IF(Line_Check!AH11=1,Line_Check!AS11,10^9),IF(Line_Check!AT11=1,Line_Check!BE11,10^9),IF(Line_Check!BF11=1,Line_Check!BQ11,10^9),IF(Line_Check!BR11=1,Line_Check!CC11,10^9),IF(Line_Check!CD11=1,Line_Check!CO11,10^9),IF(Line_Check!CP11=1,Line_Check!DA11,10^9)),"CAPACITY","QUOTA"))</f>
        <v/>
      </c>
      <c r="AE11" s="36">
        <f>ROW()</f>
        <v/>
      </c>
    </row>
    <row r="12">
      <c r="A12" s="6">
        <f>Line_Check!A12</f>
        <v/>
      </c>
      <c r="B12" s="6">
        <f>Line_Check!B12</f>
        <v/>
      </c>
      <c r="C12" s="15">
        <f>Line_Check!C12</f>
        <v/>
      </c>
      <c r="D12" s="15">
        <f>Line_Check!D12</f>
        <v/>
      </c>
      <c r="E12" s="15">
        <f>Line_Check!E12</f>
        <v/>
      </c>
      <c r="F12" s="15">
        <f>Line_Check!F12</f>
        <v/>
      </c>
      <c r="G12" s="42">
        <f>Line_Check!G12</f>
        <v/>
      </c>
      <c r="H12" s="42">
        <f>Line_Check!H12</f>
        <v/>
      </c>
      <c r="I12" s="43">
        <f>Line_Check!I12</f>
        <v/>
      </c>
      <c r="J12" s="36">
        <f>IF(OR(OR(Request!$B$22=0,Policy!$B$10&lt;&gt;"OK",Request!$B$24&lt;&gt;"OK"),NOT(AND(Allocation!$C$9&lt;&gt;"NONE ELIGIBLE",Allocation!$C$9&lt;&gt;"POLICY_BLOCKED",Allocation!$C$9&lt;&gt;"NO REQUEST"))),0,IF(Request!$B$9="cross-geo",IF(B12=Allocation!$C$9,1,0),IF(AND(C12=Request!$B$4,D12="Standard",B12&lt;&gt;Allocation!$C$9),1,0)))</f>
        <v/>
      </c>
      <c r="K12" s="25">
        <f>IF(MIN(IF(Line_Check!J12=1,IF(Line_Check!O12&gt;=Policy!$B$13*Line_Check!K12,1,0),1),IF(Line_Check!V12=1,IF(Line_Check!AA12&gt;=Policy!$B$13*Line_Check!W12,1,0),1),IF(Line_Check!AH12=1,IF(Line_Check!AM12&gt;=Policy!$B$13*Line_Check!AI12,1,0),1),IF(Line_Check!AT12=1,IF(Line_Check!AY12&gt;=Policy!$B$13*Line_Check!AU12,1,0),1),IF(Line_Check!BF12=1,IF(Line_Check!BK12&gt;=Policy!$B$13*Line_Check!BG12,1,0),1),IF(Line_Check!BR12=1,IF(Line_Check!BW12&gt;=Policy!$B$13*Line_Check!BS12,1,0),1),IF(Line_Check!CD12=1,IF(Line_Check!CI12&gt;=Policy!$B$13*Line_Check!CE12,1,0),1),IF(Line_Check!CP12=1,IF(Line_Check!CU12&gt;=Policy!$B$13*Line_Check!CQ12,1,0),1))=1,"PASS","FAIL")</f>
        <v/>
      </c>
      <c r="L12" s="25">
        <f>IF(MIN(IF(Line_Check!J12=1,IF(AND(Line_Check!S12&gt;=Line_Check!K12,Line_Check!S12-Line_Check!K12&gt;=Policy!$B$14),1,0),1),IF(Line_Check!V12=1,IF(AND(Line_Check!AE12&gt;=Line_Check!W12,Line_Check!AE12-Line_Check!W12&gt;=Policy!$B$14),1,0),1),IF(Line_Check!AH12=1,IF(AND(Line_Check!AQ12&gt;=Line_Check!AI12,Line_Check!AQ12-Line_Check!AI12&gt;=Policy!$B$14),1,0),1),IF(Line_Check!AT12=1,IF(AND(Line_Check!BC12&gt;=Line_Check!AU12,Line_Check!BC12-Line_Check!AU12&gt;=Policy!$B$14),1,0),1),IF(Line_Check!BF12=1,IF(AND(Line_Check!BO12&gt;=Line_Check!BG12,Line_Check!BO12-Line_Check!BG12&gt;=Policy!$B$14),1,0),1),IF(Line_Check!BR12=1,IF(AND(Line_Check!CA12&gt;=Line_Check!BS12,Line_Check!CA12-Line_Check!BS12&gt;=Policy!$B$14),1,0),1),IF(Line_Check!CD12=1,IF(AND(Line_Check!CM12&gt;=Line_Check!CE12,Line_Check!CM12-Line_Check!CE12&gt;=Policy!$B$14),1,0),1),IF(Line_Check!CP12=1,IF(AND(Line_Check!CY12&gt;=Line_Check!CQ12,Line_Check!CY12-Line_Check!CQ12&gt;=Policy!$B$14),1,0),1))=1,"PASS","FAIL")</f>
        <v/>
      </c>
      <c r="M12" s="25">
        <f>IF(G12&gt;=2,"PASS","FAIL")</f>
        <v/>
      </c>
      <c r="N12" s="25" t="inlineStr">
        <is>
          <t>N/A</t>
        </is>
      </c>
      <c r="O12" s="25">
        <f>IF(MIN(IF(Line_Check!J12=1,IF(AND(Line_Check!U12&gt;=Line_Check!K12,Line_Check!U12-Line_Check!K12&gt;=Policy!$B$14),1,0),1),IF(Line_Check!V12=1,IF(AND(Line_Check!AG12&gt;=Line_Check!W12,Line_Check!AG12-Line_Check!W12&gt;=Policy!$B$14),1,0),1),IF(Line_Check!AH12=1,IF(AND(Line_Check!AS12&gt;=Line_Check!AI12,Line_Check!AS12-Line_Check!AI12&gt;=Policy!$B$14),1,0),1),IF(Line_Check!AT12=1,IF(AND(Line_Check!BE12&gt;=Line_Check!AU12,Line_Check!BE12-Line_Check!AU12&gt;=Policy!$B$14),1,0),1),IF(Line_Check!BF12=1,IF(AND(Line_Check!BQ12&gt;=Line_Check!BG12,Line_Check!BQ12-Line_Check!BG12&gt;=Policy!$B$14),1,0),1),IF(Line_Check!BR12=1,IF(AND(Line_Check!CC12&gt;=Line_Check!BS12,Line_Check!CC12-Line_Check!BS12&gt;=Policy!$B$14),1,0),1),IF(Line_Check!CD12=1,IF(AND(Line_Check!CO12&gt;=Line_Check!CE12,Line_Check!CO12-Line_Check!CE12&gt;=Policy!$B$14),1,0),1),IF(Line_Check!CP12=1,IF(AND(Line_Check!DA12&gt;=Line_Check!CQ12,Line_Check!DA12-Line_Check!CQ12&gt;=Policy!$B$14),1,0),1))=1,"PASS","FAIL")</f>
        <v/>
      </c>
      <c r="P12" s="25">
        <f>IF(C12=Request!$B$4,"PASS","FAIL")</f>
        <v/>
      </c>
      <c r="Q12" s="25">
        <f>IF(D12="Standard","PASS","FAIL")</f>
        <v/>
      </c>
      <c r="R12" s="25" t="inlineStr">
        <is>
          <t>N/A</t>
        </is>
      </c>
      <c r="S12" s="25">
        <f>IF(MIN(IF(Line_Check!J12=1,IF(MIN(Line_Check!O12,Line_Check!U12)&gt;=Line_Check!K12,1,0),1),IF(Line_Check!V12=1,IF(MIN(Line_Check!AA12,Line_Check!AG12)&gt;=Line_Check!W12,1,0),1),IF(Line_Check!AH12=1,IF(MIN(Line_Check!AM12,Line_Check!AS12)&gt;=Line_Check!AI12,1,0),1),IF(Line_Check!AT12=1,IF(MIN(Line_Check!AY12,Line_Check!BE12)&gt;=Line_Check!AU12,1,0),1),IF(Line_Check!BF12=1,IF(MIN(Line_Check!BK12,Line_Check!BQ12)&gt;=Line_Check!BG12,1,0),1),IF(Line_Check!BR12=1,IF(MIN(Line_Check!BW12,Line_Check!CC12)&gt;=Line_Check!BS12,1,0),1),IF(Line_Check!CD12=1,IF(MIN(Line_Check!CI12,Line_Check!CO12)&gt;=Line_Check!CE12,1,0),1),IF(Line_Check!CP12=1,IF(MIN(Line_Check!CU12,Line_Check!DA12)&gt;=Line_Check!CQ12,1,0),1))=1,"PASS","FAIL")</f>
        <v/>
      </c>
      <c r="T12" s="36">
        <f>IF(AND(J12=1,OR(K12="PASS",K12="N/A"),OR(L12="PASS",L12="N/A"),OR(M12="PASS",M12="N/A"),OR(N12="PASS",N12="N/A"),OR(O12="PASS",O12="N/A"),OR(P12="PASS",P12="N/A"),OR(Q12="PASS",Q12="N/A"),OR(R12="PASS",R12="N/A"),OR(S12="PASS",S12="N/A")),1,0)</f>
        <v/>
      </c>
      <c r="U12" s="30">
        <f>IF(J12&lt;&gt;1,"—",MIN(IF(Line_Check!J12=1,MAX(0,MIN(1,IF(Line_Check!P12=0,0,Line_Check!O12/Line_Check!P12))),1),IF(Line_Check!V12=1,MAX(0,MIN(1,IF(Line_Check!AB12=0,0,Line_Check!AA12/Line_Check!AB12))),1),IF(Line_Check!AH12=1,MAX(0,MIN(1,IF(Line_Check!AN12=0,0,Line_Check!AM12/Line_Check!AN12))),1),IF(Line_Check!AT12=1,MAX(0,MIN(1,IF(Line_Check!AZ12=0,0,Line_Check!AY12/Line_Check!AZ12))),1),IF(Line_Check!BF12=1,MAX(0,MIN(1,IF(Line_Check!BL12=0,0,Line_Check!BK12/Line_Check!BL12))),1),IF(Line_Check!BR12=1,MAX(0,MIN(1,IF(Line_Check!BX12=0,0,Line_Check!BW12/Line_Check!BX12))),1),IF(Line_Check!CD12=1,MAX(0,MIN(1,IF(Line_Check!CJ12=0,0,Line_Check!CI12/Line_Check!CJ12))),1),IF(Line_Check!CP12=1,MAX(0,MIN(1,IF(Line_Check!CV12=0,0,Line_Check!CU12/Line_Check!CV12))),1)))</f>
        <v/>
      </c>
      <c r="V12" s="30">
        <f>IF(J12&lt;&gt;1,"—",MIN(IF(Line_Check!J12=1,MAX(0,MIN(1,IF(Line_Check!T12=0,0,Line_Check!S12/Line_Check!T12))),1),IF(Line_Check!V12=1,MAX(0,MIN(1,IF(Line_Check!AF12=0,0,Line_Check!AE12/Line_Check!AF12))),1),IF(Line_Check!AH12=1,MAX(0,MIN(1,IF(Line_Check!AR12=0,0,Line_Check!AQ12/Line_Check!AR12))),1),IF(Line_Check!AT12=1,MAX(0,MIN(1,IF(Line_Check!BD12=0,0,Line_Check!BC12/Line_Check!BD12))),1),IF(Line_Check!BF12=1,MAX(0,MIN(1,IF(Line_Check!BP12=0,0,Line_Check!BO12/Line_Check!BP12))),1),IF(Line_Check!BR12=1,MAX(0,MIN(1,IF(Line_Check!CB12=0,0,Line_Check!CA12/Line_Check!CB12))),1),IF(Line_Check!CD12=1,MAX(0,MIN(1,IF(Line_Check!CN12=0,0,Line_Check!CM12/Line_Check!CN12))),1),IF(Line_Check!CP12=1,MAX(0,MIN(1,IF(Line_Check!CZ12=0,0,Line_Check!CY12/Line_Check!CZ12))),1)))</f>
        <v/>
      </c>
      <c r="W12" s="30">
        <f>IF(J12&lt;&gt;1,"—",IF(SUMIFS($H$5:$H$18,$C$5:$C$18,C12)=0,1,MAX(0,MIN(1,1-H12/SUMIFS($H$5:$H$18,$C$5:$C$18,C12)))))</f>
        <v/>
      </c>
      <c r="X12" s="30">
        <f>IF(J12&lt;&gt;1,"—",MIN(IF(Line_Check!J12=1,MAX(0,MIN(1,IF(Line_Check!P12=0,0,Line_Check!O12/Line_Check!P12))),1),IF(Line_Check!V12=1,MAX(0,MIN(1,IF(Line_Check!AB12=0,0,Line_Check!AA12/Line_Check!AB12))),1),IF(Line_Check!AH12=1,MAX(0,MIN(1,IF(Line_Check!AN12=0,0,Line_Check!AM12/Line_Check!AN12))),1),IF(Line_Check!AT12=1,MAX(0,MIN(1,IF(Line_Check!AZ12=0,0,Line_Check!AY12/Line_Check!AZ12))),1),IF(Line_Check!BF12=1,MAX(0,MIN(1,IF(Line_Check!BL12=0,0,Line_Check!BK12/Line_Check!BL12))),1),IF(Line_Check!BR12=1,MAX(0,MIN(1,IF(Line_Check!BX12=0,0,Line_Check!BW12/Line_Check!BX12))),1),IF(Line_Check!CD12=1,MAX(0,MIN(1,IF(Line_Check!CJ12=0,0,Line_Check!CI12/Line_Check!CJ12))),1),IF(Line_Check!CP12=1,MAX(0,MIN(1,IF(Line_Check!CV12=0,0,Line_Check!CU12/Line_Check!CV12))),1)))</f>
        <v/>
      </c>
      <c r="Y12" s="30">
        <f>IF(J12&lt;&gt;1,"—",MAX(0,MIN(1,G12/3)))</f>
        <v/>
      </c>
      <c r="Z12" s="30">
        <f>IF(T12&lt;&gt;1,"—",Policy!$B$4*U12+Policy!$B$5*V12+Policy!$B$6*W12+Policy!$B$7*X12+Policy!$B$8*Y12)</f>
        <v/>
      </c>
      <c r="AA12" s="25">
        <f>IF(T12&lt;&gt;1,"—",1+COUNTIFS($T$5:$T$18,1,$Z$5:$Z$18,"&gt;"&amp;Z12)+COUNTIFS($T$5:$T$18,1,$Z$5:$Z$18,Z12,$AE$5:$AE$18,"&lt;"&amp;AE12))</f>
        <v/>
      </c>
      <c r="AB12" s="25">
        <f>IF(J12&lt;&gt;1,"—",IF(OR(AND(Line_Check!J12=1,Line_Check!P12=0),AND(Line_Check!V12=1,Line_Check!AB12=0),AND(Line_Check!AH12=1,Line_Check!AN12=0),AND(Line_Check!AT12=1,Line_Check!AZ12=0),AND(Line_Check!BF12=1,Line_Check!BL12=0),AND(Line_Check!BR12=1,Line_Check!BX12=0),AND(Line_Check!CD12=1,Line_Check!CJ12=0),AND(Line_Check!CP12=1,Line_Check!CV12=0)),"RESERVATION_DEFICIT",IF(K12="FAIL","CAPACITY_UNAVAILABLE",IF(L12="FAIL","QUOTA_DEFICIT",IF(OR(M12="FAIL",N12="FAIL",O12="FAIL",P12="FAIL",Q12="FAIL",R12="FAIL",S12="FAIL"),"CAPACITY_UNAVAILABLE",IF(AND(T12=1,U12&lt;Policy!$B$12),"READY_WITH_RISK",IF(T12=1,"READY","CAPACITY_UNAVAILABLE")))))))</f>
        <v/>
      </c>
      <c r="AC12" s="25">
        <f>IF(T12&lt;&gt;1,"—",IF(MIN(IF(Line_Check!J12=1,Line_Check!O12,10^9),IF(Line_Check!V12=1,Line_Check!AA12,10^9),IF(Line_Check!AH12=1,Line_Check!AM12,10^9),IF(Line_Check!AT12=1,Line_Check!AY12,10^9),IF(Line_Check!BF12=1,Line_Check!BK12,10^9),IF(Line_Check!BR12=1,Line_Check!BW12,10^9),IF(Line_Check!CD12=1,Line_Check!CI12,10^9),IF(Line_Check!CP12=1,Line_Check!CU12,10^9))&lt;=MIN(IF(Line_Check!J12=1,Line_Check!U12,10^9),IF(Line_Check!V12=1,Line_Check!AG12,10^9),IF(Line_Check!AH12=1,Line_Check!AS12,10^9),IF(Line_Check!AT12=1,Line_Check!BE12,10^9),IF(Line_Check!BF12=1,Line_Check!BQ12,10^9),IF(Line_Check!BR12=1,Line_Check!CC12,10^9),IF(Line_Check!CD12=1,Line_Check!CO12,10^9),IF(Line_Check!CP12=1,Line_Check!DA12,10^9)),"CAPACITY","QUOTA"))</f>
        <v/>
      </c>
      <c r="AE12" s="36">
        <f>ROW()</f>
        <v/>
      </c>
    </row>
    <row r="13">
      <c r="A13" s="6">
        <f>Line_Check!A13</f>
        <v/>
      </c>
      <c r="B13" s="6">
        <f>Line_Check!B13</f>
        <v/>
      </c>
      <c r="C13" s="15">
        <f>Line_Check!C13</f>
        <v/>
      </c>
      <c r="D13" s="15">
        <f>Line_Check!D13</f>
        <v/>
      </c>
      <c r="E13" s="15">
        <f>Line_Check!E13</f>
        <v/>
      </c>
      <c r="F13" s="15">
        <f>Line_Check!F13</f>
        <v/>
      </c>
      <c r="G13" s="42">
        <f>Line_Check!G13</f>
        <v/>
      </c>
      <c r="H13" s="42">
        <f>Line_Check!H13</f>
        <v/>
      </c>
      <c r="I13" s="43">
        <f>Line_Check!I13</f>
        <v/>
      </c>
      <c r="J13" s="36">
        <f>IF(OR(OR(Request!$B$22=0,Policy!$B$10&lt;&gt;"OK",Request!$B$24&lt;&gt;"OK"),NOT(AND(Allocation!$C$9&lt;&gt;"NONE ELIGIBLE",Allocation!$C$9&lt;&gt;"POLICY_BLOCKED",Allocation!$C$9&lt;&gt;"NO REQUEST"))),0,IF(Request!$B$9="cross-geo",IF(B13=Allocation!$C$9,1,0),IF(AND(C13=Request!$B$4,D13="Standard",B13&lt;&gt;Allocation!$C$9),1,0)))</f>
        <v/>
      </c>
      <c r="K13" s="25">
        <f>IF(MIN(IF(Line_Check!J13=1,IF(Line_Check!O13&gt;=Policy!$B$13*Line_Check!K13,1,0),1),IF(Line_Check!V13=1,IF(Line_Check!AA13&gt;=Policy!$B$13*Line_Check!W13,1,0),1),IF(Line_Check!AH13=1,IF(Line_Check!AM13&gt;=Policy!$B$13*Line_Check!AI13,1,0),1),IF(Line_Check!AT13=1,IF(Line_Check!AY13&gt;=Policy!$B$13*Line_Check!AU13,1,0),1),IF(Line_Check!BF13=1,IF(Line_Check!BK13&gt;=Policy!$B$13*Line_Check!BG13,1,0),1),IF(Line_Check!BR13=1,IF(Line_Check!BW13&gt;=Policy!$B$13*Line_Check!BS13,1,0),1),IF(Line_Check!CD13=1,IF(Line_Check!CI13&gt;=Policy!$B$13*Line_Check!CE13,1,0),1),IF(Line_Check!CP13=1,IF(Line_Check!CU13&gt;=Policy!$B$13*Line_Check!CQ13,1,0),1))=1,"PASS","FAIL")</f>
        <v/>
      </c>
      <c r="L13" s="25">
        <f>IF(MIN(IF(Line_Check!J13=1,IF(AND(Line_Check!S13&gt;=Line_Check!K13,Line_Check!S13-Line_Check!K13&gt;=Policy!$B$14),1,0),1),IF(Line_Check!V13=1,IF(AND(Line_Check!AE13&gt;=Line_Check!W13,Line_Check!AE13-Line_Check!W13&gt;=Policy!$B$14),1,0),1),IF(Line_Check!AH13=1,IF(AND(Line_Check!AQ13&gt;=Line_Check!AI13,Line_Check!AQ13-Line_Check!AI13&gt;=Policy!$B$14),1,0),1),IF(Line_Check!AT13=1,IF(AND(Line_Check!BC13&gt;=Line_Check!AU13,Line_Check!BC13-Line_Check!AU13&gt;=Policy!$B$14),1,0),1),IF(Line_Check!BF13=1,IF(AND(Line_Check!BO13&gt;=Line_Check!BG13,Line_Check!BO13-Line_Check!BG13&gt;=Policy!$B$14),1,0),1),IF(Line_Check!BR13=1,IF(AND(Line_Check!CA13&gt;=Line_Check!BS13,Line_Check!CA13-Line_Check!BS13&gt;=Policy!$B$14),1,0),1),IF(Line_Check!CD13=1,IF(AND(Line_Check!CM13&gt;=Line_Check!CE13,Line_Check!CM13-Line_Check!CE13&gt;=Policy!$B$14),1,0),1),IF(Line_Check!CP13=1,IF(AND(Line_Check!CY13&gt;=Line_Check!CQ13,Line_Check!CY13-Line_Check!CQ13&gt;=Policy!$B$14),1,0),1))=1,"PASS","FAIL")</f>
        <v/>
      </c>
      <c r="M13" s="25">
        <f>IF(G13&gt;=2,"PASS","FAIL")</f>
        <v/>
      </c>
      <c r="N13" s="25" t="inlineStr">
        <is>
          <t>N/A</t>
        </is>
      </c>
      <c r="O13" s="25">
        <f>IF(MIN(IF(Line_Check!J13=1,IF(AND(Line_Check!U13&gt;=Line_Check!K13,Line_Check!U13-Line_Check!K13&gt;=Policy!$B$14),1,0),1),IF(Line_Check!V13=1,IF(AND(Line_Check!AG13&gt;=Line_Check!W13,Line_Check!AG13-Line_Check!W13&gt;=Policy!$B$14),1,0),1),IF(Line_Check!AH13=1,IF(AND(Line_Check!AS13&gt;=Line_Check!AI13,Line_Check!AS13-Line_Check!AI13&gt;=Policy!$B$14),1,0),1),IF(Line_Check!AT13=1,IF(AND(Line_Check!BE13&gt;=Line_Check!AU13,Line_Check!BE13-Line_Check!AU13&gt;=Policy!$B$14),1,0),1),IF(Line_Check!BF13=1,IF(AND(Line_Check!BQ13&gt;=Line_Check!BG13,Line_Check!BQ13-Line_Check!BG13&gt;=Policy!$B$14),1,0),1),IF(Line_Check!BR13=1,IF(AND(Line_Check!CC13&gt;=Line_Check!BS13,Line_Check!CC13-Line_Check!BS13&gt;=Policy!$B$14),1,0),1),IF(Line_Check!CD13=1,IF(AND(Line_Check!CO13&gt;=Line_Check!CE13,Line_Check!CO13-Line_Check!CE13&gt;=Policy!$B$14),1,0),1),IF(Line_Check!CP13=1,IF(AND(Line_Check!DA13&gt;=Line_Check!CQ13,Line_Check!DA13-Line_Check!CQ13&gt;=Policy!$B$14),1,0),1))=1,"PASS","FAIL")</f>
        <v/>
      </c>
      <c r="P13" s="25">
        <f>IF(C13=Request!$B$4,"PASS","FAIL")</f>
        <v/>
      </c>
      <c r="Q13" s="25">
        <f>IF(D13="Standard","PASS","FAIL")</f>
        <v/>
      </c>
      <c r="R13" s="25" t="inlineStr">
        <is>
          <t>N/A</t>
        </is>
      </c>
      <c r="S13" s="25">
        <f>IF(MIN(IF(Line_Check!J13=1,IF(MIN(Line_Check!O13,Line_Check!U13)&gt;=Line_Check!K13,1,0),1),IF(Line_Check!V13=1,IF(MIN(Line_Check!AA13,Line_Check!AG13)&gt;=Line_Check!W13,1,0),1),IF(Line_Check!AH13=1,IF(MIN(Line_Check!AM13,Line_Check!AS13)&gt;=Line_Check!AI13,1,0),1),IF(Line_Check!AT13=1,IF(MIN(Line_Check!AY13,Line_Check!BE13)&gt;=Line_Check!AU13,1,0),1),IF(Line_Check!BF13=1,IF(MIN(Line_Check!BK13,Line_Check!BQ13)&gt;=Line_Check!BG13,1,0),1),IF(Line_Check!BR13=1,IF(MIN(Line_Check!BW13,Line_Check!CC13)&gt;=Line_Check!BS13,1,0),1),IF(Line_Check!CD13=1,IF(MIN(Line_Check!CI13,Line_Check!CO13)&gt;=Line_Check!CE13,1,0),1),IF(Line_Check!CP13=1,IF(MIN(Line_Check!CU13,Line_Check!DA13)&gt;=Line_Check!CQ13,1,0),1))=1,"PASS","FAIL")</f>
        <v/>
      </c>
      <c r="T13" s="36">
        <f>IF(AND(J13=1,OR(K13="PASS",K13="N/A"),OR(L13="PASS",L13="N/A"),OR(M13="PASS",M13="N/A"),OR(N13="PASS",N13="N/A"),OR(O13="PASS",O13="N/A"),OR(P13="PASS",P13="N/A"),OR(Q13="PASS",Q13="N/A"),OR(R13="PASS",R13="N/A"),OR(S13="PASS",S13="N/A")),1,0)</f>
        <v/>
      </c>
      <c r="U13" s="30">
        <f>IF(J13&lt;&gt;1,"—",MIN(IF(Line_Check!J13=1,MAX(0,MIN(1,IF(Line_Check!P13=0,0,Line_Check!O13/Line_Check!P13))),1),IF(Line_Check!V13=1,MAX(0,MIN(1,IF(Line_Check!AB13=0,0,Line_Check!AA13/Line_Check!AB13))),1),IF(Line_Check!AH13=1,MAX(0,MIN(1,IF(Line_Check!AN13=0,0,Line_Check!AM13/Line_Check!AN13))),1),IF(Line_Check!AT13=1,MAX(0,MIN(1,IF(Line_Check!AZ13=0,0,Line_Check!AY13/Line_Check!AZ13))),1),IF(Line_Check!BF13=1,MAX(0,MIN(1,IF(Line_Check!BL13=0,0,Line_Check!BK13/Line_Check!BL13))),1),IF(Line_Check!BR13=1,MAX(0,MIN(1,IF(Line_Check!BX13=0,0,Line_Check!BW13/Line_Check!BX13))),1),IF(Line_Check!CD13=1,MAX(0,MIN(1,IF(Line_Check!CJ13=0,0,Line_Check!CI13/Line_Check!CJ13))),1),IF(Line_Check!CP13=1,MAX(0,MIN(1,IF(Line_Check!CV13=0,0,Line_Check!CU13/Line_Check!CV13))),1)))</f>
        <v/>
      </c>
      <c r="V13" s="30">
        <f>IF(J13&lt;&gt;1,"—",MIN(IF(Line_Check!J13=1,MAX(0,MIN(1,IF(Line_Check!T13=0,0,Line_Check!S13/Line_Check!T13))),1),IF(Line_Check!V13=1,MAX(0,MIN(1,IF(Line_Check!AF13=0,0,Line_Check!AE13/Line_Check!AF13))),1),IF(Line_Check!AH13=1,MAX(0,MIN(1,IF(Line_Check!AR13=0,0,Line_Check!AQ13/Line_Check!AR13))),1),IF(Line_Check!AT13=1,MAX(0,MIN(1,IF(Line_Check!BD13=0,0,Line_Check!BC13/Line_Check!BD13))),1),IF(Line_Check!BF13=1,MAX(0,MIN(1,IF(Line_Check!BP13=0,0,Line_Check!BO13/Line_Check!BP13))),1),IF(Line_Check!BR13=1,MAX(0,MIN(1,IF(Line_Check!CB13=0,0,Line_Check!CA13/Line_Check!CB13))),1),IF(Line_Check!CD13=1,MAX(0,MIN(1,IF(Line_Check!CN13=0,0,Line_Check!CM13/Line_Check!CN13))),1),IF(Line_Check!CP13=1,MAX(0,MIN(1,IF(Line_Check!CZ13=0,0,Line_Check!CY13/Line_Check!CZ13))),1)))</f>
        <v/>
      </c>
      <c r="W13" s="30">
        <f>IF(J13&lt;&gt;1,"—",IF(SUMIFS($H$5:$H$18,$C$5:$C$18,C13)=0,1,MAX(0,MIN(1,1-H13/SUMIFS($H$5:$H$18,$C$5:$C$18,C13)))))</f>
        <v/>
      </c>
      <c r="X13" s="30">
        <f>IF(J13&lt;&gt;1,"—",MIN(IF(Line_Check!J13=1,MAX(0,MIN(1,IF(Line_Check!P13=0,0,Line_Check!O13/Line_Check!P13))),1),IF(Line_Check!V13=1,MAX(0,MIN(1,IF(Line_Check!AB13=0,0,Line_Check!AA13/Line_Check!AB13))),1),IF(Line_Check!AH13=1,MAX(0,MIN(1,IF(Line_Check!AN13=0,0,Line_Check!AM13/Line_Check!AN13))),1),IF(Line_Check!AT13=1,MAX(0,MIN(1,IF(Line_Check!AZ13=0,0,Line_Check!AY13/Line_Check!AZ13))),1),IF(Line_Check!BF13=1,MAX(0,MIN(1,IF(Line_Check!BL13=0,0,Line_Check!BK13/Line_Check!BL13))),1),IF(Line_Check!BR13=1,MAX(0,MIN(1,IF(Line_Check!BX13=0,0,Line_Check!BW13/Line_Check!BX13))),1),IF(Line_Check!CD13=1,MAX(0,MIN(1,IF(Line_Check!CJ13=0,0,Line_Check!CI13/Line_Check!CJ13))),1),IF(Line_Check!CP13=1,MAX(0,MIN(1,IF(Line_Check!CV13=0,0,Line_Check!CU13/Line_Check!CV13))),1)))</f>
        <v/>
      </c>
      <c r="Y13" s="30">
        <f>IF(J13&lt;&gt;1,"—",MAX(0,MIN(1,G13/3)))</f>
        <v/>
      </c>
      <c r="Z13" s="30">
        <f>IF(T13&lt;&gt;1,"—",Policy!$B$4*U13+Policy!$B$5*V13+Policy!$B$6*W13+Policy!$B$7*X13+Policy!$B$8*Y13)</f>
        <v/>
      </c>
      <c r="AA13" s="25">
        <f>IF(T13&lt;&gt;1,"—",1+COUNTIFS($T$5:$T$18,1,$Z$5:$Z$18,"&gt;"&amp;Z13)+COUNTIFS($T$5:$T$18,1,$Z$5:$Z$18,Z13,$AE$5:$AE$18,"&lt;"&amp;AE13))</f>
        <v/>
      </c>
      <c r="AB13" s="25">
        <f>IF(J13&lt;&gt;1,"—",IF(OR(AND(Line_Check!J13=1,Line_Check!P13=0),AND(Line_Check!V13=1,Line_Check!AB13=0),AND(Line_Check!AH13=1,Line_Check!AN13=0),AND(Line_Check!AT13=1,Line_Check!AZ13=0),AND(Line_Check!BF13=1,Line_Check!BL13=0),AND(Line_Check!BR13=1,Line_Check!BX13=0),AND(Line_Check!CD13=1,Line_Check!CJ13=0),AND(Line_Check!CP13=1,Line_Check!CV13=0)),"RESERVATION_DEFICIT",IF(K13="FAIL","CAPACITY_UNAVAILABLE",IF(L13="FAIL","QUOTA_DEFICIT",IF(OR(M13="FAIL",N13="FAIL",O13="FAIL",P13="FAIL",Q13="FAIL",R13="FAIL",S13="FAIL"),"CAPACITY_UNAVAILABLE",IF(AND(T13=1,U13&lt;Policy!$B$12),"READY_WITH_RISK",IF(T13=1,"READY","CAPACITY_UNAVAILABLE")))))))</f>
        <v/>
      </c>
      <c r="AC13" s="25">
        <f>IF(T13&lt;&gt;1,"—",IF(MIN(IF(Line_Check!J13=1,Line_Check!O13,10^9),IF(Line_Check!V13=1,Line_Check!AA13,10^9),IF(Line_Check!AH13=1,Line_Check!AM13,10^9),IF(Line_Check!AT13=1,Line_Check!AY13,10^9),IF(Line_Check!BF13=1,Line_Check!BK13,10^9),IF(Line_Check!BR13=1,Line_Check!BW13,10^9),IF(Line_Check!CD13=1,Line_Check!CI13,10^9),IF(Line_Check!CP13=1,Line_Check!CU13,10^9))&lt;=MIN(IF(Line_Check!J13=1,Line_Check!U13,10^9),IF(Line_Check!V13=1,Line_Check!AG13,10^9),IF(Line_Check!AH13=1,Line_Check!AS13,10^9),IF(Line_Check!AT13=1,Line_Check!BE13,10^9),IF(Line_Check!BF13=1,Line_Check!BQ13,10^9),IF(Line_Check!BR13=1,Line_Check!CC13,10^9),IF(Line_Check!CD13=1,Line_Check!CO13,10^9),IF(Line_Check!CP13=1,Line_Check!DA13,10^9)),"CAPACITY","QUOTA"))</f>
        <v/>
      </c>
      <c r="AE13" s="36">
        <f>ROW()</f>
        <v/>
      </c>
    </row>
    <row r="14">
      <c r="A14" s="6">
        <f>Line_Check!A14</f>
        <v/>
      </c>
      <c r="B14" s="6">
        <f>Line_Check!B14</f>
        <v/>
      </c>
      <c r="C14" s="15">
        <f>Line_Check!C14</f>
        <v/>
      </c>
      <c r="D14" s="15">
        <f>Line_Check!D14</f>
        <v/>
      </c>
      <c r="E14" s="15">
        <f>Line_Check!E14</f>
        <v/>
      </c>
      <c r="F14" s="15">
        <f>Line_Check!F14</f>
        <v/>
      </c>
      <c r="G14" s="42">
        <f>Line_Check!G14</f>
        <v/>
      </c>
      <c r="H14" s="42">
        <f>Line_Check!H14</f>
        <v/>
      </c>
      <c r="I14" s="43">
        <f>Line_Check!I14</f>
        <v/>
      </c>
      <c r="J14" s="36">
        <f>IF(OR(OR(Request!$B$22=0,Policy!$B$10&lt;&gt;"OK",Request!$B$24&lt;&gt;"OK"),NOT(AND(Allocation!$C$9&lt;&gt;"NONE ELIGIBLE",Allocation!$C$9&lt;&gt;"POLICY_BLOCKED",Allocation!$C$9&lt;&gt;"NO REQUEST"))),0,IF(Request!$B$9="cross-geo",IF(B14=Allocation!$C$9,1,0),IF(AND(C14=Request!$B$4,D14="Standard",B14&lt;&gt;Allocation!$C$9),1,0)))</f>
        <v/>
      </c>
      <c r="K14" s="25">
        <f>IF(MIN(IF(Line_Check!J14=1,IF(Line_Check!O14&gt;=Policy!$B$13*Line_Check!K14,1,0),1),IF(Line_Check!V14=1,IF(Line_Check!AA14&gt;=Policy!$B$13*Line_Check!W14,1,0),1),IF(Line_Check!AH14=1,IF(Line_Check!AM14&gt;=Policy!$B$13*Line_Check!AI14,1,0),1),IF(Line_Check!AT14=1,IF(Line_Check!AY14&gt;=Policy!$B$13*Line_Check!AU14,1,0),1),IF(Line_Check!BF14=1,IF(Line_Check!BK14&gt;=Policy!$B$13*Line_Check!BG14,1,0),1),IF(Line_Check!BR14=1,IF(Line_Check!BW14&gt;=Policy!$B$13*Line_Check!BS14,1,0),1),IF(Line_Check!CD14=1,IF(Line_Check!CI14&gt;=Policy!$B$13*Line_Check!CE14,1,0),1),IF(Line_Check!CP14=1,IF(Line_Check!CU14&gt;=Policy!$B$13*Line_Check!CQ14,1,0),1))=1,"PASS","FAIL")</f>
        <v/>
      </c>
      <c r="L14" s="25">
        <f>IF(MIN(IF(Line_Check!J14=1,IF(AND(Line_Check!S14&gt;=Line_Check!K14,Line_Check!S14-Line_Check!K14&gt;=Policy!$B$14),1,0),1),IF(Line_Check!V14=1,IF(AND(Line_Check!AE14&gt;=Line_Check!W14,Line_Check!AE14-Line_Check!W14&gt;=Policy!$B$14),1,0),1),IF(Line_Check!AH14=1,IF(AND(Line_Check!AQ14&gt;=Line_Check!AI14,Line_Check!AQ14-Line_Check!AI14&gt;=Policy!$B$14),1,0),1),IF(Line_Check!AT14=1,IF(AND(Line_Check!BC14&gt;=Line_Check!AU14,Line_Check!BC14-Line_Check!AU14&gt;=Policy!$B$14),1,0),1),IF(Line_Check!BF14=1,IF(AND(Line_Check!BO14&gt;=Line_Check!BG14,Line_Check!BO14-Line_Check!BG14&gt;=Policy!$B$14),1,0),1),IF(Line_Check!BR14=1,IF(AND(Line_Check!CA14&gt;=Line_Check!BS14,Line_Check!CA14-Line_Check!BS14&gt;=Policy!$B$14),1,0),1),IF(Line_Check!CD14=1,IF(AND(Line_Check!CM14&gt;=Line_Check!CE14,Line_Check!CM14-Line_Check!CE14&gt;=Policy!$B$14),1,0),1),IF(Line_Check!CP14=1,IF(AND(Line_Check!CY14&gt;=Line_Check!CQ14,Line_Check!CY14-Line_Check!CQ14&gt;=Policy!$B$14),1,0),1))=1,"PASS","FAIL")</f>
        <v/>
      </c>
      <c r="M14" s="25">
        <f>IF(G14&gt;=2,"PASS","FAIL")</f>
        <v/>
      </c>
      <c r="N14" s="25" t="inlineStr">
        <is>
          <t>N/A</t>
        </is>
      </c>
      <c r="O14" s="25">
        <f>IF(MIN(IF(Line_Check!J14=1,IF(AND(Line_Check!U14&gt;=Line_Check!K14,Line_Check!U14-Line_Check!K14&gt;=Policy!$B$14),1,0),1),IF(Line_Check!V14=1,IF(AND(Line_Check!AG14&gt;=Line_Check!W14,Line_Check!AG14-Line_Check!W14&gt;=Policy!$B$14),1,0),1),IF(Line_Check!AH14=1,IF(AND(Line_Check!AS14&gt;=Line_Check!AI14,Line_Check!AS14-Line_Check!AI14&gt;=Policy!$B$14),1,0),1),IF(Line_Check!AT14=1,IF(AND(Line_Check!BE14&gt;=Line_Check!AU14,Line_Check!BE14-Line_Check!AU14&gt;=Policy!$B$14),1,0),1),IF(Line_Check!BF14=1,IF(AND(Line_Check!BQ14&gt;=Line_Check!BG14,Line_Check!BQ14-Line_Check!BG14&gt;=Policy!$B$14),1,0),1),IF(Line_Check!BR14=1,IF(AND(Line_Check!CC14&gt;=Line_Check!BS14,Line_Check!CC14-Line_Check!BS14&gt;=Policy!$B$14),1,0),1),IF(Line_Check!CD14=1,IF(AND(Line_Check!CO14&gt;=Line_Check!CE14,Line_Check!CO14-Line_Check!CE14&gt;=Policy!$B$14),1,0),1),IF(Line_Check!CP14=1,IF(AND(Line_Check!DA14&gt;=Line_Check!CQ14,Line_Check!DA14-Line_Check!CQ14&gt;=Policy!$B$14),1,0),1))=1,"PASS","FAIL")</f>
        <v/>
      </c>
      <c r="P14" s="25">
        <f>IF(C14=Request!$B$4,"PASS","FAIL")</f>
        <v/>
      </c>
      <c r="Q14" s="25">
        <f>IF(D14="Standard","PASS","FAIL")</f>
        <v/>
      </c>
      <c r="R14" s="25" t="inlineStr">
        <is>
          <t>N/A</t>
        </is>
      </c>
      <c r="S14" s="25">
        <f>IF(MIN(IF(Line_Check!J14=1,IF(MIN(Line_Check!O14,Line_Check!U14)&gt;=Line_Check!K14,1,0),1),IF(Line_Check!V14=1,IF(MIN(Line_Check!AA14,Line_Check!AG14)&gt;=Line_Check!W14,1,0),1),IF(Line_Check!AH14=1,IF(MIN(Line_Check!AM14,Line_Check!AS14)&gt;=Line_Check!AI14,1,0),1),IF(Line_Check!AT14=1,IF(MIN(Line_Check!AY14,Line_Check!BE14)&gt;=Line_Check!AU14,1,0),1),IF(Line_Check!BF14=1,IF(MIN(Line_Check!BK14,Line_Check!BQ14)&gt;=Line_Check!BG14,1,0),1),IF(Line_Check!BR14=1,IF(MIN(Line_Check!BW14,Line_Check!CC14)&gt;=Line_Check!BS14,1,0),1),IF(Line_Check!CD14=1,IF(MIN(Line_Check!CI14,Line_Check!CO14)&gt;=Line_Check!CE14,1,0),1),IF(Line_Check!CP14=1,IF(MIN(Line_Check!CU14,Line_Check!DA14)&gt;=Line_Check!CQ14,1,0),1))=1,"PASS","FAIL")</f>
        <v/>
      </c>
      <c r="T14" s="36">
        <f>IF(AND(J14=1,OR(K14="PASS",K14="N/A"),OR(L14="PASS",L14="N/A"),OR(M14="PASS",M14="N/A"),OR(N14="PASS",N14="N/A"),OR(O14="PASS",O14="N/A"),OR(P14="PASS",P14="N/A"),OR(Q14="PASS",Q14="N/A"),OR(R14="PASS",R14="N/A"),OR(S14="PASS",S14="N/A")),1,0)</f>
        <v/>
      </c>
      <c r="U14" s="30">
        <f>IF(J14&lt;&gt;1,"—",MIN(IF(Line_Check!J14=1,MAX(0,MIN(1,IF(Line_Check!P14=0,0,Line_Check!O14/Line_Check!P14))),1),IF(Line_Check!V14=1,MAX(0,MIN(1,IF(Line_Check!AB14=0,0,Line_Check!AA14/Line_Check!AB14))),1),IF(Line_Check!AH14=1,MAX(0,MIN(1,IF(Line_Check!AN14=0,0,Line_Check!AM14/Line_Check!AN14))),1),IF(Line_Check!AT14=1,MAX(0,MIN(1,IF(Line_Check!AZ14=0,0,Line_Check!AY14/Line_Check!AZ14))),1),IF(Line_Check!BF14=1,MAX(0,MIN(1,IF(Line_Check!BL14=0,0,Line_Check!BK14/Line_Check!BL14))),1),IF(Line_Check!BR14=1,MAX(0,MIN(1,IF(Line_Check!BX14=0,0,Line_Check!BW14/Line_Check!BX14))),1),IF(Line_Check!CD14=1,MAX(0,MIN(1,IF(Line_Check!CJ14=0,0,Line_Check!CI14/Line_Check!CJ14))),1),IF(Line_Check!CP14=1,MAX(0,MIN(1,IF(Line_Check!CV14=0,0,Line_Check!CU14/Line_Check!CV14))),1)))</f>
        <v/>
      </c>
      <c r="V14" s="30">
        <f>IF(J14&lt;&gt;1,"—",MIN(IF(Line_Check!J14=1,MAX(0,MIN(1,IF(Line_Check!T14=0,0,Line_Check!S14/Line_Check!T14))),1),IF(Line_Check!V14=1,MAX(0,MIN(1,IF(Line_Check!AF14=0,0,Line_Check!AE14/Line_Check!AF14))),1),IF(Line_Check!AH14=1,MAX(0,MIN(1,IF(Line_Check!AR14=0,0,Line_Check!AQ14/Line_Check!AR14))),1),IF(Line_Check!AT14=1,MAX(0,MIN(1,IF(Line_Check!BD14=0,0,Line_Check!BC14/Line_Check!BD14))),1),IF(Line_Check!BF14=1,MAX(0,MIN(1,IF(Line_Check!BP14=0,0,Line_Check!BO14/Line_Check!BP14))),1),IF(Line_Check!BR14=1,MAX(0,MIN(1,IF(Line_Check!CB14=0,0,Line_Check!CA14/Line_Check!CB14))),1),IF(Line_Check!CD14=1,MAX(0,MIN(1,IF(Line_Check!CN14=0,0,Line_Check!CM14/Line_Check!CN14))),1),IF(Line_Check!CP14=1,MAX(0,MIN(1,IF(Line_Check!CZ14=0,0,Line_Check!CY14/Line_Check!CZ14))),1)))</f>
        <v/>
      </c>
      <c r="W14" s="30">
        <f>IF(J14&lt;&gt;1,"—",IF(SUMIFS($H$5:$H$18,$C$5:$C$18,C14)=0,1,MAX(0,MIN(1,1-H14/SUMIFS($H$5:$H$18,$C$5:$C$18,C14)))))</f>
        <v/>
      </c>
      <c r="X14" s="30">
        <f>IF(J14&lt;&gt;1,"—",MIN(IF(Line_Check!J14=1,MAX(0,MIN(1,IF(Line_Check!P14=0,0,Line_Check!O14/Line_Check!P14))),1),IF(Line_Check!V14=1,MAX(0,MIN(1,IF(Line_Check!AB14=0,0,Line_Check!AA14/Line_Check!AB14))),1),IF(Line_Check!AH14=1,MAX(0,MIN(1,IF(Line_Check!AN14=0,0,Line_Check!AM14/Line_Check!AN14))),1),IF(Line_Check!AT14=1,MAX(0,MIN(1,IF(Line_Check!AZ14=0,0,Line_Check!AY14/Line_Check!AZ14))),1),IF(Line_Check!BF14=1,MAX(0,MIN(1,IF(Line_Check!BL14=0,0,Line_Check!BK14/Line_Check!BL14))),1),IF(Line_Check!BR14=1,MAX(0,MIN(1,IF(Line_Check!BX14=0,0,Line_Check!BW14/Line_Check!BX14))),1),IF(Line_Check!CD14=1,MAX(0,MIN(1,IF(Line_Check!CJ14=0,0,Line_Check!CI14/Line_Check!CJ14))),1),IF(Line_Check!CP14=1,MAX(0,MIN(1,IF(Line_Check!CV14=0,0,Line_Check!CU14/Line_Check!CV14))),1)))</f>
        <v/>
      </c>
      <c r="Y14" s="30">
        <f>IF(J14&lt;&gt;1,"—",MAX(0,MIN(1,G14/3)))</f>
        <v/>
      </c>
      <c r="Z14" s="30">
        <f>IF(T14&lt;&gt;1,"—",Policy!$B$4*U14+Policy!$B$5*V14+Policy!$B$6*W14+Policy!$B$7*X14+Policy!$B$8*Y14)</f>
        <v/>
      </c>
      <c r="AA14" s="25">
        <f>IF(T14&lt;&gt;1,"—",1+COUNTIFS($T$5:$T$18,1,$Z$5:$Z$18,"&gt;"&amp;Z14)+COUNTIFS($T$5:$T$18,1,$Z$5:$Z$18,Z14,$AE$5:$AE$18,"&lt;"&amp;AE14))</f>
        <v/>
      </c>
      <c r="AB14" s="25">
        <f>IF(J14&lt;&gt;1,"—",IF(OR(AND(Line_Check!J14=1,Line_Check!P14=0),AND(Line_Check!V14=1,Line_Check!AB14=0),AND(Line_Check!AH14=1,Line_Check!AN14=0),AND(Line_Check!AT14=1,Line_Check!AZ14=0),AND(Line_Check!BF14=1,Line_Check!BL14=0),AND(Line_Check!BR14=1,Line_Check!BX14=0),AND(Line_Check!CD14=1,Line_Check!CJ14=0),AND(Line_Check!CP14=1,Line_Check!CV14=0)),"RESERVATION_DEFICIT",IF(K14="FAIL","CAPACITY_UNAVAILABLE",IF(L14="FAIL","QUOTA_DEFICIT",IF(OR(M14="FAIL",N14="FAIL",O14="FAIL",P14="FAIL",Q14="FAIL",R14="FAIL",S14="FAIL"),"CAPACITY_UNAVAILABLE",IF(AND(T14=1,U14&lt;Policy!$B$12),"READY_WITH_RISK",IF(T14=1,"READY","CAPACITY_UNAVAILABLE")))))))</f>
        <v/>
      </c>
      <c r="AC14" s="25">
        <f>IF(T14&lt;&gt;1,"—",IF(MIN(IF(Line_Check!J14=1,Line_Check!O14,10^9),IF(Line_Check!V14=1,Line_Check!AA14,10^9),IF(Line_Check!AH14=1,Line_Check!AM14,10^9),IF(Line_Check!AT14=1,Line_Check!AY14,10^9),IF(Line_Check!BF14=1,Line_Check!BK14,10^9),IF(Line_Check!BR14=1,Line_Check!BW14,10^9),IF(Line_Check!CD14=1,Line_Check!CI14,10^9),IF(Line_Check!CP14=1,Line_Check!CU14,10^9))&lt;=MIN(IF(Line_Check!J14=1,Line_Check!U14,10^9),IF(Line_Check!V14=1,Line_Check!AG14,10^9),IF(Line_Check!AH14=1,Line_Check!AS14,10^9),IF(Line_Check!AT14=1,Line_Check!BE14,10^9),IF(Line_Check!BF14=1,Line_Check!BQ14,10^9),IF(Line_Check!BR14=1,Line_Check!CC14,10^9),IF(Line_Check!CD14=1,Line_Check!CO14,10^9),IF(Line_Check!CP14=1,Line_Check!DA14,10^9)),"CAPACITY","QUOTA"))</f>
        <v/>
      </c>
      <c r="AE14" s="36">
        <f>ROW()</f>
        <v/>
      </c>
    </row>
    <row r="15">
      <c r="A15" s="6">
        <f>Line_Check!A15</f>
        <v/>
      </c>
      <c r="B15" s="6">
        <f>Line_Check!B15</f>
        <v/>
      </c>
      <c r="C15" s="15">
        <f>Line_Check!C15</f>
        <v/>
      </c>
      <c r="D15" s="15">
        <f>Line_Check!D15</f>
        <v/>
      </c>
      <c r="E15" s="15">
        <f>Line_Check!E15</f>
        <v/>
      </c>
      <c r="F15" s="15">
        <f>Line_Check!F15</f>
        <v/>
      </c>
      <c r="G15" s="42">
        <f>Line_Check!G15</f>
        <v/>
      </c>
      <c r="H15" s="42">
        <f>Line_Check!H15</f>
        <v/>
      </c>
      <c r="I15" s="43">
        <f>Line_Check!I15</f>
        <v/>
      </c>
      <c r="J15" s="36">
        <f>IF(OR(OR(Request!$B$22=0,Policy!$B$10&lt;&gt;"OK",Request!$B$24&lt;&gt;"OK"),NOT(AND(Allocation!$C$9&lt;&gt;"NONE ELIGIBLE",Allocation!$C$9&lt;&gt;"POLICY_BLOCKED",Allocation!$C$9&lt;&gt;"NO REQUEST"))),0,IF(Request!$B$9="cross-geo",IF(B15=Allocation!$C$9,1,0),IF(AND(C15=Request!$B$4,D15="Standard",B15&lt;&gt;Allocation!$C$9),1,0)))</f>
        <v/>
      </c>
      <c r="K15" s="25">
        <f>IF(MIN(IF(Line_Check!J15=1,IF(Line_Check!O15&gt;=Policy!$B$13*Line_Check!K15,1,0),1),IF(Line_Check!V15=1,IF(Line_Check!AA15&gt;=Policy!$B$13*Line_Check!W15,1,0),1),IF(Line_Check!AH15=1,IF(Line_Check!AM15&gt;=Policy!$B$13*Line_Check!AI15,1,0),1),IF(Line_Check!AT15=1,IF(Line_Check!AY15&gt;=Policy!$B$13*Line_Check!AU15,1,0),1),IF(Line_Check!BF15=1,IF(Line_Check!BK15&gt;=Policy!$B$13*Line_Check!BG15,1,0),1),IF(Line_Check!BR15=1,IF(Line_Check!BW15&gt;=Policy!$B$13*Line_Check!BS15,1,0),1),IF(Line_Check!CD15=1,IF(Line_Check!CI15&gt;=Policy!$B$13*Line_Check!CE15,1,0),1),IF(Line_Check!CP15=1,IF(Line_Check!CU15&gt;=Policy!$B$13*Line_Check!CQ15,1,0),1))=1,"PASS","FAIL")</f>
        <v/>
      </c>
      <c r="L15" s="25">
        <f>IF(MIN(IF(Line_Check!J15=1,IF(AND(Line_Check!S15&gt;=Line_Check!K15,Line_Check!S15-Line_Check!K15&gt;=Policy!$B$14),1,0),1),IF(Line_Check!V15=1,IF(AND(Line_Check!AE15&gt;=Line_Check!W15,Line_Check!AE15-Line_Check!W15&gt;=Policy!$B$14),1,0),1),IF(Line_Check!AH15=1,IF(AND(Line_Check!AQ15&gt;=Line_Check!AI15,Line_Check!AQ15-Line_Check!AI15&gt;=Policy!$B$14),1,0),1),IF(Line_Check!AT15=1,IF(AND(Line_Check!BC15&gt;=Line_Check!AU15,Line_Check!BC15-Line_Check!AU15&gt;=Policy!$B$14),1,0),1),IF(Line_Check!BF15=1,IF(AND(Line_Check!BO15&gt;=Line_Check!BG15,Line_Check!BO15-Line_Check!BG15&gt;=Policy!$B$14),1,0),1),IF(Line_Check!BR15=1,IF(AND(Line_Check!CA15&gt;=Line_Check!BS15,Line_Check!CA15-Line_Check!BS15&gt;=Policy!$B$14),1,0),1),IF(Line_Check!CD15=1,IF(AND(Line_Check!CM15&gt;=Line_Check!CE15,Line_Check!CM15-Line_Check!CE15&gt;=Policy!$B$14),1,0),1),IF(Line_Check!CP15=1,IF(AND(Line_Check!CY15&gt;=Line_Check!CQ15,Line_Check!CY15-Line_Check!CQ15&gt;=Policy!$B$14),1,0),1))=1,"PASS","FAIL")</f>
        <v/>
      </c>
      <c r="M15" s="25">
        <f>IF(G15&gt;=2,"PASS","FAIL")</f>
        <v/>
      </c>
      <c r="N15" s="25" t="inlineStr">
        <is>
          <t>N/A</t>
        </is>
      </c>
      <c r="O15" s="25">
        <f>IF(MIN(IF(Line_Check!J15=1,IF(AND(Line_Check!U15&gt;=Line_Check!K15,Line_Check!U15-Line_Check!K15&gt;=Policy!$B$14),1,0),1),IF(Line_Check!V15=1,IF(AND(Line_Check!AG15&gt;=Line_Check!W15,Line_Check!AG15-Line_Check!W15&gt;=Policy!$B$14),1,0),1),IF(Line_Check!AH15=1,IF(AND(Line_Check!AS15&gt;=Line_Check!AI15,Line_Check!AS15-Line_Check!AI15&gt;=Policy!$B$14),1,0),1),IF(Line_Check!AT15=1,IF(AND(Line_Check!BE15&gt;=Line_Check!AU15,Line_Check!BE15-Line_Check!AU15&gt;=Policy!$B$14),1,0),1),IF(Line_Check!BF15=1,IF(AND(Line_Check!BQ15&gt;=Line_Check!BG15,Line_Check!BQ15-Line_Check!BG15&gt;=Policy!$B$14),1,0),1),IF(Line_Check!BR15=1,IF(AND(Line_Check!CC15&gt;=Line_Check!BS15,Line_Check!CC15-Line_Check!BS15&gt;=Policy!$B$14),1,0),1),IF(Line_Check!CD15=1,IF(AND(Line_Check!CO15&gt;=Line_Check!CE15,Line_Check!CO15-Line_Check!CE15&gt;=Policy!$B$14),1,0),1),IF(Line_Check!CP15=1,IF(AND(Line_Check!DA15&gt;=Line_Check!CQ15,Line_Check!DA15-Line_Check!CQ15&gt;=Policy!$B$14),1,0),1))=1,"PASS","FAIL")</f>
        <v/>
      </c>
      <c r="P15" s="25">
        <f>IF(C15=Request!$B$4,"PASS","FAIL")</f>
        <v/>
      </c>
      <c r="Q15" s="25">
        <f>IF(D15="Standard","PASS","FAIL")</f>
        <v/>
      </c>
      <c r="R15" s="25" t="inlineStr">
        <is>
          <t>N/A</t>
        </is>
      </c>
      <c r="S15" s="25">
        <f>IF(MIN(IF(Line_Check!J15=1,IF(MIN(Line_Check!O15,Line_Check!U15)&gt;=Line_Check!K15,1,0),1),IF(Line_Check!V15=1,IF(MIN(Line_Check!AA15,Line_Check!AG15)&gt;=Line_Check!W15,1,0),1),IF(Line_Check!AH15=1,IF(MIN(Line_Check!AM15,Line_Check!AS15)&gt;=Line_Check!AI15,1,0),1),IF(Line_Check!AT15=1,IF(MIN(Line_Check!AY15,Line_Check!BE15)&gt;=Line_Check!AU15,1,0),1),IF(Line_Check!BF15=1,IF(MIN(Line_Check!BK15,Line_Check!BQ15)&gt;=Line_Check!BG15,1,0),1),IF(Line_Check!BR15=1,IF(MIN(Line_Check!BW15,Line_Check!CC15)&gt;=Line_Check!BS15,1,0),1),IF(Line_Check!CD15=1,IF(MIN(Line_Check!CI15,Line_Check!CO15)&gt;=Line_Check!CE15,1,0),1),IF(Line_Check!CP15=1,IF(MIN(Line_Check!CU15,Line_Check!DA15)&gt;=Line_Check!CQ15,1,0),1))=1,"PASS","FAIL")</f>
        <v/>
      </c>
      <c r="T15" s="36">
        <f>IF(AND(J15=1,OR(K15="PASS",K15="N/A"),OR(L15="PASS",L15="N/A"),OR(M15="PASS",M15="N/A"),OR(N15="PASS",N15="N/A"),OR(O15="PASS",O15="N/A"),OR(P15="PASS",P15="N/A"),OR(Q15="PASS",Q15="N/A"),OR(R15="PASS",R15="N/A"),OR(S15="PASS",S15="N/A")),1,0)</f>
        <v/>
      </c>
      <c r="U15" s="30">
        <f>IF(J15&lt;&gt;1,"—",MIN(IF(Line_Check!J15=1,MAX(0,MIN(1,IF(Line_Check!P15=0,0,Line_Check!O15/Line_Check!P15))),1),IF(Line_Check!V15=1,MAX(0,MIN(1,IF(Line_Check!AB15=0,0,Line_Check!AA15/Line_Check!AB15))),1),IF(Line_Check!AH15=1,MAX(0,MIN(1,IF(Line_Check!AN15=0,0,Line_Check!AM15/Line_Check!AN15))),1),IF(Line_Check!AT15=1,MAX(0,MIN(1,IF(Line_Check!AZ15=0,0,Line_Check!AY15/Line_Check!AZ15))),1),IF(Line_Check!BF15=1,MAX(0,MIN(1,IF(Line_Check!BL15=0,0,Line_Check!BK15/Line_Check!BL15))),1),IF(Line_Check!BR15=1,MAX(0,MIN(1,IF(Line_Check!BX15=0,0,Line_Check!BW15/Line_Check!BX15))),1),IF(Line_Check!CD15=1,MAX(0,MIN(1,IF(Line_Check!CJ15=0,0,Line_Check!CI15/Line_Check!CJ15))),1),IF(Line_Check!CP15=1,MAX(0,MIN(1,IF(Line_Check!CV15=0,0,Line_Check!CU15/Line_Check!CV15))),1)))</f>
        <v/>
      </c>
      <c r="V15" s="30">
        <f>IF(J15&lt;&gt;1,"—",MIN(IF(Line_Check!J15=1,MAX(0,MIN(1,IF(Line_Check!T15=0,0,Line_Check!S15/Line_Check!T15))),1),IF(Line_Check!V15=1,MAX(0,MIN(1,IF(Line_Check!AF15=0,0,Line_Check!AE15/Line_Check!AF15))),1),IF(Line_Check!AH15=1,MAX(0,MIN(1,IF(Line_Check!AR15=0,0,Line_Check!AQ15/Line_Check!AR15))),1),IF(Line_Check!AT15=1,MAX(0,MIN(1,IF(Line_Check!BD15=0,0,Line_Check!BC15/Line_Check!BD15))),1),IF(Line_Check!BF15=1,MAX(0,MIN(1,IF(Line_Check!BP15=0,0,Line_Check!BO15/Line_Check!BP15))),1),IF(Line_Check!BR15=1,MAX(0,MIN(1,IF(Line_Check!CB15=0,0,Line_Check!CA15/Line_Check!CB15))),1),IF(Line_Check!CD15=1,MAX(0,MIN(1,IF(Line_Check!CN15=0,0,Line_Check!CM15/Line_Check!CN15))),1),IF(Line_Check!CP15=1,MAX(0,MIN(1,IF(Line_Check!CZ15=0,0,Line_Check!CY15/Line_Check!CZ15))),1)))</f>
        <v/>
      </c>
      <c r="W15" s="30">
        <f>IF(J15&lt;&gt;1,"—",IF(SUMIFS($H$5:$H$18,$C$5:$C$18,C15)=0,1,MAX(0,MIN(1,1-H15/SUMIFS($H$5:$H$18,$C$5:$C$18,C15)))))</f>
        <v/>
      </c>
      <c r="X15" s="30">
        <f>IF(J15&lt;&gt;1,"—",MIN(IF(Line_Check!J15=1,MAX(0,MIN(1,IF(Line_Check!P15=0,0,Line_Check!O15/Line_Check!P15))),1),IF(Line_Check!V15=1,MAX(0,MIN(1,IF(Line_Check!AB15=0,0,Line_Check!AA15/Line_Check!AB15))),1),IF(Line_Check!AH15=1,MAX(0,MIN(1,IF(Line_Check!AN15=0,0,Line_Check!AM15/Line_Check!AN15))),1),IF(Line_Check!AT15=1,MAX(0,MIN(1,IF(Line_Check!AZ15=0,0,Line_Check!AY15/Line_Check!AZ15))),1),IF(Line_Check!BF15=1,MAX(0,MIN(1,IF(Line_Check!BL15=0,0,Line_Check!BK15/Line_Check!BL15))),1),IF(Line_Check!BR15=1,MAX(0,MIN(1,IF(Line_Check!BX15=0,0,Line_Check!BW15/Line_Check!BX15))),1),IF(Line_Check!CD15=1,MAX(0,MIN(1,IF(Line_Check!CJ15=0,0,Line_Check!CI15/Line_Check!CJ15))),1),IF(Line_Check!CP15=1,MAX(0,MIN(1,IF(Line_Check!CV15=0,0,Line_Check!CU15/Line_Check!CV15))),1)))</f>
        <v/>
      </c>
      <c r="Y15" s="30">
        <f>IF(J15&lt;&gt;1,"—",MAX(0,MIN(1,G15/3)))</f>
        <v/>
      </c>
      <c r="Z15" s="30">
        <f>IF(T15&lt;&gt;1,"—",Policy!$B$4*U15+Policy!$B$5*V15+Policy!$B$6*W15+Policy!$B$7*X15+Policy!$B$8*Y15)</f>
        <v/>
      </c>
      <c r="AA15" s="25">
        <f>IF(T15&lt;&gt;1,"—",1+COUNTIFS($T$5:$T$18,1,$Z$5:$Z$18,"&gt;"&amp;Z15)+COUNTIFS($T$5:$T$18,1,$Z$5:$Z$18,Z15,$AE$5:$AE$18,"&lt;"&amp;AE15))</f>
        <v/>
      </c>
      <c r="AB15" s="25">
        <f>IF(J15&lt;&gt;1,"—",IF(OR(AND(Line_Check!J15=1,Line_Check!P15=0),AND(Line_Check!V15=1,Line_Check!AB15=0),AND(Line_Check!AH15=1,Line_Check!AN15=0),AND(Line_Check!AT15=1,Line_Check!AZ15=0),AND(Line_Check!BF15=1,Line_Check!BL15=0),AND(Line_Check!BR15=1,Line_Check!BX15=0),AND(Line_Check!CD15=1,Line_Check!CJ15=0),AND(Line_Check!CP15=1,Line_Check!CV15=0)),"RESERVATION_DEFICIT",IF(K15="FAIL","CAPACITY_UNAVAILABLE",IF(L15="FAIL","QUOTA_DEFICIT",IF(OR(M15="FAIL",N15="FAIL",O15="FAIL",P15="FAIL",Q15="FAIL",R15="FAIL",S15="FAIL"),"CAPACITY_UNAVAILABLE",IF(AND(T15=1,U15&lt;Policy!$B$12),"READY_WITH_RISK",IF(T15=1,"READY","CAPACITY_UNAVAILABLE")))))))</f>
        <v/>
      </c>
      <c r="AC15" s="25">
        <f>IF(T15&lt;&gt;1,"—",IF(MIN(IF(Line_Check!J15=1,Line_Check!O15,10^9),IF(Line_Check!V15=1,Line_Check!AA15,10^9),IF(Line_Check!AH15=1,Line_Check!AM15,10^9),IF(Line_Check!AT15=1,Line_Check!AY15,10^9),IF(Line_Check!BF15=1,Line_Check!BK15,10^9),IF(Line_Check!BR15=1,Line_Check!BW15,10^9),IF(Line_Check!CD15=1,Line_Check!CI15,10^9),IF(Line_Check!CP15=1,Line_Check!CU15,10^9))&lt;=MIN(IF(Line_Check!J15=1,Line_Check!U15,10^9),IF(Line_Check!V15=1,Line_Check!AG15,10^9),IF(Line_Check!AH15=1,Line_Check!AS15,10^9),IF(Line_Check!AT15=1,Line_Check!BE15,10^9),IF(Line_Check!BF15=1,Line_Check!BQ15,10^9),IF(Line_Check!BR15=1,Line_Check!CC15,10^9),IF(Line_Check!CD15=1,Line_Check!CO15,10^9),IF(Line_Check!CP15=1,Line_Check!DA15,10^9)),"CAPACITY","QUOTA"))</f>
        <v/>
      </c>
      <c r="AE15" s="36">
        <f>ROW()</f>
        <v/>
      </c>
    </row>
    <row r="16">
      <c r="A16" s="6">
        <f>Line_Check!A16</f>
        <v/>
      </c>
      <c r="B16" s="6">
        <f>Line_Check!B16</f>
        <v/>
      </c>
      <c r="C16" s="15">
        <f>Line_Check!C16</f>
        <v/>
      </c>
      <c r="D16" s="15">
        <f>Line_Check!D16</f>
        <v/>
      </c>
      <c r="E16" s="15">
        <f>Line_Check!E16</f>
        <v/>
      </c>
      <c r="F16" s="15">
        <f>Line_Check!F16</f>
        <v/>
      </c>
      <c r="G16" s="42">
        <f>Line_Check!G16</f>
        <v/>
      </c>
      <c r="H16" s="42">
        <f>Line_Check!H16</f>
        <v/>
      </c>
      <c r="I16" s="43">
        <f>Line_Check!I16</f>
        <v/>
      </c>
      <c r="J16" s="36">
        <f>IF(OR(OR(Request!$B$22=0,Policy!$B$10&lt;&gt;"OK",Request!$B$24&lt;&gt;"OK"),NOT(AND(Allocation!$C$9&lt;&gt;"NONE ELIGIBLE",Allocation!$C$9&lt;&gt;"POLICY_BLOCKED",Allocation!$C$9&lt;&gt;"NO REQUEST"))),0,IF(Request!$B$9="cross-geo",IF(B16=Allocation!$C$9,1,0),IF(AND(C16=Request!$B$4,D16="Standard",B16&lt;&gt;Allocation!$C$9),1,0)))</f>
        <v/>
      </c>
      <c r="K16" s="25">
        <f>IF(MIN(IF(Line_Check!J16=1,IF(Line_Check!O16&gt;=Policy!$B$13*Line_Check!K16,1,0),1),IF(Line_Check!V16=1,IF(Line_Check!AA16&gt;=Policy!$B$13*Line_Check!W16,1,0),1),IF(Line_Check!AH16=1,IF(Line_Check!AM16&gt;=Policy!$B$13*Line_Check!AI16,1,0),1),IF(Line_Check!AT16=1,IF(Line_Check!AY16&gt;=Policy!$B$13*Line_Check!AU16,1,0),1),IF(Line_Check!BF16=1,IF(Line_Check!BK16&gt;=Policy!$B$13*Line_Check!BG16,1,0),1),IF(Line_Check!BR16=1,IF(Line_Check!BW16&gt;=Policy!$B$13*Line_Check!BS16,1,0),1),IF(Line_Check!CD16=1,IF(Line_Check!CI16&gt;=Policy!$B$13*Line_Check!CE16,1,0),1),IF(Line_Check!CP16=1,IF(Line_Check!CU16&gt;=Policy!$B$13*Line_Check!CQ16,1,0),1))=1,"PASS","FAIL")</f>
        <v/>
      </c>
      <c r="L16" s="25">
        <f>IF(MIN(IF(Line_Check!J16=1,IF(AND(Line_Check!S16&gt;=Line_Check!K16,Line_Check!S16-Line_Check!K16&gt;=Policy!$B$14),1,0),1),IF(Line_Check!V16=1,IF(AND(Line_Check!AE16&gt;=Line_Check!W16,Line_Check!AE16-Line_Check!W16&gt;=Policy!$B$14),1,0),1),IF(Line_Check!AH16=1,IF(AND(Line_Check!AQ16&gt;=Line_Check!AI16,Line_Check!AQ16-Line_Check!AI16&gt;=Policy!$B$14),1,0),1),IF(Line_Check!AT16=1,IF(AND(Line_Check!BC16&gt;=Line_Check!AU16,Line_Check!BC16-Line_Check!AU16&gt;=Policy!$B$14),1,0),1),IF(Line_Check!BF16=1,IF(AND(Line_Check!BO16&gt;=Line_Check!BG16,Line_Check!BO16-Line_Check!BG16&gt;=Policy!$B$14),1,0),1),IF(Line_Check!BR16=1,IF(AND(Line_Check!CA16&gt;=Line_Check!BS16,Line_Check!CA16-Line_Check!BS16&gt;=Policy!$B$14),1,0),1),IF(Line_Check!CD16=1,IF(AND(Line_Check!CM16&gt;=Line_Check!CE16,Line_Check!CM16-Line_Check!CE16&gt;=Policy!$B$14),1,0),1),IF(Line_Check!CP16=1,IF(AND(Line_Check!CY16&gt;=Line_Check!CQ16,Line_Check!CY16-Line_Check!CQ16&gt;=Policy!$B$14),1,0),1))=1,"PASS","FAIL")</f>
        <v/>
      </c>
      <c r="M16" s="25">
        <f>IF(G16&gt;=2,"PASS","FAIL")</f>
        <v/>
      </c>
      <c r="N16" s="25" t="inlineStr">
        <is>
          <t>N/A</t>
        </is>
      </c>
      <c r="O16" s="25">
        <f>IF(MIN(IF(Line_Check!J16=1,IF(AND(Line_Check!U16&gt;=Line_Check!K16,Line_Check!U16-Line_Check!K16&gt;=Policy!$B$14),1,0),1),IF(Line_Check!V16=1,IF(AND(Line_Check!AG16&gt;=Line_Check!W16,Line_Check!AG16-Line_Check!W16&gt;=Policy!$B$14),1,0),1),IF(Line_Check!AH16=1,IF(AND(Line_Check!AS16&gt;=Line_Check!AI16,Line_Check!AS16-Line_Check!AI16&gt;=Policy!$B$14),1,0),1),IF(Line_Check!AT16=1,IF(AND(Line_Check!BE16&gt;=Line_Check!AU16,Line_Check!BE16-Line_Check!AU16&gt;=Policy!$B$14),1,0),1),IF(Line_Check!BF16=1,IF(AND(Line_Check!BQ16&gt;=Line_Check!BG16,Line_Check!BQ16-Line_Check!BG16&gt;=Policy!$B$14),1,0),1),IF(Line_Check!BR16=1,IF(AND(Line_Check!CC16&gt;=Line_Check!BS16,Line_Check!CC16-Line_Check!BS16&gt;=Policy!$B$14),1,0),1),IF(Line_Check!CD16=1,IF(AND(Line_Check!CO16&gt;=Line_Check!CE16,Line_Check!CO16-Line_Check!CE16&gt;=Policy!$B$14),1,0),1),IF(Line_Check!CP16=1,IF(AND(Line_Check!DA16&gt;=Line_Check!CQ16,Line_Check!DA16-Line_Check!CQ16&gt;=Policy!$B$14),1,0),1))=1,"PASS","FAIL")</f>
        <v/>
      </c>
      <c r="P16" s="25">
        <f>IF(C16=Request!$B$4,"PASS","FAIL")</f>
        <v/>
      </c>
      <c r="Q16" s="25">
        <f>IF(D16="Standard","PASS","FAIL")</f>
        <v/>
      </c>
      <c r="R16" s="25" t="inlineStr">
        <is>
          <t>N/A</t>
        </is>
      </c>
      <c r="S16" s="25">
        <f>IF(MIN(IF(Line_Check!J16=1,IF(MIN(Line_Check!O16,Line_Check!U16)&gt;=Line_Check!K16,1,0),1),IF(Line_Check!V16=1,IF(MIN(Line_Check!AA16,Line_Check!AG16)&gt;=Line_Check!W16,1,0),1),IF(Line_Check!AH16=1,IF(MIN(Line_Check!AM16,Line_Check!AS16)&gt;=Line_Check!AI16,1,0),1),IF(Line_Check!AT16=1,IF(MIN(Line_Check!AY16,Line_Check!BE16)&gt;=Line_Check!AU16,1,0),1),IF(Line_Check!BF16=1,IF(MIN(Line_Check!BK16,Line_Check!BQ16)&gt;=Line_Check!BG16,1,0),1),IF(Line_Check!BR16=1,IF(MIN(Line_Check!BW16,Line_Check!CC16)&gt;=Line_Check!BS16,1,0),1),IF(Line_Check!CD16=1,IF(MIN(Line_Check!CI16,Line_Check!CO16)&gt;=Line_Check!CE16,1,0),1),IF(Line_Check!CP16=1,IF(MIN(Line_Check!CU16,Line_Check!DA16)&gt;=Line_Check!CQ16,1,0),1))=1,"PASS","FAIL")</f>
        <v/>
      </c>
      <c r="T16" s="36">
        <f>IF(AND(J16=1,OR(K16="PASS",K16="N/A"),OR(L16="PASS",L16="N/A"),OR(M16="PASS",M16="N/A"),OR(N16="PASS",N16="N/A"),OR(O16="PASS",O16="N/A"),OR(P16="PASS",P16="N/A"),OR(Q16="PASS",Q16="N/A"),OR(R16="PASS",R16="N/A"),OR(S16="PASS",S16="N/A")),1,0)</f>
        <v/>
      </c>
      <c r="U16" s="30">
        <f>IF(J16&lt;&gt;1,"—",MIN(IF(Line_Check!J16=1,MAX(0,MIN(1,IF(Line_Check!P16=0,0,Line_Check!O16/Line_Check!P16))),1),IF(Line_Check!V16=1,MAX(0,MIN(1,IF(Line_Check!AB16=0,0,Line_Check!AA16/Line_Check!AB16))),1),IF(Line_Check!AH16=1,MAX(0,MIN(1,IF(Line_Check!AN16=0,0,Line_Check!AM16/Line_Check!AN16))),1),IF(Line_Check!AT16=1,MAX(0,MIN(1,IF(Line_Check!AZ16=0,0,Line_Check!AY16/Line_Check!AZ16))),1),IF(Line_Check!BF16=1,MAX(0,MIN(1,IF(Line_Check!BL16=0,0,Line_Check!BK16/Line_Check!BL16))),1),IF(Line_Check!BR16=1,MAX(0,MIN(1,IF(Line_Check!BX16=0,0,Line_Check!BW16/Line_Check!BX16))),1),IF(Line_Check!CD16=1,MAX(0,MIN(1,IF(Line_Check!CJ16=0,0,Line_Check!CI16/Line_Check!CJ16))),1),IF(Line_Check!CP16=1,MAX(0,MIN(1,IF(Line_Check!CV16=0,0,Line_Check!CU16/Line_Check!CV16))),1)))</f>
        <v/>
      </c>
      <c r="V16" s="30">
        <f>IF(J16&lt;&gt;1,"—",MIN(IF(Line_Check!J16=1,MAX(0,MIN(1,IF(Line_Check!T16=0,0,Line_Check!S16/Line_Check!T16))),1),IF(Line_Check!V16=1,MAX(0,MIN(1,IF(Line_Check!AF16=0,0,Line_Check!AE16/Line_Check!AF16))),1),IF(Line_Check!AH16=1,MAX(0,MIN(1,IF(Line_Check!AR16=0,0,Line_Check!AQ16/Line_Check!AR16))),1),IF(Line_Check!AT16=1,MAX(0,MIN(1,IF(Line_Check!BD16=0,0,Line_Check!BC16/Line_Check!BD16))),1),IF(Line_Check!BF16=1,MAX(0,MIN(1,IF(Line_Check!BP16=0,0,Line_Check!BO16/Line_Check!BP16))),1),IF(Line_Check!BR16=1,MAX(0,MIN(1,IF(Line_Check!CB16=0,0,Line_Check!CA16/Line_Check!CB16))),1),IF(Line_Check!CD16=1,MAX(0,MIN(1,IF(Line_Check!CN16=0,0,Line_Check!CM16/Line_Check!CN16))),1),IF(Line_Check!CP16=1,MAX(0,MIN(1,IF(Line_Check!CZ16=0,0,Line_Check!CY16/Line_Check!CZ16))),1)))</f>
        <v/>
      </c>
      <c r="W16" s="30">
        <f>IF(J16&lt;&gt;1,"—",IF(SUMIFS($H$5:$H$18,$C$5:$C$18,C16)=0,1,MAX(0,MIN(1,1-H16/SUMIFS($H$5:$H$18,$C$5:$C$18,C16)))))</f>
        <v/>
      </c>
      <c r="X16" s="30">
        <f>IF(J16&lt;&gt;1,"—",MIN(IF(Line_Check!J16=1,MAX(0,MIN(1,IF(Line_Check!P16=0,0,Line_Check!O16/Line_Check!P16))),1),IF(Line_Check!V16=1,MAX(0,MIN(1,IF(Line_Check!AB16=0,0,Line_Check!AA16/Line_Check!AB16))),1),IF(Line_Check!AH16=1,MAX(0,MIN(1,IF(Line_Check!AN16=0,0,Line_Check!AM16/Line_Check!AN16))),1),IF(Line_Check!AT16=1,MAX(0,MIN(1,IF(Line_Check!AZ16=0,0,Line_Check!AY16/Line_Check!AZ16))),1),IF(Line_Check!BF16=1,MAX(0,MIN(1,IF(Line_Check!BL16=0,0,Line_Check!BK16/Line_Check!BL16))),1),IF(Line_Check!BR16=1,MAX(0,MIN(1,IF(Line_Check!BX16=0,0,Line_Check!BW16/Line_Check!BX16))),1),IF(Line_Check!CD16=1,MAX(0,MIN(1,IF(Line_Check!CJ16=0,0,Line_Check!CI16/Line_Check!CJ16))),1),IF(Line_Check!CP16=1,MAX(0,MIN(1,IF(Line_Check!CV16=0,0,Line_Check!CU16/Line_Check!CV16))),1)))</f>
        <v/>
      </c>
      <c r="Y16" s="30">
        <f>IF(J16&lt;&gt;1,"—",MAX(0,MIN(1,G16/3)))</f>
        <v/>
      </c>
      <c r="Z16" s="30">
        <f>IF(T16&lt;&gt;1,"—",Policy!$B$4*U16+Policy!$B$5*V16+Policy!$B$6*W16+Policy!$B$7*X16+Policy!$B$8*Y16)</f>
        <v/>
      </c>
      <c r="AA16" s="25">
        <f>IF(T16&lt;&gt;1,"—",1+COUNTIFS($T$5:$T$18,1,$Z$5:$Z$18,"&gt;"&amp;Z16)+COUNTIFS($T$5:$T$18,1,$Z$5:$Z$18,Z16,$AE$5:$AE$18,"&lt;"&amp;AE16))</f>
        <v/>
      </c>
      <c r="AB16" s="25">
        <f>IF(J16&lt;&gt;1,"—",IF(OR(AND(Line_Check!J16=1,Line_Check!P16=0),AND(Line_Check!V16=1,Line_Check!AB16=0),AND(Line_Check!AH16=1,Line_Check!AN16=0),AND(Line_Check!AT16=1,Line_Check!AZ16=0),AND(Line_Check!BF16=1,Line_Check!BL16=0),AND(Line_Check!BR16=1,Line_Check!BX16=0),AND(Line_Check!CD16=1,Line_Check!CJ16=0),AND(Line_Check!CP16=1,Line_Check!CV16=0)),"RESERVATION_DEFICIT",IF(K16="FAIL","CAPACITY_UNAVAILABLE",IF(L16="FAIL","QUOTA_DEFICIT",IF(OR(M16="FAIL",N16="FAIL",O16="FAIL",P16="FAIL",Q16="FAIL",R16="FAIL",S16="FAIL"),"CAPACITY_UNAVAILABLE",IF(AND(T16=1,U16&lt;Policy!$B$12),"READY_WITH_RISK",IF(T16=1,"READY","CAPACITY_UNAVAILABLE")))))))</f>
        <v/>
      </c>
      <c r="AC16" s="25">
        <f>IF(T16&lt;&gt;1,"—",IF(MIN(IF(Line_Check!J16=1,Line_Check!O16,10^9),IF(Line_Check!V16=1,Line_Check!AA16,10^9),IF(Line_Check!AH16=1,Line_Check!AM16,10^9),IF(Line_Check!AT16=1,Line_Check!AY16,10^9),IF(Line_Check!BF16=1,Line_Check!BK16,10^9),IF(Line_Check!BR16=1,Line_Check!BW16,10^9),IF(Line_Check!CD16=1,Line_Check!CI16,10^9),IF(Line_Check!CP16=1,Line_Check!CU16,10^9))&lt;=MIN(IF(Line_Check!J16=1,Line_Check!U16,10^9),IF(Line_Check!V16=1,Line_Check!AG16,10^9),IF(Line_Check!AH16=1,Line_Check!AS16,10^9),IF(Line_Check!AT16=1,Line_Check!BE16,10^9),IF(Line_Check!BF16=1,Line_Check!BQ16,10^9),IF(Line_Check!BR16=1,Line_Check!CC16,10^9),IF(Line_Check!CD16=1,Line_Check!CO16,10^9),IF(Line_Check!CP16=1,Line_Check!DA16,10^9)),"CAPACITY","QUOTA"))</f>
        <v/>
      </c>
      <c r="AE16" s="36">
        <f>ROW()</f>
        <v/>
      </c>
    </row>
    <row r="17">
      <c r="A17" s="6">
        <f>Line_Check!A17</f>
        <v/>
      </c>
      <c r="B17" s="6">
        <f>Line_Check!B17</f>
        <v/>
      </c>
      <c r="C17" s="15">
        <f>Line_Check!C17</f>
        <v/>
      </c>
      <c r="D17" s="15">
        <f>Line_Check!D17</f>
        <v/>
      </c>
      <c r="E17" s="15">
        <f>Line_Check!E17</f>
        <v/>
      </c>
      <c r="F17" s="15">
        <f>Line_Check!F17</f>
        <v/>
      </c>
      <c r="G17" s="42">
        <f>Line_Check!G17</f>
        <v/>
      </c>
      <c r="H17" s="42">
        <f>Line_Check!H17</f>
        <v/>
      </c>
      <c r="I17" s="43">
        <f>Line_Check!I17</f>
        <v/>
      </c>
      <c r="J17" s="36">
        <f>IF(OR(OR(Request!$B$22=0,Policy!$B$10&lt;&gt;"OK",Request!$B$24&lt;&gt;"OK"),NOT(AND(Allocation!$C$9&lt;&gt;"NONE ELIGIBLE",Allocation!$C$9&lt;&gt;"POLICY_BLOCKED",Allocation!$C$9&lt;&gt;"NO REQUEST"))),0,IF(Request!$B$9="cross-geo",IF(B17=Allocation!$C$9,1,0),IF(AND(C17=Request!$B$4,D17="Standard",B17&lt;&gt;Allocation!$C$9),1,0)))</f>
        <v/>
      </c>
      <c r="K17" s="25">
        <f>IF(MIN(IF(Line_Check!J17=1,IF(Line_Check!O17&gt;=Policy!$B$13*Line_Check!K17,1,0),1),IF(Line_Check!V17=1,IF(Line_Check!AA17&gt;=Policy!$B$13*Line_Check!W17,1,0),1),IF(Line_Check!AH17=1,IF(Line_Check!AM17&gt;=Policy!$B$13*Line_Check!AI17,1,0),1),IF(Line_Check!AT17=1,IF(Line_Check!AY17&gt;=Policy!$B$13*Line_Check!AU17,1,0),1),IF(Line_Check!BF17=1,IF(Line_Check!BK17&gt;=Policy!$B$13*Line_Check!BG17,1,0),1),IF(Line_Check!BR17=1,IF(Line_Check!BW17&gt;=Policy!$B$13*Line_Check!BS17,1,0),1),IF(Line_Check!CD17=1,IF(Line_Check!CI17&gt;=Policy!$B$13*Line_Check!CE17,1,0),1),IF(Line_Check!CP17=1,IF(Line_Check!CU17&gt;=Policy!$B$13*Line_Check!CQ17,1,0),1))=1,"PASS","FAIL")</f>
        <v/>
      </c>
      <c r="L17" s="25">
        <f>IF(MIN(IF(Line_Check!J17=1,IF(AND(Line_Check!S17&gt;=Line_Check!K17,Line_Check!S17-Line_Check!K17&gt;=Policy!$B$14),1,0),1),IF(Line_Check!V17=1,IF(AND(Line_Check!AE17&gt;=Line_Check!W17,Line_Check!AE17-Line_Check!W17&gt;=Policy!$B$14),1,0),1),IF(Line_Check!AH17=1,IF(AND(Line_Check!AQ17&gt;=Line_Check!AI17,Line_Check!AQ17-Line_Check!AI17&gt;=Policy!$B$14),1,0),1),IF(Line_Check!AT17=1,IF(AND(Line_Check!BC17&gt;=Line_Check!AU17,Line_Check!BC17-Line_Check!AU17&gt;=Policy!$B$14),1,0),1),IF(Line_Check!BF17=1,IF(AND(Line_Check!BO17&gt;=Line_Check!BG17,Line_Check!BO17-Line_Check!BG17&gt;=Policy!$B$14),1,0),1),IF(Line_Check!BR17=1,IF(AND(Line_Check!CA17&gt;=Line_Check!BS17,Line_Check!CA17-Line_Check!BS17&gt;=Policy!$B$14),1,0),1),IF(Line_Check!CD17=1,IF(AND(Line_Check!CM17&gt;=Line_Check!CE17,Line_Check!CM17-Line_Check!CE17&gt;=Policy!$B$14),1,0),1),IF(Line_Check!CP17=1,IF(AND(Line_Check!CY17&gt;=Line_Check!CQ17,Line_Check!CY17-Line_Check!CQ17&gt;=Policy!$B$14),1,0),1))=1,"PASS","FAIL")</f>
        <v/>
      </c>
      <c r="M17" s="25">
        <f>IF(G17&gt;=2,"PASS","FAIL")</f>
        <v/>
      </c>
      <c r="N17" s="25" t="inlineStr">
        <is>
          <t>N/A</t>
        </is>
      </c>
      <c r="O17" s="25">
        <f>IF(MIN(IF(Line_Check!J17=1,IF(AND(Line_Check!U17&gt;=Line_Check!K17,Line_Check!U17-Line_Check!K17&gt;=Policy!$B$14),1,0),1),IF(Line_Check!V17=1,IF(AND(Line_Check!AG17&gt;=Line_Check!W17,Line_Check!AG17-Line_Check!W17&gt;=Policy!$B$14),1,0),1),IF(Line_Check!AH17=1,IF(AND(Line_Check!AS17&gt;=Line_Check!AI17,Line_Check!AS17-Line_Check!AI17&gt;=Policy!$B$14),1,0),1),IF(Line_Check!AT17=1,IF(AND(Line_Check!BE17&gt;=Line_Check!AU17,Line_Check!BE17-Line_Check!AU17&gt;=Policy!$B$14),1,0),1),IF(Line_Check!BF17=1,IF(AND(Line_Check!BQ17&gt;=Line_Check!BG17,Line_Check!BQ17-Line_Check!BG17&gt;=Policy!$B$14),1,0),1),IF(Line_Check!BR17=1,IF(AND(Line_Check!CC17&gt;=Line_Check!BS17,Line_Check!CC17-Line_Check!BS17&gt;=Policy!$B$14),1,0),1),IF(Line_Check!CD17=1,IF(AND(Line_Check!CO17&gt;=Line_Check!CE17,Line_Check!CO17-Line_Check!CE17&gt;=Policy!$B$14),1,0),1),IF(Line_Check!CP17=1,IF(AND(Line_Check!DA17&gt;=Line_Check!CQ17,Line_Check!DA17-Line_Check!CQ17&gt;=Policy!$B$14),1,0),1))=1,"PASS","FAIL")</f>
        <v/>
      </c>
      <c r="P17" s="25">
        <f>IF(C17=Request!$B$4,"PASS","FAIL")</f>
        <v/>
      </c>
      <c r="Q17" s="25">
        <f>IF(D17="Standard","PASS","FAIL")</f>
        <v/>
      </c>
      <c r="R17" s="25" t="inlineStr">
        <is>
          <t>N/A</t>
        </is>
      </c>
      <c r="S17" s="25">
        <f>IF(MIN(IF(Line_Check!J17=1,IF(MIN(Line_Check!O17,Line_Check!U17)&gt;=Line_Check!K17,1,0),1),IF(Line_Check!V17=1,IF(MIN(Line_Check!AA17,Line_Check!AG17)&gt;=Line_Check!W17,1,0),1),IF(Line_Check!AH17=1,IF(MIN(Line_Check!AM17,Line_Check!AS17)&gt;=Line_Check!AI17,1,0),1),IF(Line_Check!AT17=1,IF(MIN(Line_Check!AY17,Line_Check!BE17)&gt;=Line_Check!AU17,1,0),1),IF(Line_Check!BF17=1,IF(MIN(Line_Check!BK17,Line_Check!BQ17)&gt;=Line_Check!BG17,1,0),1),IF(Line_Check!BR17=1,IF(MIN(Line_Check!BW17,Line_Check!CC17)&gt;=Line_Check!BS17,1,0),1),IF(Line_Check!CD17=1,IF(MIN(Line_Check!CI17,Line_Check!CO17)&gt;=Line_Check!CE17,1,0),1),IF(Line_Check!CP17=1,IF(MIN(Line_Check!CU17,Line_Check!DA17)&gt;=Line_Check!CQ17,1,0),1))=1,"PASS","FAIL")</f>
        <v/>
      </c>
      <c r="T17" s="36">
        <f>IF(AND(J17=1,OR(K17="PASS",K17="N/A"),OR(L17="PASS",L17="N/A"),OR(M17="PASS",M17="N/A"),OR(N17="PASS",N17="N/A"),OR(O17="PASS",O17="N/A"),OR(P17="PASS",P17="N/A"),OR(Q17="PASS",Q17="N/A"),OR(R17="PASS",R17="N/A"),OR(S17="PASS",S17="N/A")),1,0)</f>
        <v/>
      </c>
      <c r="U17" s="30">
        <f>IF(J17&lt;&gt;1,"—",MIN(IF(Line_Check!J17=1,MAX(0,MIN(1,IF(Line_Check!P17=0,0,Line_Check!O17/Line_Check!P17))),1),IF(Line_Check!V17=1,MAX(0,MIN(1,IF(Line_Check!AB17=0,0,Line_Check!AA17/Line_Check!AB17))),1),IF(Line_Check!AH17=1,MAX(0,MIN(1,IF(Line_Check!AN17=0,0,Line_Check!AM17/Line_Check!AN17))),1),IF(Line_Check!AT17=1,MAX(0,MIN(1,IF(Line_Check!AZ17=0,0,Line_Check!AY17/Line_Check!AZ17))),1),IF(Line_Check!BF17=1,MAX(0,MIN(1,IF(Line_Check!BL17=0,0,Line_Check!BK17/Line_Check!BL17))),1),IF(Line_Check!BR17=1,MAX(0,MIN(1,IF(Line_Check!BX17=0,0,Line_Check!BW17/Line_Check!BX17))),1),IF(Line_Check!CD17=1,MAX(0,MIN(1,IF(Line_Check!CJ17=0,0,Line_Check!CI17/Line_Check!CJ17))),1),IF(Line_Check!CP17=1,MAX(0,MIN(1,IF(Line_Check!CV17=0,0,Line_Check!CU17/Line_Check!CV17))),1)))</f>
        <v/>
      </c>
      <c r="V17" s="30">
        <f>IF(J17&lt;&gt;1,"—",MIN(IF(Line_Check!J17=1,MAX(0,MIN(1,IF(Line_Check!T17=0,0,Line_Check!S17/Line_Check!T17))),1),IF(Line_Check!V17=1,MAX(0,MIN(1,IF(Line_Check!AF17=0,0,Line_Check!AE17/Line_Check!AF17))),1),IF(Line_Check!AH17=1,MAX(0,MIN(1,IF(Line_Check!AR17=0,0,Line_Check!AQ17/Line_Check!AR17))),1),IF(Line_Check!AT17=1,MAX(0,MIN(1,IF(Line_Check!BD17=0,0,Line_Check!BC17/Line_Check!BD17))),1),IF(Line_Check!BF17=1,MAX(0,MIN(1,IF(Line_Check!BP17=0,0,Line_Check!BO17/Line_Check!BP17))),1),IF(Line_Check!BR17=1,MAX(0,MIN(1,IF(Line_Check!CB17=0,0,Line_Check!CA17/Line_Check!CB17))),1),IF(Line_Check!CD17=1,MAX(0,MIN(1,IF(Line_Check!CN17=0,0,Line_Check!CM17/Line_Check!CN17))),1),IF(Line_Check!CP17=1,MAX(0,MIN(1,IF(Line_Check!CZ17=0,0,Line_Check!CY17/Line_Check!CZ17))),1)))</f>
        <v/>
      </c>
      <c r="W17" s="30">
        <f>IF(J17&lt;&gt;1,"—",IF(SUMIFS($H$5:$H$18,$C$5:$C$18,C17)=0,1,MAX(0,MIN(1,1-H17/SUMIFS($H$5:$H$18,$C$5:$C$18,C17)))))</f>
        <v/>
      </c>
      <c r="X17" s="30">
        <f>IF(J17&lt;&gt;1,"—",MIN(IF(Line_Check!J17=1,MAX(0,MIN(1,IF(Line_Check!P17=0,0,Line_Check!O17/Line_Check!P17))),1),IF(Line_Check!V17=1,MAX(0,MIN(1,IF(Line_Check!AB17=0,0,Line_Check!AA17/Line_Check!AB17))),1),IF(Line_Check!AH17=1,MAX(0,MIN(1,IF(Line_Check!AN17=0,0,Line_Check!AM17/Line_Check!AN17))),1),IF(Line_Check!AT17=1,MAX(0,MIN(1,IF(Line_Check!AZ17=0,0,Line_Check!AY17/Line_Check!AZ17))),1),IF(Line_Check!BF17=1,MAX(0,MIN(1,IF(Line_Check!BL17=0,0,Line_Check!BK17/Line_Check!BL17))),1),IF(Line_Check!BR17=1,MAX(0,MIN(1,IF(Line_Check!BX17=0,0,Line_Check!BW17/Line_Check!BX17))),1),IF(Line_Check!CD17=1,MAX(0,MIN(1,IF(Line_Check!CJ17=0,0,Line_Check!CI17/Line_Check!CJ17))),1),IF(Line_Check!CP17=1,MAX(0,MIN(1,IF(Line_Check!CV17=0,0,Line_Check!CU17/Line_Check!CV17))),1)))</f>
        <v/>
      </c>
      <c r="Y17" s="30">
        <f>IF(J17&lt;&gt;1,"—",MAX(0,MIN(1,G17/3)))</f>
        <v/>
      </c>
      <c r="Z17" s="30">
        <f>IF(T17&lt;&gt;1,"—",Policy!$B$4*U17+Policy!$B$5*V17+Policy!$B$6*W17+Policy!$B$7*X17+Policy!$B$8*Y17)</f>
        <v/>
      </c>
      <c r="AA17" s="25">
        <f>IF(T17&lt;&gt;1,"—",1+COUNTIFS($T$5:$T$18,1,$Z$5:$Z$18,"&gt;"&amp;Z17)+COUNTIFS($T$5:$T$18,1,$Z$5:$Z$18,Z17,$AE$5:$AE$18,"&lt;"&amp;AE17))</f>
        <v/>
      </c>
      <c r="AB17" s="25">
        <f>IF(J17&lt;&gt;1,"—",IF(OR(AND(Line_Check!J17=1,Line_Check!P17=0),AND(Line_Check!V17=1,Line_Check!AB17=0),AND(Line_Check!AH17=1,Line_Check!AN17=0),AND(Line_Check!AT17=1,Line_Check!AZ17=0),AND(Line_Check!BF17=1,Line_Check!BL17=0),AND(Line_Check!BR17=1,Line_Check!BX17=0),AND(Line_Check!CD17=1,Line_Check!CJ17=0),AND(Line_Check!CP17=1,Line_Check!CV17=0)),"RESERVATION_DEFICIT",IF(K17="FAIL","CAPACITY_UNAVAILABLE",IF(L17="FAIL","QUOTA_DEFICIT",IF(OR(M17="FAIL",N17="FAIL",O17="FAIL",P17="FAIL",Q17="FAIL",R17="FAIL",S17="FAIL"),"CAPACITY_UNAVAILABLE",IF(AND(T17=1,U17&lt;Policy!$B$12),"READY_WITH_RISK",IF(T17=1,"READY","CAPACITY_UNAVAILABLE")))))))</f>
        <v/>
      </c>
      <c r="AC17" s="25">
        <f>IF(T17&lt;&gt;1,"—",IF(MIN(IF(Line_Check!J17=1,Line_Check!O17,10^9),IF(Line_Check!V17=1,Line_Check!AA17,10^9),IF(Line_Check!AH17=1,Line_Check!AM17,10^9),IF(Line_Check!AT17=1,Line_Check!AY17,10^9),IF(Line_Check!BF17=1,Line_Check!BK17,10^9),IF(Line_Check!BR17=1,Line_Check!BW17,10^9),IF(Line_Check!CD17=1,Line_Check!CI17,10^9),IF(Line_Check!CP17=1,Line_Check!CU17,10^9))&lt;=MIN(IF(Line_Check!J17=1,Line_Check!U17,10^9),IF(Line_Check!V17=1,Line_Check!AG17,10^9),IF(Line_Check!AH17=1,Line_Check!AS17,10^9),IF(Line_Check!AT17=1,Line_Check!BE17,10^9),IF(Line_Check!BF17=1,Line_Check!BQ17,10^9),IF(Line_Check!BR17=1,Line_Check!CC17,10^9),IF(Line_Check!CD17=1,Line_Check!CO17,10^9),IF(Line_Check!CP17=1,Line_Check!DA17,10^9)),"CAPACITY","QUOTA"))</f>
        <v/>
      </c>
      <c r="AE17" s="36">
        <f>ROW()</f>
        <v/>
      </c>
    </row>
    <row r="18">
      <c r="A18" s="6">
        <f>Line_Check!A18</f>
        <v/>
      </c>
      <c r="B18" s="6">
        <f>Line_Check!B18</f>
        <v/>
      </c>
      <c r="C18" s="15">
        <f>Line_Check!C18</f>
        <v/>
      </c>
      <c r="D18" s="15">
        <f>Line_Check!D18</f>
        <v/>
      </c>
      <c r="E18" s="15">
        <f>Line_Check!E18</f>
        <v/>
      </c>
      <c r="F18" s="15">
        <f>Line_Check!F18</f>
        <v/>
      </c>
      <c r="G18" s="42">
        <f>Line_Check!G18</f>
        <v/>
      </c>
      <c r="H18" s="42">
        <f>Line_Check!H18</f>
        <v/>
      </c>
      <c r="I18" s="43">
        <f>Line_Check!I18</f>
        <v/>
      </c>
      <c r="J18" s="36">
        <f>IF(OR(OR(Request!$B$22=0,Policy!$B$10&lt;&gt;"OK",Request!$B$24&lt;&gt;"OK"),NOT(AND(Allocation!$C$9&lt;&gt;"NONE ELIGIBLE",Allocation!$C$9&lt;&gt;"POLICY_BLOCKED",Allocation!$C$9&lt;&gt;"NO REQUEST"))),0,IF(Request!$B$9="cross-geo",IF(B18=Allocation!$C$9,1,0),IF(AND(C18=Request!$B$4,D18="Standard",B18&lt;&gt;Allocation!$C$9),1,0)))</f>
        <v/>
      </c>
      <c r="K18" s="25">
        <f>IF(MIN(IF(Line_Check!J18=1,IF(Line_Check!O18&gt;=Policy!$B$13*Line_Check!K18,1,0),1),IF(Line_Check!V18=1,IF(Line_Check!AA18&gt;=Policy!$B$13*Line_Check!W18,1,0),1),IF(Line_Check!AH18=1,IF(Line_Check!AM18&gt;=Policy!$B$13*Line_Check!AI18,1,0),1),IF(Line_Check!AT18=1,IF(Line_Check!AY18&gt;=Policy!$B$13*Line_Check!AU18,1,0),1),IF(Line_Check!BF18=1,IF(Line_Check!BK18&gt;=Policy!$B$13*Line_Check!BG18,1,0),1),IF(Line_Check!BR18=1,IF(Line_Check!BW18&gt;=Policy!$B$13*Line_Check!BS18,1,0),1),IF(Line_Check!CD18=1,IF(Line_Check!CI18&gt;=Policy!$B$13*Line_Check!CE18,1,0),1),IF(Line_Check!CP18=1,IF(Line_Check!CU18&gt;=Policy!$B$13*Line_Check!CQ18,1,0),1))=1,"PASS","FAIL")</f>
        <v/>
      </c>
      <c r="L18" s="25">
        <f>IF(MIN(IF(Line_Check!J18=1,IF(AND(Line_Check!S18&gt;=Line_Check!K18,Line_Check!S18-Line_Check!K18&gt;=Policy!$B$14),1,0),1),IF(Line_Check!V18=1,IF(AND(Line_Check!AE18&gt;=Line_Check!W18,Line_Check!AE18-Line_Check!W18&gt;=Policy!$B$14),1,0),1),IF(Line_Check!AH18=1,IF(AND(Line_Check!AQ18&gt;=Line_Check!AI18,Line_Check!AQ18-Line_Check!AI18&gt;=Policy!$B$14),1,0),1),IF(Line_Check!AT18=1,IF(AND(Line_Check!BC18&gt;=Line_Check!AU18,Line_Check!BC18-Line_Check!AU18&gt;=Policy!$B$14),1,0),1),IF(Line_Check!BF18=1,IF(AND(Line_Check!BO18&gt;=Line_Check!BG18,Line_Check!BO18-Line_Check!BG18&gt;=Policy!$B$14),1,0),1),IF(Line_Check!BR18=1,IF(AND(Line_Check!CA18&gt;=Line_Check!BS18,Line_Check!CA18-Line_Check!BS18&gt;=Policy!$B$14),1,0),1),IF(Line_Check!CD18=1,IF(AND(Line_Check!CM18&gt;=Line_Check!CE18,Line_Check!CM18-Line_Check!CE18&gt;=Policy!$B$14),1,0),1),IF(Line_Check!CP18=1,IF(AND(Line_Check!CY18&gt;=Line_Check!CQ18,Line_Check!CY18-Line_Check!CQ18&gt;=Policy!$B$14),1,0),1))=1,"PASS","FAIL")</f>
        <v/>
      </c>
      <c r="M18" s="25">
        <f>IF(G18&gt;=2,"PASS","FAIL")</f>
        <v/>
      </c>
      <c r="N18" s="25" t="inlineStr">
        <is>
          <t>N/A</t>
        </is>
      </c>
      <c r="O18" s="25">
        <f>IF(MIN(IF(Line_Check!J18=1,IF(AND(Line_Check!U18&gt;=Line_Check!K18,Line_Check!U18-Line_Check!K18&gt;=Policy!$B$14),1,0),1),IF(Line_Check!V18=1,IF(AND(Line_Check!AG18&gt;=Line_Check!W18,Line_Check!AG18-Line_Check!W18&gt;=Policy!$B$14),1,0),1),IF(Line_Check!AH18=1,IF(AND(Line_Check!AS18&gt;=Line_Check!AI18,Line_Check!AS18-Line_Check!AI18&gt;=Policy!$B$14),1,0),1),IF(Line_Check!AT18=1,IF(AND(Line_Check!BE18&gt;=Line_Check!AU18,Line_Check!BE18-Line_Check!AU18&gt;=Policy!$B$14),1,0),1),IF(Line_Check!BF18=1,IF(AND(Line_Check!BQ18&gt;=Line_Check!BG18,Line_Check!BQ18-Line_Check!BG18&gt;=Policy!$B$14),1,0),1),IF(Line_Check!BR18=1,IF(AND(Line_Check!CC18&gt;=Line_Check!BS18,Line_Check!CC18-Line_Check!BS18&gt;=Policy!$B$14),1,0),1),IF(Line_Check!CD18=1,IF(AND(Line_Check!CO18&gt;=Line_Check!CE18,Line_Check!CO18-Line_Check!CE18&gt;=Policy!$B$14),1,0),1),IF(Line_Check!CP18=1,IF(AND(Line_Check!DA18&gt;=Line_Check!CQ18,Line_Check!DA18-Line_Check!CQ18&gt;=Policy!$B$14),1,0),1))=1,"PASS","FAIL")</f>
        <v/>
      </c>
      <c r="P18" s="25">
        <f>IF(C18=Request!$B$4,"PASS","FAIL")</f>
        <v/>
      </c>
      <c r="Q18" s="25">
        <f>IF(D18="Standard","PASS","FAIL")</f>
        <v/>
      </c>
      <c r="R18" s="25" t="inlineStr">
        <is>
          <t>N/A</t>
        </is>
      </c>
      <c r="S18" s="25">
        <f>IF(MIN(IF(Line_Check!J18=1,IF(MIN(Line_Check!O18,Line_Check!U18)&gt;=Line_Check!K18,1,0),1),IF(Line_Check!V18=1,IF(MIN(Line_Check!AA18,Line_Check!AG18)&gt;=Line_Check!W18,1,0),1),IF(Line_Check!AH18=1,IF(MIN(Line_Check!AM18,Line_Check!AS18)&gt;=Line_Check!AI18,1,0),1),IF(Line_Check!AT18=1,IF(MIN(Line_Check!AY18,Line_Check!BE18)&gt;=Line_Check!AU18,1,0),1),IF(Line_Check!BF18=1,IF(MIN(Line_Check!BK18,Line_Check!BQ18)&gt;=Line_Check!BG18,1,0),1),IF(Line_Check!BR18=1,IF(MIN(Line_Check!BW18,Line_Check!CC18)&gt;=Line_Check!BS18,1,0),1),IF(Line_Check!CD18=1,IF(MIN(Line_Check!CI18,Line_Check!CO18)&gt;=Line_Check!CE18,1,0),1),IF(Line_Check!CP18=1,IF(MIN(Line_Check!CU18,Line_Check!DA18)&gt;=Line_Check!CQ18,1,0),1))=1,"PASS","FAIL")</f>
        <v/>
      </c>
      <c r="T18" s="36">
        <f>IF(AND(J18=1,OR(K18="PASS",K18="N/A"),OR(L18="PASS",L18="N/A"),OR(M18="PASS",M18="N/A"),OR(N18="PASS",N18="N/A"),OR(O18="PASS",O18="N/A"),OR(P18="PASS",P18="N/A"),OR(Q18="PASS",Q18="N/A"),OR(R18="PASS",R18="N/A"),OR(S18="PASS",S18="N/A")),1,0)</f>
        <v/>
      </c>
      <c r="U18" s="30">
        <f>IF(J18&lt;&gt;1,"—",MIN(IF(Line_Check!J18=1,MAX(0,MIN(1,IF(Line_Check!P18=0,0,Line_Check!O18/Line_Check!P18))),1),IF(Line_Check!V18=1,MAX(0,MIN(1,IF(Line_Check!AB18=0,0,Line_Check!AA18/Line_Check!AB18))),1),IF(Line_Check!AH18=1,MAX(0,MIN(1,IF(Line_Check!AN18=0,0,Line_Check!AM18/Line_Check!AN18))),1),IF(Line_Check!AT18=1,MAX(0,MIN(1,IF(Line_Check!AZ18=0,0,Line_Check!AY18/Line_Check!AZ18))),1),IF(Line_Check!BF18=1,MAX(0,MIN(1,IF(Line_Check!BL18=0,0,Line_Check!BK18/Line_Check!BL18))),1),IF(Line_Check!BR18=1,MAX(0,MIN(1,IF(Line_Check!BX18=0,0,Line_Check!BW18/Line_Check!BX18))),1),IF(Line_Check!CD18=1,MAX(0,MIN(1,IF(Line_Check!CJ18=0,0,Line_Check!CI18/Line_Check!CJ18))),1),IF(Line_Check!CP18=1,MAX(0,MIN(1,IF(Line_Check!CV18=0,0,Line_Check!CU18/Line_Check!CV18))),1)))</f>
        <v/>
      </c>
      <c r="V18" s="30">
        <f>IF(J18&lt;&gt;1,"—",MIN(IF(Line_Check!J18=1,MAX(0,MIN(1,IF(Line_Check!T18=0,0,Line_Check!S18/Line_Check!T18))),1),IF(Line_Check!V18=1,MAX(0,MIN(1,IF(Line_Check!AF18=0,0,Line_Check!AE18/Line_Check!AF18))),1),IF(Line_Check!AH18=1,MAX(0,MIN(1,IF(Line_Check!AR18=0,0,Line_Check!AQ18/Line_Check!AR18))),1),IF(Line_Check!AT18=1,MAX(0,MIN(1,IF(Line_Check!BD18=0,0,Line_Check!BC18/Line_Check!BD18))),1),IF(Line_Check!BF18=1,MAX(0,MIN(1,IF(Line_Check!BP18=0,0,Line_Check!BO18/Line_Check!BP18))),1),IF(Line_Check!BR18=1,MAX(0,MIN(1,IF(Line_Check!CB18=0,0,Line_Check!CA18/Line_Check!CB18))),1),IF(Line_Check!CD18=1,MAX(0,MIN(1,IF(Line_Check!CN18=0,0,Line_Check!CM18/Line_Check!CN18))),1),IF(Line_Check!CP18=1,MAX(0,MIN(1,IF(Line_Check!CZ18=0,0,Line_Check!CY18/Line_Check!CZ18))),1)))</f>
        <v/>
      </c>
      <c r="W18" s="30">
        <f>IF(J18&lt;&gt;1,"—",IF(SUMIFS($H$5:$H$18,$C$5:$C$18,C18)=0,1,MAX(0,MIN(1,1-H18/SUMIFS($H$5:$H$18,$C$5:$C$18,C18)))))</f>
        <v/>
      </c>
      <c r="X18" s="30">
        <f>IF(J18&lt;&gt;1,"—",MIN(IF(Line_Check!J18=1,MAX(0,MIN(1,IF(Line_Check!P18=0,0,Line_Check!O18/Line_Check!P18))),1),IF(Line_Check!V18=1,MAX(0,MIN(1,IF(Line_Check!AB18=0,0,Line_Check!AA18/Line_Check!AB18))),1),IF(Line_Check!AH18=1,MAX(0,MIN(1,IF(Line_Check!AN18=0,0,Line_Check!AM18/Line_Check!AN18))),1),IF(Line_Check!AT18=1,MAX(0,MIN(1,IF(Line_Check!AZ18=0,0,Line_Check!AY18/Line_Check!AZ18))),1),IF(Line_Check!BF18=1,MAX(0,MIN(1,IF(Line_Check!BL18=0,0,Line_Check!BK18/Line_Check!BL18))),1),IF(Line_Check!BR18=1,MAX(0,MIN(1,IF(Line_Check!BX18=0,0,Line_Check!BW18/Line_Check!BX18))),1),IF(Line_Check!CD18=1,MAX(0,MIN(1,IF(Line_Check!CJ18=0,0,Line_Check!CI18/Line_Check!CJ18))),1),IF(Line_Check!CP18=1,MAX(0,MIN(1,IF(Line_Check!CV18=0,0,Line_Check!CU18/Line_Check!CV18))),1)))</f>
        <v/>
      </c>
      <c r="Y18" s="30">
        <f>IF(J18&lt;&gt;1,"—",MAX(0,MIN(1,G18/3)))</f>
        <v/>
      </c>
      <c r="Z18" s="30">
        <f>IF(T18&lt;&gt;1,"—",Policy!$B$4*U18+Policy!$B$5*V18+Policy!$B$6*W18+Policy!$B$7*X18+Policy!$B$8*Y18)</f>
        <v/>
      </c>
      <c r="AA18" s="25">
        <f>IF(T18&lt;&gt;1,"—",1+COUNTIFS($T$5:$T$18,1,$Z$5:$Z$18,"&gt;"&amp;Z18)+COUNTIFS($T$5:$T$18,1,$Z$5:$Z$18,Z18,$AE$5:$AE$18,"&lt;"&amp;AE18))</f>
        <v/>
      </c>
      <c r="AB18" s="25">
        <f>IF(J18&lt;&gt;1,"—",IF(OR(AND(Line_Check!J18=1,Line_Check!P18=0),AND(Line_Check!V18=1,Line_Check!AB18=0),AND(Line_Check!AH18=1,Line_Check!AN18=0),AND(Line_Check!AT18=1,Line_Check!AZ18=0),AND(Line_Check!BF18=1,Line_Check!BL18=0),AND(Line_Check!BR18=1,Line_Check!BX18=0),AND(Line_Check!CD18=1,Line_Check!CJ18=0),AND(Line_Check!CP18=1,Line_Check!CV18=0)),"RESERVATION_DEFICIT",IF(K18="FAIL","CAPACITY_UNAVAILABLE",IF(L18="FAIL","QUOTA_DEFICIT",IF(OR(M18="FAIL",N18="FAIL",O18="FAIL",P18="FAIL",Q18="FAIL",R18="FAIL",S18="FAIL"),"CAPACITY_UNAVAILABLE",IF(AND(T18=1,U18&lt;Policy!$B$12),"READY_WITH_RISK",IF(T18=1,"READY","CAPACITY_UNAVAILABLE")))))))</f>
        <v/>
      </c>
      <c r="AC18" s="25">
        <f>IF(T18&lt;&gt;1,"—",IF(MIN(IF(Line_Check!J18=1,Line_Check!O18,10^9),IF(Line_Check!V18=1,Line_Check!AA18,10^9),IF(Line_Check!AH18=1,Line_Check!AM18,10^9),IF(Line_Check!AT18=1,Line_Check!AY18,10^9),IF(Line_Check!BF18=1,Line_Check!BK18,10^9),IF(Line_Check!BR18=1,Line_Check!BW18,10^9),IF(Line_Check!CD18=1,Line_Check!CI18,10^9),IF(Line_Check!CP18=1,Line_Check!CU18,10^9))&lt;=MIN(IF(Line_Check!J18=1,Line_Check!U18,10^9),IF(Line_Check!V18=1,Line_Check!AG18,10^9),IF(Line_Check!AH18=1,Line_Check!AS18,10^9),IF(Line_Check!AT18=1,Line_Check!BE18,10^9),IF(Line_Check!BF18=1,Line_Check!BQ18,10^9),IF(Line_Check!BR18=1,Line_Check!CC18,10^9),IF(Line_Check!CD18=1,Line_Check!CO18,10^9),IF(Line_Check!CP18=1,Line_Check!DA18,10^9)),"CAPACITY","QUOTA"))</f>
        <v/>
      </c>
      <c r="AE18" s="36">
        <f>ROW()</f>
        <v/>
      </c>
    </row>
  </sheetData>
  <autoFilter ref="A4:AC18"/>
  <conditionalFormatting sqref="AB5:AB18">
    <cfRule type="expression" priority="1" dxfId="1">
      <formula>LEFT(AB5,5)="READY"</formula>
    </cfRule>
    <cfRule type="expression" priority="2" dxfId="2">
      <formula>AND(AB5&lt;&gt;"—",ISERROR(SEARCH("READY",AB5)),AB5&lt;&gt;"N/A")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14" customWidth="1" min="5" max="5"/>
    <col width="16" customWidth="1" min="6" max="6"/>
    <col width="8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24" customWidth="1" min="28" max="28"/>
    <col width="14" customWidth="1" min="29" max="29"/>
    <col hidden="1" width="8" customWidth="1" min="31" max="31"/>
  </cols>
  <sheetData>
    <row r="1">
      <c r="A1" s="1" t="inlineStr">
        <is>
          <t>DR score — PS_DR</t>
        </is>
      </c>
    </row>
    <row r="2">
      <c r="A2" s="18" t="inlineStr">
        <is>
          <t>Eligible = 1 only after every gate passes. Placement score is blank for everyone else. Rank 1 is the winner. Ties break toward the earlier catalogue row.</t>
        </is>
      </c>
    </row>
    <row r="4" ht="32" customHeight="1">
      <c r="A4" s="12" t="inlineStr">
        <is>
          <t>Region</t>
        </is>
      </c>
      <c r="B4" s="12" t="inlineStr">
        <is>
          <t>Region id</t>
        </is>
      </c>
      <c r="C4" s="12" t="inlineStr">
        <is>
          <t>Geography</t>
        </is>
      </c>
      <c r="D4" s="12" t="inlineStr">
        <is>
          <t>Class</t>
        </is>
      </c>
      <c r="E4" s="12" t="inlineStr">
        <is>
          <t>Model</t>
        </is>
      </c>
      <c r="F4" s="12" t="inlineStr">
        <is>
          <t>DR scope</t>
        </is>
      </c>
      <c r="G4" s="12" t="inlineStr">
        <is>
          <t>AZ</t>
        </is>
      </c>
      <c r="H4" s="12" t="inlineStr">
        <is>
          <t>Customers</t>
        </is>
      </c>
      <c r="I4" s="12" t="inlineStr">
        <is>
          <t>DR coverage</t>
        </is>
      </c>
      <c r="J4" s="12" t="inlineStr">
        <is>
          <t>Candidate</t>
        </is>
      </c>
      <c r="K4" s="12" t="inlineStr">
        <is>
          <t>HC-2</t>
        </is>
      </c>
      <c r="L4" s="12" t="inlineStr">
        <is>
          <t>HC-3</t>
        </is>
      </c>
      <c r="M4" s="12" t="inlineStr">
        <is>
          <t>HC-5</t>
        </is>
      </c>
      <c r="N4" s="12" t="inlineStr">
        <is>
          <t>HC-6</t>
        </is>
      </c>
      <c r="O4" s="12" t="inlineStr">
        <is>
          <t>HC-7</t>
        </is>
      </c>
      <c r="P4" s="12" t="inlineStr">
        <is>
          <t>HC-8</t>
        </is>
      </c>
      <c r="Q4" s="12" t="inlineStr">
        <is>
          <t>HC-9</t>
        </is>
      </c>
      <c r="R4" s="12" t="inlineStr">
        <is>
          <t>HC-4</t>
        </is>
      </c>
      <c r="S4" s="12" t="inlineStr">
        <is>
          <t>Meets-all</t>
        </is>
      </c>
      <c r="T4" s="12" t="inlineStr">
        <is>
          <t>Eligible</t>
        </is>
      </c>
      <c r="U4" s="12" t="inlineStr">
        <is>
          <t>α</t>
        </is>
      </c>
      <c r="V4" s="12" t="inlineStr">
        <is>
          <t>β</t>
        </is>
      </c>
      <c r="W4" s="12" t="inlineStr">
        <is>
          <t>γ</t>
        </is>
      </c>
      <c r="X4" s="12" t="inlineStr">
        <is>
          <t>δ</t>
        </is>
      </c>
      <c r="Y4" s="12" t="inlineStr">
        <is>
          <t>ε</t>
        </is>
      </c>
      <c r="Z4" s="12" t="inlineStr">
        <is>
          <t>PS</t>
        </is>
      </c>
      <c r="AA4" s="12" t="inlineStr">
        <is>
          <t>Rank</t>
        </is>
      </c>
      <c r="AB4" s="12" t="inlineStr">
        <is>
          <t>Readiness</t>
        </is>
      </c>
      <c r="AC4" s="12" t="inlineStr">
        <is>
          <t>Binding</t>
        </is>
      </c>
    </row>
    <row r="5">
      <c r="A5" s="6">
        <f>Line_Check!A5</f>
        <v/>
      </c>
      <c r="B5" s="6">
        <f>Line_Check!B5</f>
        <v/>
      </c>
      <c r="C5" s="15">
        <f>Line_Check!C5</f>
        <v/>
      </c>
      <c r="D5" s="15">
        <f>Line_Check!D5</f>
        <v/>
      </c>
      <c r="E5" s="15">
        <f>Line_Check!E5</f>
        <v/>
      </c>
      <c r="F5" s="15">
        <f>Line_Check!F5</f>
        <v/>
      </c>
      <c r="G5" s="42">
        <f>Line_Check!G5</f>
        <v/>
      </c>
      <c r="H5" s="42">
        <f>Line_Check!H5</f>
        <v/>
      </c>
      <c r="I5" s="43">
        <f>Line_Check!I5</f>
        <v/>
      </c>
      <c r="J5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ELIGIBLE"),0,IF(Request!$B$9="cross-geo",IF(AND(C5=Request!$B$10,D5="Standard"),1,0),IF(OR(Request!$B$9="2-region",Request!$B$11="Y"),IF(B5=Allocation!$C$10,1,0),IF(AND(C5=Request!$B$4,D5="Standard",B5&lt;&gt;Allocation!$C$9,B5&lt;&gt;Allocation!$C$10),1,0))))</f>
        <v/>
      </c>
      <c r="K5" s="25">
        <f>IF(MIN(IF(Line_Check!J5=1,IF(Line_Check!Q5&gt;=Policy!$B$13*ROUND(Line_Check!K5*Policy!$B$15,0),1,0),1),IF(Line_Check!V5=1,IF(Line_Check!AC5&gt;=Policy!$B$13*ROUND(Line_Check!W5*Policy!$B$15,0),1,0),1),IF(Line_Check!AH5=1,IF(Line_Check!AO5&gt;=Policy!$B$13*ROUND(Line_Check!AI5*Policy!$B$15,0),1,0),1),IF(Line_Check!AT5=1,IF(Line_Check!BA5&gt;=Policy!$B$13*ROUND(Line_Check!AU5*Policy!$B$15,0),1,0),1),IF(Line_Check!BF5=1,IF(Line_Check!BM5&gt;=Policy!$B$13*ROUND(Line_Check!BG5*Policy!$B$15,0),1,0),1),IF(Line_Check!BR5=1,IF(Line_Check!BY5&gt;=Policy!$B$13*ROUND(Line_Check!BS5*Policy!$B$15,0),1,0),1),IF(Line_Check!CD5=1,IF(Line_Check!CK5&gt;=Policy!$B$13*ROUND(Line_Check!CE5*Policy!$B$15,0),1,0),1),IF(Line_Check!CP5=1,IF(Line_Check!CW5&gt;=Policy!$B$13*ROUND(Line_Check!CQ5*Policy!$B$15,0),1,0),1))=1,"PASS","FAIL")</f>
        <v/>
      </c>
      <c r="L5" s="25">
        <f>IF(MIN(IF(Line_Check!J5=1,IF(AND(Line_Check!S5&gt;=ROUND(Line_Check!K5*Policy!$B$15,0),Line_Check!S5-ROUND(Line_Check!K5*Policy!$B$15,0)&gt;=Policy!$B$14),1,0),1),IF(Line_Check!V5=1,IF(AND(Line_Check!AE5&gt;=ROUND(Line_Check!W5*Policy!$B$15,0),Line_Check!AE5-ROUND(Line_Check!W5*Policy!$B$15,0)&gt;=Policy!$B$14),1,0),1),IF(Line_Check!AH5=1,IF(AND(Line_Check!AQ5&gt;=ROUND(Line_Check!AI5*Policy!$B$15,0),Line_Check!AQ5-ROUND(Line_Check!AI5*Policy!$B$15,0)&gt;=Policy!$B$14),1,0),1),IF(Line_Check!AT5=1,IF(AND(Line_Check!BC5&gt;=ROUND(Line_Check!AU5*Policy!$B$15,0),Line_Check!BC5-ROUND(Line_Check!AU5*Policy!$B$15,0)&gt;=Policy!$B$14),1,0),1),IF(Line_Check!BF5=1,IF(AND(Line_Check!BO5&gt;=ROUND(Line_Check!BG5*Policy!$B$15,0),Line_Check!BO5-ROUND(Line_Check!BG5*Policy!$B$15,0)&gt;=Policy!$B$14),1,0),1),IF(Line_Check!BR5=1,IF(AND(Line_Check!CA5&gt;=ROUND(Line_Check!BS5*Policy!$B$15,0),Line_Check!CA5-ROUND(Line_Check!BS5*Policy!$B$15,0)&gt;=Policy!$B$14),1,0),1),IF(Line_Check!CD5=1,IF(AND(Line_Check!CM5&gt;=ROUND(Line_Check!CE5*Policy!$B$15,0),Line_Check!CM5-ROUND(Line_Check!CE5*Policy!$B$15,0)&gt;=Policy!$B$14),1,0),1),IF(Line_Check!CP5=1,IF(AND(Line_Check!CY5&gt;=ROUND(Line_Check!CQ5*Policy!$B$15,0),Line_Check!CY5-ROUND(Line_Check!CQ5*Policy!$B$15,0)&gt;=Policy!$B$14),1,0),1))=1,"PASS","FAIL")</f>
        <v/>
      </c>
      <c r="M5" s="25">
        <f>IF(G5&gt;=2,"PASS","FAIL")</f>
        <v/>
      </c>
      <c r="N5" s="25">
        <f>IF(Request!$B$9="2-region",IF(MIN(IF(Line_Check!J5=1,IF(Line_Check!Q5+Line_Check!O5&gt;=ROUND(Line_Check!K5*Policy!$B$15,0),1,0),1),IF(Line_Check!V5=1,IF(Line_Check!AC5+Line_Check!AA5&gt;=ROUND(Line_Check!W5*Policy!$B$15,0),1,0),1),IF(Line_Check!AH5=1,IF(Line_Check!AO5+Line_Check!AM5&gt;=ROUND(Line_Check!AI5*Policy!$B$15,0),1,0),1),IF(Line_Check!AT5=1,IF(Line_Check!BA5+Line_Check!AY5&gt;=ROUND(Line_Check!AU5*Policy!$B$15,0),1,0),1),IF(Line_Check!BF5=1,IF(Line_Check!BM5+Line_Check!BK5&gt;=ROUND(Line_Check!BG5*Policy!$B$15,0),1,0),1),IF(Line_Check!BR5=1,IF(Line_Check!BY5+Line_Check!BW5&gt;=ROUND(Line_Check!BS5*Policy!$B$15,0),1,0),1),IF(Line_Check!CD5=1,IF(Line_Check!CK5+Line_Check!CI5&gt;=ROUND(Line_Check!CE5*Policy!$B$15,0),1,0),1),IF(Line_Check!CP5=1,IF(Line_Check!CW5+Line_Check!CU5&gt;=ROUND(Line_Check!CQ5*Policy!$B$15,0),1,0),1))=1,"PASS","FAIL"),"N/A")</f>
        <v/>
      </c>
      <c r="O5" s="25" t="inlineStr">
        <is>
          <t>N/A</t>
        </is>
      </c>
      <c r="P5" s="25">
        <f>IF(C5=Request!$B$10,"PASS","FAIL")</f>
        <v/>
      </c>
      <c r="Q5" s="25">
        <f>IF(D5="Standard","PASS","FAIL")</f>
        <v/>
      </c>
      <c r="R5" s="25">
        <f>IF(AND(Request!$B$9="cross-geo",C5=Request!$B$10),"PASS",IF(B5&lt;&gt;Allocation!$C$9,"PASS","FAIL"))</f>
        <v/>
      </c>
      <c r="S5" s="25">
        <f>IF(MIN(IF(Line_Check!J5=1,IF(MIN(Line_Check!Q5,Line_Check!S5)&gt;=ROUND(Line_Check!K5*Policy!$B$15,0),1,0),1),IF(Line_Check!V5=1,IF(MIN(Line_Check!AC5,Line_Check!AE5)&gt;=ROUND(Line_Check!W5*Policy!$B$15,0),1,0),1),IF(Line_Check!AH5=1,IF(MIN(Line_Check!AO5,Line_Check!AQ5)&gt;=ROUND(Line_Check!AI5*Policy!$B$15,0),1,0),1),IF(Line_Check!AT5=1,IF(MIN(Line_Check!BA5,Line_Check!BC5)&gt;=ROUND(Line_Check!AU5*Policy!$B$15,0),1,0),1),IF(Line_Check!BF5=1,IF(MIN(Line_Check!BM5,Line_Check!BO5)&gt;=ROUND(Line_Check!BG5*Policy!$B$15,0),1,0),1),IF(Line_Check!BR5=1,IF(MIN(Line_Check!BY5,Line_Check!CA5)&gt;=ROUND(Line_Check!BS5*Policy!$B$15,0),1,0),1),IF(Line_Check!CD5=1,IF(MIN(Line_Check!CK5,Line_Check!CM5)&gt;=ROUND(Line_Check!CE5*Policy!$B$15,0),1,0),1),IF(Line_Check!CP5=1,IF(MIN(Line_Check!CW5,Line_Check!CY5)&gt;=ROUND(Line_Check!CQ5*Policy!$B$15,0),1,0),1))=1,"PASS","FAIL")</f>
        <v/>
      </c>
      <c r="T5" s="36">
        <f>IF(AND(J5=1,OR(K5="PASS",K5="N/A"),OR(L5="PASS",L5="N/A"),OR(M5="PASS",M5="N/A"),OR(N5="PASS",N5="N/A"),OR(O5="PASS",O5="N/A"),OR(P5="PASS",P5="N/A"),OR(Q5="PASS",Q5="N/A"),OR(R5="PASS",R5="N/A"),OR(S5="PASS",S5="N/A")),1,0)</f>
        <v/>
      </c>
      <c r="U5" s="30">
        <f>IF(J5&lt;&gt;1,"—",MIN(IF(Line_Check!J5=1,MAX(0,MIN(1,IF(Line_Check!R5=0,0,Line_Check!Q5/Line_Check!R5))),1),IF(Line_Check!V5=1,MAX(0,MIN(1,IF(Line_Check!AD5=0,0,Line_Check!AC5/Line_Check!AD5))),1),IF(Line_Check!AH5=1,MAX(0,MIN(1,IF(Line_Check!AP5=0,0,Line_Check!AO5/Line_Check!AP5))),1),IF(Line_Check!AT5=1,MAX(0,MIN(1,IF(Line_Check!BB5=0,0,Line_Check!BA5/Line_Check!BB5))),1),IF(Line_Check!BF5=1,MAX(0,MIN(1,IF(Line_Check!BN5=0,0,Line_Check!BM5/Line_Check!BN5))),1),IF(Line_Check!BR5=1,MAX(0,MIN(1,IF(Line_Check!BZ5=0,0,Line_Check!BY5/Line_Check!BZ5))),1),IF(Line_Check!CD5=1,MAX(0,MIN(1,IF(Line_Check!CL5=0,0,Line_Check!CK5/Line_Check!CL5))),1),IF(Line_Check!CP5=1,MAX(0,MIN(1,IF(Line_Check!CX5=0,0,Line_Check!CW5/Line_Check!CX5))),1)))</f>
        <v/>
      </c>
      <c r="V5" s="30">
        <f>IF(J5&lt;&gt;1,"—",MIN(IF(Line_Check!J5=1,MAX(0,MIN(1,IF(Line_Check!T5=0,0,Line_Check!S5/Line_Check!T5))),1),IF(Line_Check!V5=1,MAX(0,MIN(1,IF(Line_Check!AF5=0,0,Line_Check!AE5/Line_Check!AF5))),1),IF(Line_Check!AH5=1,MAX(0,MIN(1,IF(Line_Check!AR5=0,0,Line_Check!AQ5/Line_Check!AR5))),1),IF(Line_Check!AT5=1,MAX(0,MIN(1,IF(Line_Check!BD5=0,0,Line_Check!BC5/Line_Check!BD5))),1),IF(Line_Check!BF5=1,MAX(0,MIN(1,IF(Line_Check!BP5=0,0,Line_Check!BO5/Line_Check!BP5))),1),IF(Line_Check!BR5=1,MAX(0,MIN(1,IF(Line_Check!CB5=0,0,Line_Check!CA5/Line_Check!CB5))),1),IF(Line_Check!CD5=1,MAX(0,MIN(1,IF(Line_Check!CN5=0,0,Line_Check!CM5/Line_Check!CN5))),1),IF(Line_Check!CP5=1,MAX(0,MIN(1,IF(Line_Check!CZ5=0,0,Line_Check!CY5/Line_Check!CZ5))),1)))</f>
        <v/>
      </c>
      <c r="W5" s="30">
        <f>IF(J5&lt;&gt;1,"—",IF(SUMIFS($H$5:$H$18,$C$5:$C$18,C5)=0,1,MAX(0,MIN(1,1-H5/SUMIFS($H$5:$H$18,$C$5:$C$18,C5)))))</f>
        <v/>
      </c>
      <c r="X5" s="30">
        <f>IF(J5&lt;&gt;1,"—",IF(Policy!$B$15&lt;=0,0,MAX(0,MIN(1,I5/Policy!$B$15))))</f>
        <v/>
      </c>
      <c r="Y5" s="30">
        <f>IF(J5&lt;&gt;1,"—",MAX(0,MIN(1,G5/3)))</f>
        <v/>
      </c>
      <c r="Z5" s="30">
        <f>IF(T5&lt;&gt;1,"—",Policy!$B$4*U5+Policy!$B$5*V5+Policy!$B$6*W5+Policy!$B$7*X5+Policy!$B$8*Y5)</f>
        <v/>
      </c>
      <c r="AA5" s="25">
        <f>IF(T5&lt;&gt;1,"—",1+COUNTIFS($T$5:$T$18,1,$Z$5:$Z$18,"&gt;"&amp;Z5)+COUNTIFS($T$5:$T$18,1,$Z$5:$Z$18,Z5,$AE$5:$AE$18,"&lt;"&amp;AE5))</f>
        <v/>
      </c>
      <c r="AB5" s="25">
        <f>IF(J5&lt;&gt;1,"—",IF(OR(AND(Line_Check!J5=1,Line_Check!R5=0),AND(Line_Check!V5=1,Line_Check!AD5=0),AND(Line_Check!AH5=1,Line_Check!AP5=0),AND(Line_Check!AT5=1,Line_Check!BB5=0),AND(Line_Check!BF5=1,Line_Check!BN5=0),AND(Line_Check!BR5=1,Line_Check!BZ5=0),AND(Line_Check!CD5=1,Line_Check!CL5=0),AND(Line_Check!CP5=1,Line_Check!CX5=0)),"RESERVATION_DEFICIT",IF(K5="FAIL","CAPACITY_UNAVAILABLE",IF(L5="FAIL","QUOTA_DEFICIT",IF(OR(M5="FAIL",N5="FAIL",O5="FAIL",P5="FAIL",Q5="FAIL",R5="FAIL",S5="FAIL"),"CAPACITY_UNAVAILABLE",IF(AND(T5=1,U5&lt;Policy!$B$12),"READY_WITH_RISK",IF(T5=1,"READY","CAPACITY_UNAVAILABLE")))))))</f>
        <v/>
      </c>
      <c r="AC5" s="25">
        <f>IF(T5&lt;&gt;1,"—",IF(MIN(IF(Line_Check!J5=1,Line_Check!Q5,10^9),IF(Line_Check!V5=1,Line_Check!AC5,10^9),IF(Line_Check!AH5=1,Line_Check!AO5,10^9),IF(Line_Check!AT5=1,Line_Check!BA5,10^9),IF(Line_Check!BF5=1,Line_Check!BM5,10^9),IF(Line_Check!BR5=1,Line_Check!BY5,10^9),IF(Line_Check!CD5=1,Line_Check!CK5,10^9),IF(Line_Check!CP5=1,Line_Check!CW5,10^9))&lt;=MIN(IF(Line_Check!J5=1,Line_Check!S5,10^9),IF(Line_Check!V5=1,Line_Check!AE5,10^9),IF(Line_Check!AH5=1,Line_Check!AQ5,10^9),IF(Line_Check!AT5=1,Line_Check!BC5,10^9),IF(Line_Check!BF5=1,Line_Check!BO5,10^9),IF(Line_Check!BR5=1,Line_Check!CA5,10^9),IF(Line_Check!CD5=1,Line_Check!CM5,10^9),IF(Line_Check!CP5=1,Line_Check!CY5,10^9)),"CAPACITY","QUOTA"))</f>
        <v/>
      </c>
      <c r="AE5" s="36">
        <f>ROW()</f>
        <v/>
      </c>
    </row>
    <row r="6">
      <c r="A6" s="6">
        <f>Line_Check!A6</f>
        <v/>
      </c>
      <c r="B6" s="6">
        <f>Line_Check!B6</f>
        <v/>
      </c>
      <c r="C6" s="15">
        <f>Line_Check!C6</f>
        <v/>
      </c>
      <c r="D6" s="15">
        <f>Line_Check!D6</f>
        <v/>
      </c>
      <c r="E6" s="15">
        <f>Line_Check!E6</f>
        <v/>
      </c>
      <c r="F6" s="15">
        <f>Line_Check!F6</f>
        <v/>
      </c>
      <c r="G6" s="42">
        <f>Line_Check!G6</f>
        <v/>
      </c>
      <c r="H6" s="42">
        <f>Line_Check!H6</f>
        <v/>
      </c>
      <c r="I6" s="43">
        <f>Line_Check!I6</f>
        <v/>
      </c>
      <c r="J6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ELIGIBLE"),0,IF(Request!$B$9="cross-geo",IF(AND(C6=Request!$B$10,D6="Standard"),1,0),IF(OR(Request!$B$9="2-region",Request!$B$11="Y"),IF(B6=Allocation!$C$10,1,0),IF(AND(C6=Request!$B$4,D6="Standard",B6&lt;&gt;Allocation!$C$9,B6&lt;&gt;Allocation!$C$10),1,0))))</f>
        <v/>
      </c>
      <c r="K6" s="25">
        <f>IF(MIN(IF(Line_Check!J6=1,IF(Line_Check!Q6&gt;=Policy!$B$13*ROUND(Line_Check!K6*Policy!$B$15,0),1,0),1),IF(Line_Check!V6=1,IF(Line_Check!AC6&gt;=Policy!$B$13*ROUND(Line_Check!W6*Policy!$B$15,0),1,0),1),IF(Line_Check!AH6=1,IF(Line_Check!AO6&gt;=Policy!$B$13*ROUND(Line_Check!AI6*Policy!$B$15,0),1,0),1),IF(Line_Check!AT6=1,IF(Line_Check!BA6&gt;=Policy!$B$13*ROUND(Line_Check!AU6*Policy!$B$15,0),1,0),1),IF(Line_Check!BF6=1,IF(Line_Check!BM6&gt;=Policy!$B$13*ROUND(Line_Check!BG6*Policy!$B$15,0),1,0),1),IF(Line_Check!BR6=1,IF(Line_Check!BY6&gt;=Policy!$B$13*ROUND(Line_Check!BS6*Policy!$B$15,0),1,0),1),IF(Line_Check!CD6=1,IF(Line_Check!CK6&gt;=Policy!$B$13*ROUND(Line_Check!CE6*Policy!$B$15,0),1,0),1),IF(Line_Check!CP6=1,IF(Line_Check!CW6&gt;=Policy!$B$13*ROUND(Line_Check!CQ6*Policy!$B$15,0),1,0),1))=1,"PASS","FAIL")</f>
        <v/>
      </c>
      <c r="L6" s="25">
        <f>IF(MIN(IF(Line_Check!J6=1,IF(AND(Line_Check!S6&gt;=ROUND(Line_Check!K6*Policy!$B$15,0),Line_Check!S6-ROUND(Line_Check!K6*Policy!$B$15,0)&gt;=Policy!$B$14),1,0),1),IF(Line_Check!V6=1,IF(AND(Line_Check!AE6&gt;=ROUND(Line_Check!W6*Policy!$B$15,0),Line_Check!AE6-ROUND(Line_Check!W6*Policy!$B$15,0)&gt;=Policy!$B$14),1,0),1),IF(Line_Check!AH6=1,IF(AND(Line_Check!AQ6&gt;=ROUND(Line_Check!AI6*Policy!$B$15,0),Line_Check!AQ6-ROUND(Line_Check!AI6*Policy!$B$15,0)&gt;=Policy!$B$14),1,0),1),IF(Line_Check!AT6=1,IF(AND(Line_Check!BC6&gt;=ROUND(Line_Check!AU6*Policy!$B$15,0),Line_Check!BC6-ROUND(Line_Check!AU6*Policy!$B$15,0)&gt;=Policy!$B$14),1,0),1),IF(Line_Check!BF6=1,IF(AND(Line_Check!BO6&gt;=ROUND(Line_Check!BG6*Policy!$B$15,0),Line_Check!BO6-ROUND(Line_Check!BG6*Policy!$B$15,0)&gt;=Policy!$B$14),1,0),1),IF(Line_Check!BR6=1,IF(AND(Line_Check!CA6&gt;=ROUND(Line_Check!BS6*Policy!$B$15,0),Line_Check!CA6-ROUND(Line_Check!BS6*Policy!$B$15,0)&gt;=Policy!$B$14),1,0),1),IF(Line_Check!CD6=1,IF(AND(Line_Check!CM6&gt;=ROUND(Line_Check!CE6*Policy!$B$15,0),Line_Check!CM6-ROUND(Line_Check!CE6*Policy!$B$15,0)&gt;=Policy!$B$14),1,0),1),IF(Line_Check!CP6=1,IF(AND(Line_Check!CY6&gt;=ROUND(Line_Check!CQ6*Policy!$B$15,0),Line_Check!CY6-ROUND(Line_Check!CQ6*Policy!$B$15,0)&gt;=Policy!$B$14),1,0),1))=1,"PASS","FAIL")</f>
        <v/>
      </c>
      <c r="M6" s="25">
        <f>IF(G6&gt;=2,"PASS","FAIL")</f>
        <v/>
      </c>
      <c r="N6" s="25">
        <f>IF(Request!$B$9="2-region",IF(MIN(IF(Line_Check!J6=1,IF(Line_Check!Q6+Line_Check!O6&gt;=ROUND(Line_Check!K6*Policy!$B$15,0),1,0),1),IF(Line_Check!V6=1,IF(Line_Check!AC6+Line_Check!AA6&gt;=ROUND(Line_Check!W6*Policy!$B$15,0),1,0),1),IF(Line_Check!AH6=1,IF(Line_Check!AO6+Line_Check!AM6&gt;=ROUND(Line_Check!AI6*Policy!$B$15,0),1,0),1),IF(Line_Check!AT6=1,IF(Line_Check!BA6+Line_Check!AY6&gt;=ROUND(Line_Check!AU6*Policy!$B$15,0),1,0),1),IF(Line_Check!BF6=1,IF(Line_Check!BM6+Line_Check!BK6&gt;=ROUND(Line_Check!BG6*Policy!$B$15,0),1,0),1),IF(Line_Check!BR6=1,IF(Line_Check!BY6+Line_Check!BW6&gt;=ROUND(Line_Check!BS6*Policy!$B$15,0),1,0),1),IF(Line_Check!CD6=1,IF(Line_Check!CK6+Line_Check!CI6&gt;=ROUND(Line_Check!CE6*Policy!$B$15,0),1,0),1),IF(Line_Check!CP6=1,IF(Line_Check!CW6+Line_Check!CU6&gt;=ROUND(Line_Check!CQ6*Policy!$B$15,0),1,0),1))=1,"PASS","FAIL"),"N/A")</f>
        <v/>
      </c>
      <c r="O6" s="25" t="inlineStr">
        <is>
          <t>N/A</t>
        </is>
      </c>
      <c r="P6" s="25">
        <f>IF(C6=Request!$B$10,"PASS","FAIL")</f>
        <v/>
      </c>
      <c r="Q6" s="25">
        <f>IF(D6="Standard","PASS","FAIL")</f>
        <v/>
      </c>
      <c r="R6" s="25">
        <f>IF(AND(Request!$B$9="cross-geo",C6=Request!$B$10),"PASS",IF(B6&lt;&gt;Allocation!$C$9,"PASS","FAIL"))</f>
        <v/>
      </c>
      <c r="S6" s="25">
        <f>IF(MIN(IF(Line_Check!J6=1,IF(MIN(Line_Check!Q6,Line_Check!S6)&gt;=ROUND(Line_Check!K6*Policy!$B$15,0),1,0),1),IF(Line_Check!V6=1,IF(MIN(Line_Check!AC6,Line_Check!AE6)&gt;=ROUND(Line_Check!W6*Policy!$B$15,0),1,0),1),IF(Line_Check!AH6=1,IF(MIN(Line_Check!AO6,Line_Check!AQ6)&gt;=ROUND(Line_Check!AI6*Policy!$B$15,0),1,0),1),IF(Line_Check!AT6=1,IF(MIN(Line_Check!BA6,Line_Check!BC6)&gt;=ROUND(Line_Check!AU6*Policy!$B$15,0),1,0),1),IF(Line_Check!BF6=1,IF(MIN(Line_Check!BM6,Line_Check!BO6)&gt;=ROUND(Line_Check!BG6*Policy!$B$15,0),1,0),1),IF(Line_Check!BR6=1,IF(MIN(Line_Check!BY6,Line_Check!CA6)&gt;=ROUND(Line_Check!BS6*Policy!$B$15,0),1,0),1),IF(Line_Check!CD6=1,IF(MIN(Line_Check!CK6,Line_Check!CM6)&gt;=ROUND(Line_Check!CE6*Policy!$B$15,0),1,0),1),IF(Line_Check!CP6=1,IF(MIN(Line_Check!CW6,Line_Check!CY6)&gt;=ROUND(Line_Check!CQ6*Policy!$B$15,0),1,0),1))=1,"PASS","FAIL")</f>
        <v/>
      </c>
      <c r="T6" s="36">
        <f>IF(AND(J6=1,OR(K6="PASS",K6="N/A"),OR(L6="PASS",L6="N/A"),OR(M6="PASS",M6="N/A"),OR(N6="PASS",N6="N/A"),OR(O6="PASS",O6="N/A"),OR(P6="PASS",P6="N/A"),OR(Q6="PASS",Q6="N/A"),OR(R6="PASS",R6="N/A"),OR(S6="PASS",S6="N/A")),1,0)</f>
        <v/>
      </c>
      <c r="U6" s="30">
        <f>IF(J6&lt;&gt;1,"—",MIN(IF(Line_Check!J6=1,MAX(0,MIN(1,IF(Line_Check!R6=0,0,Line_Check!Q6/Line_Check!R6))),1),IF(Line_Check!V6=1,MAX(0,MIN(1,IF(Line_Check!AD6=0,0,Line_Check!AC6/Line_Check!AD6))),1),IF(Line_Check!AH6=1,MAX(0,MIN(1,IF(Line_Check!AP6=0,0,Line_Check!AO6/Line_Check!AP6))),1),IF(Line_Check!AT6=1,MAX(0,MIN(1,IF(Line_Check!BB6=0,0,Line_Check!BA6/Line_Check!BB6))),1),IF(Line_Check!BF6=1,MAX(0,MIN(1,IF(Line_Check!BN6=0,0,Line_Check!BM6/Line_Check!BN6))),1),IF(Line_Check!BR6=1,MAX(0,MIN(1,IF(Line_Check!BZ6=0,0,Line_Check!BY6/Line_Check!BZ6))),1),IF(Line_Check!CD6=1,MAX(0,MIN(1,IF(Line_Check!CL6=0,0,Line_Check!CK6/Line_Check!CL6))),1),IF(Line_Check!CP6=1,MAX(0,MIN(1,IF(Line_Check!CX6=0,0,Line_Check!CW6/Line_Check!CX6))),1)))</f>
        <v/>
      </c>
      <c r="V6" s="30">
        <f>IF(J6&lt;&gt;1,"—",MIN(IF(Line_Check!J6=1,MAX(0,MIN(1,IF(Line_Check!T6=0,0,Line_Check!S6/Line_Check!T6))),1),IF(Line_Check!V6=1,MAX(0,MIN(1,IF(Line_Check!AF6=0,0,Line_Check!AE6/Line_Check!AF6))),1),IF(Line_Check!AH6=1,MAX(0,MIN(1,IF(Line_Check!AR6=0,0,Line_Check!AQ6/Line_Check!AR6))),1),IF(Line_Check!AT6=1,MAX(0,MIN(1,IF(Line_Check!BD6=0,0,Line_Check!BC6/Line_Check!BD6))),1),IF(Line_Check!BF6=1,MAX(0,MIN(1,IF(Line_Check!BP6=0,0,Line_Check!BO6/Line_Check!BP6))),1),IF(Line_Check!BR6=1,MAX(0,MIN(1,IF(Line_Check!CB6=0,0,Line_Check!CA6/Line_Check!CB6))),1),IF(Line_Check!CD6=1,MAX(0,MIN(1,IF(Line_Check!CN6=0,0,Line_Check!CM6/Line_Check!CN6))),1),IF(Line_Check!CP6=1,MAX(0,MIN(1,IF(Line_Check!CZ6=0,0,Line_Check!CY6/Line_Check!CZ6))),1)))</f>
        <v/>
      </c>
      <c r="W6" s="30">
        <f>IF(J6&lt;&gt;1,"—",IF(SUMIFS($H$5:$H$18,$C$5:$C$18,C6)=0,1,MAX(0,MIN(1,1-H6/SUMIFS($H$5:$H$18,$C$5:$C$18,C6)))))</f>
        <v/>
      </c>
      <c r="X6" s="30">
        <f>IF(J6&lt;&gt;1,"—",IF(Policy!$B$15&lt;=0,0,MAX(0,MIN(1,I6/Policy!$B$15))))</f>
        <v/>
      </c>
      <c r="Y6" s="30">
        <f>IF(J6&lt;&gt;1,"—",MAX(0,MIN(1,G6/3)))</f>
        <v/>
      </c>
      <c r="Z6" s="30">
        <f>IF(T6&lt;&gt;1,"—",Policy!$B$4*U6+Policy!$B$5*V6+Policy!$B$6*W6+Policy!$B$7*X6+Policy!$B$8*Y6)</f>
        <v/>
      </c>
      <c r="AA6" s="25">
        <f>IF(T6&lt;&gt;1,"—",1+COUNTIFS($T$5:$T$18,1,$Z$5:$Z$18,"&gt;"&amp;Z6)+COUNTIFS($T$5:$T$18,1,$Z$5:$Z$18,Z6,$AE$5:$AE$18,"&lt;"&amp;AE6))</f>
        <v/>
      </c>
      <c r="AB6" s="25">
        <f>IF(J6&lt;&gt;1,"—",IF(OR(AND(Line_Check!J6=1,Line_Check!R6=0),AND(Line_Check!V6=1,Line_Check!AD6=0),AND(Line_Check!AH6=1,Line_Check!AP6=0),AND(Line_Check!AT6=1,Line_Check!BB6=0),AND(Line_Check!BF6=1,Line_Check!BN6=0),AND(Line_Check!BR6=1,Line_Check!BZ6=0),AND(Line_Check!CD6=1,Line_Check!CL6=0),AND(Line_Check!CP6=1,Line_Check!CX6=0)),"RESERVATION_DEFICIT",IF(K6="FAIL","CAPACITY_UNAVAILABLE",IF(L6="FAIL","QUOTA_DEFICIT",IF(OR(M6="FAIL",N6="FAIL",O6="FAIL",P6="FAIL",Q6="FAIL",R6="FAIL",S6="FAIL"),"CAPACITY_UNAVAILABLE",IF(AND(T6=1,U6&lt;Policy!$B$12),"READY_WITH_RISK",IF(T6=1,"READY","CAPACITY_UNAVAILABLE")))))))</f>
        <v/>
      </c>
      <c r="AC6" s="25">
        <f>IF(T6&lt;&gt;1,"—",IF(MIN(IF(Line_Check!J6=1,Line_Check!Q6,10^9),IF(Line_Check!V6=1,Line_Check!AC6,10^9),IF(Line_Check!AH6=1,Line_Check!AO6,10^9),IF(Line_Check!AT6=1,Line_Check!BA6,10^9),IF(Line_Check!BF6=1,Line_Check!BM6,10^9),IF(Line_Check!BR6=1,Line_Check!BY6,10^9),IF(Line_Check!CD6=1,Line_Check!CK6,10^9),IF(Line_Check!CP6=1,Line_Check!CW6,10^9))&lt;=MIN(IF(Line_Check!J6=1,Line_Check!S6,10^9),IF(Line_Check!V6=1,Line_Check!AE6,10^9),IF(Line_Check!AH6=1,Line_Check!AQ6,10^9),IF(Line_Check!AT6=1,Line_Check!BC6,10^9),IF(Line_Check!BF6=1,Line_Check!BO6,10^9),IF(Line_Check!BR6=1,Line_Check!CA6,10^9),IF(Line_Check!CD6=1,Line_Check!CM6,10^9),IF(Line_Check!CP6=1,Line_Check!CY6,10^9)),"CAPACITY","QUOTA"))</f>
        <v/>
      </c>
      <c r="AE6" s="36">
        <f>ROW()</f>
        <v/>
      </c>
    </row>
    <row r="7">
      <c r="A7" s="6">
        <f>Line_Check!A7</f>
        <v/>
      </c>
      <c r="B7" s="6">
        <f>Line_Check!B7</f>
        <v/>
      </c>
      <c r="C7" s="15">
        <f>Line_Check!C7</f>
        <v/>
      </c>
      <c r="D7" s="15">
        <f>Line_Check!D7</f>
        <v/>
      </c>
      <c r="E7" s="15">
        <f>Line_Check!E7</f>
        <v/>
      </c>
      <c r="F7" s="15">
        <f>Line_Check!F7</f>
        <v/>
      </c>
      <c r="G7" s="42">
        <f>Line_Check!G7</f>
        <v/>
      </c>
      <c r="H7" s="42">
        <f>Line_Check!H7</f>
        <v/>
      </c>
      <c r="I7" s="43">
        <f>Line_Check!I7</f>
        <v/>
      </c>
      <c r="J7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ELIGIBLE"),0,IF(Request!$B$9="cross-geo",IF(AND(C7=Request!$B$10,D7="Standard"),1,0),IF(OR(Request!$B$9="2-region",Request!$B$11="Y"),IF(B7=Allocation!$C$10,1,0),IF(AND(C7=Request!$B$4,D7="Standard",B7&lt;&gt;Allocation!$C$9,B7&lt;&gt;Allocation!$C$10),1,0))))</f>
        <v/>
      </c>
      <c r="K7" s="25">
        <f>IF(MIN(IF(Line_Check!J7=1,IF(Line_Check!Q7&gt;=Policy!$B$13*ROUND(Line_Check!K7*Policy!$B$15,0),1,0),1),IF(Line_Check!V7=1,IF(Line_Check!AC7&gt;=Policy!$B$13*ROUND(Line_Check!W7*Policy!$B$15,0),1,0),1),IF(Line_Check!AH7=1,IF(Line_Check!AO7&gt;=Policy!$B$13*ROUND(Line_Check!AI7*Policy!$B$15,0),1,0),1),IF(Line_Check!AT7=1,IF(Line_Check!BA7&gt;=Policy!$B$13*ROUND(Line_Check!AU7*Policy!$B$15,0),1,0),1),IF(Line_Check!BF7=1,IF(Line_Check!BM7&gt;=Policy!$B$13*ROUND(Line_Check!BG7*Policy!$B$15,0),1,0),1),IF(Line_Check!BR7=1,IF(Line_Check!BY7&gt;=Policy!$B$13*ROUND(Line_Check!BS7*Policy!$B$15,0),1,0),1),IF(Line_Check!CD7=1,IF(Line_Check!CK7&gt;=Policy!$B$13*ROUND(Line_Check!CE7*Policy!$B$15,0),1,0),1),IF(Line_Check!CP7=1,IF(Line_Check!CW7&gt;=Policy!$B$13*ROUND(Line_Check!CQ7*Policy!$B$15,0),1,0),1))=1,"PASS","FAIL")</f>
        <v/>
      </c>
      <c r="L7" s="25">
        <f>IF(MIN(IF(Line_Check!J7=1,IF(AND(Line_Check!S7&gt;=ROUND(Line_Check!K7*Policy!$B$15,0),Line_Check!S7-ROUND(Line_Check!K7*Policy!$B$15,0)&gt;=Policy!$B$14),1,0),1),IF(Line_Check!V7=1,IF(AND(Line_Check!AE7&gt;=ROUND(Line_Check!W7*Policy!$B$15,0),Line_Check!AE7-ROUND(Line_Check!W7*Policy!$B$15,0)&gt;=Policy!$B$14),1,0),1),IF(Line_Check!AH7=1,IF(AND(Line_Check!AQ7&gt;=ROUND(Line_Check!AI7*Policy!$B$15,0),Line_Check!AQ7-ROUND(Line_Check!AI7*Policy!$B$15,0)&gt;=Policy!$B$14),1,0),1),IF(Line_Check!AT7=1,IF(AND(Line_Check!BC7&gt;=ROUND(Line_Check!AU7*Policy!$B$15,0),Line_Check!BC7-ROUND(Line_Check!AU7*Policy!$B$15,0)&gt;=Policy!$B$14),1,0),1),IF(Line_Check!BF7=1,IF(AND(Line_Check!BO7&gt;=ROUND(Line_Check!BG7*Policy!$B$15,0),Line_Check!BO7-ROUND(Line_Check!BG7*Policy!$B$15,0)&gt;=Policy!$B$14),1,0),1),IF(Line_Check!BR7=1,IF(AND(Line_Check!CA7&gt;=ROUND(Line_Check!BS7*Policy!$B$15,0),Line_Check!CA7-ROUND(Line_Check!BS7*Policy!$B$15,0)&gt;=Policy!$B$14),1,0),1),IF(Line_Check!CD7=1,IF(AND(Line_Check!CM7&gt;=ROUND(Line_Check!CE7*Policy!$B$15,0),Line_Check!CM7-ROUND(Line_Check!CE7*Policy!$B$15,0)&gt;=Policy!$B$14),1,0),1),IF(Line_Check!CP7=1,IF(AND(Line_Check!CY7&gt;=ROUND(Line_Check!CQ7*Policy!$B$15,0),Line_Check!CY7-ROUND(Line_Check!CQ7*Policy!$B$15,0)&gt;=Policy!$B$14),1,0),1))=1,"PASS","FAIL")</f>
        <v/>
      </c>
      <c r="M7" s="25">
        <f>IF(G7&gt;=2,"PASS","FAIL")</f>
        <v/>
      </c>
      <c r="N7" s="25">
        <f>IF(Request!$B$9="2-region",IF(MIN(IF(Line_Check!J7=1,IF(Line_Check!Q7+Line_Check!O7&gt;=ROUND(Line_Check!K7*Policy!$B$15,0),1,0),1),IF(Line_Check!V7=1,IF(Line_Check!AC7+Line_Check!AA7&gt;=ROUND(Line_Check!W7*Policy!$B$15,0),1,0),1),IF(Line_Check!AH7=1,IF(Line_Check!AO7+Line_Check!AM7&gt;=ROUND(Line_Check!AI7*Policy!$B$15,0),1,0),1),IF(Line_Check!AT7=1,IF(Line_Check!BA7+Line_Check!AY7&gt;=ROUND(Line_Check!AU7*Policy!$B$15,0),1,0),1),IF(Line_Check!BF7=1,IF(Line_Check!BM7+Line_Check!BK7&gt;=ROUND(Line_Check!BG7*Policy!$B$15,0),1,0),1),IF(Line_Check!BR7=1,IF(Line_Check!BY7+Line_Check!BW7&gt;=ROUND(Line_Check!BS7*Policy!$B$15,0),1,0),1),IF(Line_Check!CD7=1,IF(Line_Check!CK7+Line_Check!CI7&gt;=ROUND(Line_Check!CE7*Policy!$B$15,0),1,0),1),IF(Line_Check!CP7=1,IF(Line_Check!CW7+Line_Check!CU7&gt;=ROUND(Line_Check!CQ7*Policy!$B$15,0),1,0),1))=1,"PASS","FAIL"),"N/A")</f>
        <v/>
      </c>
      <c r="O7" s="25" t="inlineStr">
        <is>
          <t>N/A</t>
        </is>
      </c>
      <c r="P7" s="25">
        <f>IF(C7=Request!$B$10,"PASS","FAIL")</f>
        <v/>
      </c>
      <c r="Q7" s="25">
        <f>IF(D7="Standard","PASS","FAIL")</f>
        <v/>
      </c>
      <c r="R7" s="25">
        <f>IF(AND(Request!$B$9="cross-geo",C7=Request!$B$10),"PASS",IF(B7&lt;&gt;Allocation!$C$9,"PASS","FAIL"))</f>
        <v/>
      </c>
      <c r="S7" s="25">
        <f>IF(MIN(IF(Line_Check!J7=1,IF(MIN(Line_Check!Q7,Line_Check!S7)&gt;=ROUND(Line_Check!K7*Policy!$B$15,0),1,0),1),IF(Line_Check!V7=1,IF(MIN(Line_Check!AC7,Line_Check!AE7)&gt;=ROUND(Line_Check!W7*Policy!$B$15,0),1,0),1),IF(Line_Check!AH7=1,IF(MIN(Line_Check!AO7,Line_Check!AQ7)&gt;=ROUND(Line_Check!AI7*Policy!$B$15,0),1,0),1),IF(Line_Check!AT7=1,IF(MIN(Line_Check!BA7,Line_Check!BC7)&gt;=ROUND(Line_Check!AU7*Policy!$B$15,0),1,0),1),IF(Line_Check!BF7=1,IF(MIN(Line_Check!BM7,Line_Check!BO7)&gt;=ROUND(Line_Check!BG7*Policy!$B$15,0),1,0),1),IF(Line_Check!BR7=1,IF(MIN(Line_Check!BY7,Line_Check!CA7)&gt;=ROUND(Line_Check!BS7*Policy!$B$15,0),1,0),1),IF(Line_Check!CD7=1,IF(MIN(Line_Check!CK7,Line_Check!CM7)&gt;=ROUND(Line_Check!CE7*Policy!$B$15,0),1,0),1),IF(Line_Check!CP7=1,IF(MIN(Line_Check!CW7,Line_Check!CY7)&gt;=ROUND(Line_Check!CQ7*Policy!$B$15,0),1,0),1))=1,"PASS","FAIL")</f>
        <v/>
      </c>
      <c r="T7" s="36">
        <f>IF(AND(J7=1,OR(K7="PASS",K7="N/A"),OR(L7="PASS",L7="N/A"),OR(M7="PASS",M7="N/A"),OR(N7="PASS",N7="N/A"),OR(O7="PASS",O7="N/A"),OR(P7="PASS",P7="N/A"),OR(Q7="PASS",Q7="N/A"),OR(R7="PASS",R7="N/A"),OR(S7="PASS",S7="N/A")),1,0)</f>
        <v/>
      </c>
      <c r="U7" s="30">
        <f>IF(J7&lt;&gt;1,"—",MIN(IF(Line_Check!J7=1,MAX(0,MIN(1,IF(Line_Check!R7=0,0,Line_Check!Q7/Line_Check!R7))),1),IF(Line_Check!V7=1,MAX(0,MIN(1,IF(Line_Check!AD7=0,0,Line_Check!AC7/Line_Check!AD7))),1),IF(Line_Check!AH7=1,MAX(0,MIN(1,IF(Line_Check!AP7=0,0,Line_Check!AO7/Line_Check!AP7))),1),IF(Line_Check!AT7=1,MAX(0,MIN(1,IF(Line_Check!BB7=0,0,Line_Check!BA7/Line_Check!BB7))),1),IF(Line_Check!BF7=1,MAX(0,MIN(1,IF(Line_Check!BN7=0,0,Line_Check!BM7/Line_Check!BN7))),1),IF(Line_Check!BR7=1,MAX(0,MIN(1,IF(Line_Check!BZ7=0,0,Line_Check!BY7/Line_Check!BZ7))),1),IF(Line_Check!CD7=1,MAX(0,MIN(1,IF(Line_Check!CL7=0,0,Line_Check!CK7/Line_Check!CL7))),1),IF(Line_Check!CP7=1,MAX(0,MIN(1,IF(Line_Check!CX7=0,0,Line_Check!CW7/Line_Check!CX7))),1)))</f>
        <v/>
      </c>
      <c r="V7" s="30">
        <f>IF(J7&lt;&gt;1,"—",MIN(IF(Line_Check!J7=1,MAX(0,MIN(1,IF(Line_Check!T7=0,0,Line_Check!S7/Line_Check!T7))),1),IF(Line_Check!V7=1,MAX(0,MIN(1,IF(Line_Check!AF7=0,0,Line_Check!AE7/Line_Check!AF7))),1),IF(Line_Check!AH7=1,MAX(0,MIN(1,IF(Line_Check!AR7=0,0,Line_Check!AQ7/Line_Check!AR7))),1),IF(Line_Check!AT7=1,MAX(0,MIN(1,IF(Line_Check!BD7=0,0,Line_Check!BC7/Line_Check!BD7))),1),IF(Line_Check!BF7=1,MAX(0,MIN(1,IF(Line_Check!BP7=0,0,Line_Check!BO7/Line_Check!BP7))),1),IF(Line_Check!BR7=1,MAX(0,MIN(1,IF(Line_Check!CB7=0,0,Line_Check!CA7/Line_Check!CB7))),1),IF(Line_Check!CD7=1,MAX(0,MIN(1,IF(Line_Check!CN7=0,0,Line_Check!CM7/Line_Check!CN7))),1),IF(Line_Check!CP7=1,MAX(0,MIN(1,IF(Line_Check!CZ7=0,0,Line_Check!CY7/Line_Check!CZ7))),1)))</f>
        <v/>
      </c>
      <c r="W7" s="30">
        <f>IF(J7&lt;&gt;1,"—",IF(SUMIFS($H$5:$H$18,$C$5:$C$18,C7)=0,1,MAX(0,MIN(1,1-H7/SUMIFS($H$5:$H$18,$C$5:$C$18,C7)))))</f>
        <v/>
      </c>
      <c r="X7" s="30">
        <f>IF(J7&lt;&gt;1,"—",IF(Policy!$B$15&lt;=0,0,MAX(0,MIN(1,I7/Policy!$B$15))))</f>
        <v/>
      </c>
      <c r="Y7" s="30">
        <f>IF(J7&lt;&gt;1,"—",MAX(0,MIN(1,G7/3)))</f>
        <v/>
      </c>
      <c r="Z7" s="30">
        <f>IF(T7&lt;&gt;1,"—",Policy!$B$4*U7+Policy!$B$5*V7+Policy!$B$6*W7+Policy!$B$7*X7+Policy!$B$8*Y7)</f>
        <v/>
      </c>
      <c r="AA7" s="25">
        <f>IF(T7&lt;&gt;1,"—",1+COUNTIFS($T$5:$T$18,1,$Z$5:$Z$18,"&gt;"&amp;Z7)+COUNTIFS($T$5:$T$18,1,$Z$5:$Z$18,Z7,$AE$5:$AE$18,"&lt;"&amp;AE7))</f>
        <v/>
      </c>
      <c r="AB7" s="25">
        <f>IF(J7&lt;&gt;1,"—",IF(OR(AND(Line_Check!J7=1,Line_Check!R7=0),AND(Line_Check!V7=1,Line_Check!AD7=0),AND(Line_Check!AH7=1,Line_Check!AP7=0),AND(Line_Check!AT7=1,Line_Check!BB7=0),AND(Line_Check!BF7=1,Line_Check!BN7=0),AND(Line_Check!BR7=1,Line_Check!BZ7=0),AND(Line_Check!CD7=1,Line_Check!CL7=0),AND(Line_Check!CP7=1,Line_Check!CX7=0)),"RESERVATION_DEFICIT",IF(K7="FAIL","CAPACITY_UNAVAILABLE",IF(L7="FAIL","QUOTA_DEFICIT",IF(OR(M7="FAIL",N7="FAIL",O7="FAIL",P7="FAIL",Q7="FAIL",R7="FAIL",S7="FAIL"),"CAPACITY_UNAVAILABLE",IF(AND(T7=1,U7&lt;Policy!$B$12),"READY_WITH_RISK",IF(T7=1,"READY","CAPACITY_UNAVAILABLE")))))))</f>
        <v/>
      </c>
      <c r="AC7" s="25">
        <f>IF(T7&lt;&gt;1,"—",IF(MIN(IF(Line_Check!J7=1,Line_Check!Q7,10^9),IF(Line_Check!V7=1,Line_Check!AC7,10^9),IF(Line_Check!AH7=1,Line_Check!AO7,10^9),IF(Line_Check!AT7=1,Line_Check!BA7,10^9),IF(Line_Check!BF7=1,Line_Check!BM7,10^9),IF(Line_Check!BR7=1,Line_Check!BY7,10^9),IF(Line_Check!CD7=1,Line_Check!CK7,10^9),IF(Line_Check!CP7=1,Line_Check!CW7,10^9))&lt;=MIN(IF(Line_Check!J7=1,Line_Check!S7,10^9),IF(Line_Check!V7=1,Line_Check!AE7,10^9),IF(Line_Check!AH7=1,Line_Check!AQ7,10^9),IF(Line_Check!AT7=1,Line_Check!BC7,10^9),IF(Line_Check!BF7=1,Line_Check!BO7,10^9),IF(Line_Check!BR7=1,Line_Check!CA7,10^9),IF(Line_Check!CD7=1,Line_Check!CM7,10^9),IF(Line_Check!CP7=1,Line_Check!CY7,10^9)),"CAPACITY","QUOTA"))</f>
        <v/>
      </c>
      <c r="AE7" s="36">
        <f>ROW()</f>
        <v/>
      </c>
    </row>
    <row r="8">
      <c r="A8" s="6">
        <f>Line_Check!A8</f>
        <v/>
      </c>
      <c r="B8" s="6">
        <f>Line_Check!B8</f>
        <v/>
      </c>
      <c r="C8" s="15">
        <f>Line_Check!C8</f>
        <v/>
      </c>
      <c r="D8" s="15">
        <f>Line_Check!D8</f>
        <v/>
      </c>
      <c r="E8" s="15">
        <f>Line_Check!E8</f>
        <v/>
      </c>
      <c r="F8" s="15">
        <f>Line_Check!F8</f>
        <v/>
      </c>
      <c r="G8" s="42">
        <f>Line_Check!G8</f>
        <v/>
      </c>
      <c r="H8" s="42">
        <f>Line_Check!H8</f>
        <v/>
      </c>
      <c r="I8" s="43">
        <f>Line_Check!I8</f>
        <v/>
      </c>
      <c r="J8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ELIGIBLE"),0,IF(Request!$B$9="cross-geo",IF(AND(C8=Request!$B$10,D8="Standard"),1,0),IF(OR(Request!$B$9="2-region",Request!$B$11="Y"),IF(B8=Allocation!$C$10,1,0),IF(AND(C8=Request!$B$4,D8="Standard",B8&lt;&gt;Allocation!$C$9,B8&lt;&gt;Allocation!$C$10),1,0))))</f>
        <v/>
      </c>
      <c r="K8" s="25">
        <f>IF(MIN(IF(Line_Check!J8=1,IF(Line_Check!Q8&gt;=Policy!$B$13*ROUND(Line_Check!K8*Policy!$B$15,0),1,0),1),IF(Line_Check!V8=1,IF(Line_Check!AC8&gt;=Policy!$B$13*ROUND(Line_Check!W8*Policy!$B$15,0),1,0),1),IF(Line_Check!AH8=1,IF(Line_Check!AO8&gt;=Policy!$B$13*ROUND(Line_Check!AI8*Policy!$B$15,0),1,0),1),IF(Line_Check!AT8=1,IF(Line_Check!BA8&gt;=Policy!$B$13*ROUND(Line_Check!AU8*Policy!$B$15,0),1,0),1),IF(Line_Check!BF8=1,IF(Line_Check!BM8&gt;=Policy!$B$13*ROUND(Line_Check!BG8*Policy!$B$15,0),1,0),1),IF(Line_Check!BR8=1,IF(Line_Check!BY8&gt;=Policy!$B$13*ROUND(Line_Check!BS8*Policy!$B$15,0),1,0),1),IF(Line_Check!CD8=1,IF(Line_Check!CK8&gt;=Policy!$B$13*ROUND(Line_Check!CE8*Policy!$B$15,0),1,0),1),IF(Line_Check!CP8=1,IF(Line_Check!CW8&gt;=Policy!$B$13*ROUND(Line_Check!CQ8*Policy!$B$15,0),1,0),1))=1,"PASS","FAIL")</f>
        <v/>
      </c>
      <c r="L8" s="25">
        <f>IF(MIN(IF(Line_Check!J8=1,IF(AND(Line_Check!S8&gt;=ROUND(Line_Check!K8*Policy!$B$15,0),Line_Check!S8-ROUND(Line_Check!K8*Policy!$B$15,0)&gt;=Policy!$B$14),1,0),1),IF(Line_Check!V8=1,IF(AND(Line_Check!AE8&gt;=ROUND(Line_Check!W8*Policy!$B$15,0),Line_Check!AE8-ROUND(Line_Check!W8*Policy!$B$15,0)&gt;=Policy!$B$14),1,0),1),IF(Line_Check!AH8=1,IF(AND(Line_Check!AQ8&gt;=ROUND(Line_Check!AI8*Policy!$B$15,0),Line_Check!AQ8-ROUND(Line_Check!AI8*Policy!$B$15,0)&gt;=Policy!$B$14),1,0),1),IF(Line_Check!AT8=1,IF(AND(Line_Check!BC8&gt;=ROUND(Line_Check!AU8*Policy!$B$15,0),Line_Check!BC8-ROUND(Line_Check!AU8*Policy!$B$15,0)&gt;=Policy!$B$14),1,0),1),IF(Line_Check!BF8=1,IF(AND(Line_Check!BO8&gt;=ROUND(Line_Check!BG8*Policy!$B$15,0),Line_Check!BO8-ROUND(Line_Check!BG8*Policy!$B$15,0)&gt;=Policy!$B$14),1,0),1),IF(Line_Check!BR8=1,IF(AND(Line_Check!CA8&gt;=ROUND(Line_Check!BS8*Policy!$B$15,0),Line_Check!CA8-ROUND(Line_Check!BS8*Policy!$B$15,0)&gt;=Policy!$B$14),1,0),1),IF(Line_Check!CD8=1,IF(AND(Line_Check!CM8&gt;=ROUND(Line_Check!CE8*Policy!$B$15,0),Line_Check!CM8-ROUND(Line_Check!CE8*Policy!$B$15,0)&gt;=Policy!$B$14),1,0),1),IF(Line_Check!CP8=1,IF(AND(Line_Check!CY8&gt;=ROUND(Line_Check!CQ8*Policy!$B$15,0),Line_Check!CY8-ROUND(Line_Check!CQ8*Policy!$B$15,0)&gt;=Policy!$B$14),1,0),1))=1,"PASS","FAIL")</f>
        <v/>
      </c>
      <c r="M8" s="25">
        <f>IF(G8&gt;=2,"PASS","FAIL")</f>
        <v/>
      </c>
      <c r="N8" s="25">
        <f>IF(Request!$B$9="2-region",IF(MIN(IF(Line_Check!J8=1,IF(Line_Check!Q8+Line_Check!O8&gt;=ROUND(Line_Check!K8*Policy!$B$15,0),1,0),1),IF(Line_Check!V8=1,IF(Line_Check!AC8+Line_Check!AA8&gt;=ROUND(Line_Check!W8*Policy!$B$15,0),1,0),1),IF(Line_Check!AH8=1,IF(Line_Check!AO8+Line_Check!AM8&gt;=ROUND(Line_Check!AI8*Policy!$B$15,0),1,0),1),IF(Line_Check!AT8=1,IF(Line_Check!BA8+Line_Check!AY8&gt;=ROUND(Line_Check!AU8*Policy!$B$15,0),1,0),1),IF(Line_Check!BF8=1,IF(Line_Check!BM8+Line_Check!BK8&gt;=ROUND(Line_Check!BG8*Policy!$B$15,0),1,0),1),IF(Line_Check!BR8=1,IF(Line_Check!BY8+Line_Check!BW8&gt;=ROUND(Line_Check!BS8*Policy!$B$15,0),1,0),1),IF(Line_Check!CD8=1,IF(Line_Check!CK8+Line_Check!CI8&gt;=ROUND(Line_Check!CE8*Policy!$B$15,0),1,0),1),IF(Line_Check!CP8=1,IF(Line_Check!CW8+Line_Check!CU8&gt;=ROUND(Line_Check!CQ8*Policy!$B$15,0),1,0),1))=1,"PASS","FAIL"),"N/A")</f>
        <v/>
      </c>
      <c r="O8" s="25" t="inlineStr">
        <is>
          <t>N/A</t>
        </is>
      </c>
      <c r="P8" s="25">
        <f>IF(C8=Request!$B$10,"PASS","FAIL")</f>
        <v/>
      </c>
      <c r="Q8" s="25">
        <f>IF(D8="Standard","PASS","FAIL")</f>
        <v/>
      </c>
      <c r="R8" s="25">
        <f>IF(AND(Request!$B$9="cross-geo",C8=Request!$B$10),"PASS",IF(B8&lt;&gt;Allocation!$C$9,"PASS","FAIL"))</f>
        <v/>
      </c>
      <c r="S8" s="25">
        <f>IF(MIN(IF(Line_Check!J8=1,IF(MIN(Line_Check!Q8,Line_Check!S8)&gt;=ROUND(Line_Check!K8*Policy!$B$15,0),1,0),1),IF(Line_Check!V8=1,IF(MIN(Line_Check!AC8,Line_Check!AE8)&gt;=ROUND(Line_Check!W8*Policy!$B$15,0),1,0),1),IF(Line_Check!AH8=1,IF(MIN(Line_Check!AO8,Line_Check!AQ8)&gt;=ROUND(Line_Check!AI8*Policy!$B$15,0),1,0),1),IF(Line_Check!AT8=1,IF(MIN(Line_Check!BA8,Line_Check!BC8)&gt;=ROUND(Line_Check!AU8*Policy!$B$15,0),1,0),1),IF(Line_Check!BF8=1,IF(MIN(Line_Check!BM8,Line_Check!BO8)&gt;=ROUND(Line_Check!BG8*Policy!$B$15,0),1,0),1),IF(Line_Check!BR8=1,IF(MIN(Line_Check!BY8,Line_Check!CA8)&gt;=ROUND(Line_Check!BS8*Policy!$B$15,0),1,0),1),IF(Line_Check!CD8=1,IF(MIN(Line_Check!CK8,Line_Check!CM8)&gt;=ROUND(Line_Check!CE8*Policy!$B$15,0),1,0),1),IF(Line_Check!CP8=1,IF(MIN(Line_Check!CW8,Line_Check!CY8)&gt;=ROUND(Line_Check!CQ8*Policy!$B$15,0),1,0),1))=1,"PASS","FAIL")</f>
        <v/>
      </c>
      <c r="T8" s="36">
        <f>IF(AND(J8=1,OR(K8="PASS",K8="N/A"),OR(L8="PASS",L8="N/A"),OR(M8="PASS",M8="N/A"),OR(N8="PASS",N8="N/A"),OR(O8="PASS",O8="N/A"),OR(P8="PASS",P8="N/A"),OR(Q8="PASS",Q8="N/A"),OR(R8="PASS",R8="N/A"),OR(S8="PASS",S8="N/A")),1,0)</f>
        <v/>
      </c>
      <c r="U8" s="30">
        <f>IF(J8&lt;&gt;1,"—",MIN(IF(Line_Check!J8=1,MAX(0,MIN(1,IF(Line_Check!R8=0,0,Line_Check!Q8/Line_Check!R8))),1),IF(Line_Check!V8=1,MAX(0,MIN(1,IF(Line_Check!AD8=0,0,Line_Check!AC8/Line_Check!AD8))),1),IF(Line_Check!AH8=1,MAX(0,MIN(1,IF(Line_Check!AP8=0,0,Line_Check!AO8/Line_Check!AP8))),1),IF(Line_Check!AT8=1,MAX(0,MIN(1,IF(Line_Check!BB8=0,0,Line_Check!BA8/Line_Check!BB8))),1),IF(Line_Check!BF8=1,MAX(0,MIN(1,IF(Line_Check!BN8=0,0,Line_Check!BM8/Line_Check!BN8))),1),IF(Line_Check!BR8=1,MAX(0,MIN(1,IF(Line_Check!BZ8=0,0,Line_Check!BY8/Line_Check!BZ8))),1),IF(Line_Check!CD8=1,MAX(0,MIN(1,IF(Line_Check!CL8=0,0,Line_Check!CK8/Line_Check!CL8))),1),IF(Line_Check!CP8=1,MAX(0,MIN(1,IF(Line_Check!CX8=0,0,Line_Check!CW8/Line_Check!CX8))),1)))</f>
        <v/>
      </c>
      <c r="V8" s="30">
        <f>IF(J8&lt;&gt;1,"—",MIN(IF(Line_Check!J8=1,MAX(0,MIN(1,IF(Line_Check!T8=0,0,Line_Check!S8/Line_Check!T8))),1),IF(Line_Check!V8=1,MAX(0,MIN(1,IF(Line_Check!AF8=0,0,Line_Check!AE8/Line_Check!AF8))),1),IF(Line_Check!AH8=1,MAX(0,MIN(1,IF(Line_Check!AR8=0,0,Line_Check!AQ8/Line_Check!AR8))),1),IF(Line_Check!AT8=1,MAX(0,MIN(1,IF(Line_Check!BD8=0,0,Line_Check!BC8/Line_Check!BD8))),1),IF(Line_Check!BF8=1,MAX(0,MIN(1,IF(Line_Check!BP8=0,0,Line_Check!BO8/Line_Check!BP8))),1),IF(Line_Check!BR8=1,MAX(0,MIN(1,IF(Line_Check!CB8=0,0,Line_Check!CA8/Line_Check!CB8))),1),IF(Line_Check!CD8=1,MAX(0,MIN(1,IF(Line_Check!CN8=0,0,Line_Check!CM8/Line_Check!CN8))),1),IF(Line_Check!CP8=1,MAX(0,MIN(1,IF(Line_Check!CZ8=0,0,Line_Check!CY8/Line_Check!CZ8))),1)))</f>
        <v/>
      </c>
      <c r="W8" s="30">
        <f>IF(J8&lt;&gt;1,"—",IF(SUMIFS($H$5:$H$18,$C$5:$C$18,C8)=0,1,MAX(0,MIN(1,1-H8/SUMIFS($H$5:$H$18,$C$5:$C$18,C8)))))</f>
        <v/>
      </c>
      <c r="X8" s="30">
        <f>IF(J8&lt;&gt;1,"—",IF(Policy!$B$15&lt;=0,0,MAX(0,MIN(1,I8/Policy!$B$15))))</f>
        <v/>
      </c>
      <c r="Y8" s="30">
        <f>IF(J8&lt;&gt;1,"—",MAX(0,MIN(1,G8/3)))</f>
        <v/>
      </c>
      <c r="Z8" s="30">
        <f>IF(T8&lt;&gt;1,"—",Policy!$B$4*U8+Policy!$B$5*V8+Policy!$B$6*W8+Policy!$B$7*X8+Policy!$B$8*Y8)</f>
        <v/>
      </c>
      <c r="AA8" s="25">
        <f>IF(T8&lt;&gt;1,"—",1+COUNTIFS($T$5:$T$18,1,$Z$5:$Z$18,"&gt;"&amp;Z8)+COUNTIFS($T$5:$T$18,1,$Z$5:$Z$18,Z8,$AE$5:$AE$18,"&lt;"&amp;AE8))</f>
        <v/>
      </c>
      <c r="AB8" s="25">
        <f>IF(J8&lt;&gt;1,"—",IF(OR(AND(Line_Check!J8=1,Line_Check!R8=0),AND(Line_Check!V8=1,Line_Check!AD8=0),AND(Line_Check!AH8=1,Line_Check!AP8=0),AND(Line_Check!AT8=1,Line_Check!BB8=0),AND(Line_Check!BF8=1,Line_Check!BN8=0),AND(Line_Check!BR8=1,Line_Check!BZ8=0),AND(Line_Check!CD8=1,Line_Check!CL8=0),AND(Line_Check!CP8=1,Line_Check!CX8=0)),"RESERVATION_DEFICIT",IF(K8="FAIL","CAPACITY_UNAVAILABLE",IF(L8="FAIL","QUOTA_DEFICIT",IF(OR(M8="FAIL",N8="FAIL",O8="FAIL",P8="FAIL",Q8="FAIL",R8="FAIL",S8="FAIL"),"CAPACITY_UNAVAILABLE",IF(AND(T8=1,U8&lt;Policy!$B$12),"READY_WITH_RISK",IF(T8=1,"READY","CAPACITY_UNAVAILABLE")))))))</f>
        <v/>
      </c>
      <c r="AC8" s="25">
        <f>IF(T8&lt;&gt;1,"—",IF(MIN(IF(Line_Check!J8=1,Line_Check!Q8,10^9),IF(Line_Check!V8=1,Line_Check!AC8,10^9),IF(Line_Check!AH8=1,Line_Check!AO8,10^9),IF(Line_Check!AT8=1,Line_Check!BA8,10^9),IF(Line_Check!BF8=1,Line_Check!BM8,10^9),IF(Line_Check!BR8=1,Line_Check!BY8,10^9),IF(Line_Check!CD8=1,Line_Check!CK8,10^9),IF(Line_Check!CP8=1,Line_Check!CW8,10^9))&lt;=MIN(IF(Line_Check!J8=1,Line_Check!S8,10^9),IF(Line_Check!V8=1,Line_Check!AE8,10^9),IF(Line_Check!AH8=1,Line_Check!AQ8,10^9),IF(Line_Check!AT8=1,Line_Check!BC8,10^9),IF(Line_Check!BF8=1,Line_Check!BO8,10^9),IF(Line_Check!BR8=1,Line_Check!CA8,10^9),IF(Line_Check!CD8=1,Line_Check!CM8,10^9),IF(Line_Check!CP8=1,Line_Check!CY8,10^9)),"CAPACITY","QUOTA"))</f>
        <v/>
      </c>
      <c r="AE8" s="36">
        <f>ROW()</f>
        <v/>
      </c>
    </row>
    <row r="9">
      <c r="A9" s="6">
        <f>Line_Check!A9</f>
        <v/>
      </c>
      <c r="B9" s="6">
        <f>Line_Check!B9</f>
        <v/>
      </c>
      <c r="C9" s="15">
        <f>Line_Check!C9</f>
        <v/>
      </c>
      <c r="D9" s="15">
        <f>Line_Check!D9</f>
        <v/>
      </c>
      <c r="E9" s="15">
        <f>Line_Check!E9</f>
        <v/>
      </c>
      <c r="F9" s="15">
        <f>Line_Check!F9</f>
        <v/>
      </c>
      <c r="G9" s="42">
        <f>Line_Check!G9</f>
        <v/>
      </c>
      <c r="H9" s="42">
        <f>Line_Check!H9</f>
        <v/>
      </c>
      <c r="I9" s="43">
        <f>Line_Check!I9</f>
        <v/>
      </c>
      <c r="J9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ELIGIBLE"),0,IF(Request!$B$9="cross-geo",IF(AND(C9=Request!$B$10,D9="Standard"),1,0),IF(OR(Request!$B$9="2-region",Request!$B$11="Y"),IF(B9=Allocation!$C$10,1,0),IF(AND(C9=Request!$B$4,D9="Standard",B9&lt;&gt;Allocation!$C$9,B9&lt;&gt;Allocation!$C$10),1,0))))</f>
        <v/>
      </c>
      <c r="K9" s="25">
        <f>IF(MIN(IF(Line_Check!J9=1,IF(Line_Check!Q9&gt;=Policy!$B$13*ROUND(Line_Check!K9*Policy!$B$15,0),1,0),1),IF(Line_Check!V9=1,IF(Line_Check!AC9&gt;=Policy!$B$13*ROUND(Line_Check!W9*Policy!$B$15,0),1,0),1),IF(Line_Check!AH9=1,IF(Line_Check!AO9&gt;=Policy!$B$13*ROUND(Line_Check!AI9*Policy!$B$15,0),1,0),1),IF(Line_Check!AT9=1,IF(Line_Check!BA9&gt;=Policy!$B$13*ROUND(Line_Check!AU9*Policy!$B$15,0),1,0),1),IF(Line_Check!BF9=1,IF(Line_Check!BM9&gt;=Policy!$B$13*ROUND(Line_Check!BG9*Policy!$B$15,0),1,0),1),IF(Line_Check!BR9=1,IF(Line_Check!BY9&gt;=Policy!$B$13*ROUND(Line_Check!BS9*Policy!$B$15,0),1,0),1),IF(Line_Check!CD9=1,IF(Line_Check!CK9&gt;=Policy!$B$13*ROUND(Line_Check!CE9*Policy!$B$15,0),1,0),1),IF(Line_Check!CP9=1,IF(Line_Check!CW9&gt;=Policy!$B$13*ROUND(Line_Check!CQ9*Policy!$B$15,0),1,0),1))=1,"PASS","FAIL")</f>
        <v/>
      </c>
      <c r="L9" s="25">
        <f>IF(MIN(IF(Line_Check!J9=1,IF(AND(Line_Check!S9&gt;=ROUND(Line_Check!K9*Policy!$B$15,0),Line_Check!S9-ROUND(Line_Check!K9*Policy!$B$15,0)&gt;=Policy!$B$14),1,0),1),IF(Line_Check!V9=1,IF(AND(Line_Check!AE9&gt;=ROUND(Line_Check!W9*Policy!$B$15,0),Line_Check!AE9-ROUND(Line_Check!W9*Policy!$B$15,0)&gt;=Policy!$B$14),1,0),1),IF(Line_Check!AH9=1,IF(AND(Line_Check!AQ9&gt;=ROUND(Line_Check!AI9*Policy!$B$15,0),Line_Check!AQ9-ROUND(Line_Check!AI9*Policy!$B$15,0)&gt;=Policy!$B$14),1,0),1),IF(Line_Check!AT9=1,IF(AND(Line_Check!BC9&gt;=ROUND(Line_Check!AU9*Policy!$B$15,0),Line_Check!BC9-ROUND(Line_Check!AU9*Policy!$B$15,0)&gt;=Policy!$B$14),1,0),1),IF(Line_Check!BF9=1,IF(AND(Line_Check!BO9&gt;=ROUND(Line_Check!BG9*Policy!$B$15,0),Line_Check!BO9-ROUND(Line_Check!BG9*Policy!$B$15,0)&gt;=Policy!$B$14),1,0),1),IF(Line_Check!BR9=1,IF(AND(Line_Check!CA9&gt;=ROUND(Line_Check!BS9*Policy!$B$15,0),Line_Check!CA9-ROUND(Line_Check!BS9*Policy!$B$15,0)&gt;=Policy!$B$14),1,0),1),IF(Line_Check!CD9=1,IF(AND(Line_Check!CM9&gt;=ROUND(Line_Check!CE9*Policy!$B$15,0),Line_Check!CM9-ROUND(Line_Check!CE9*Policy!$B$15,0)&gt;=Policy!$B$14),1,0),1),IF(Line_Check!CP9=1,IF(AND(Line_Check!CY9&gt;=ROUND(Line_Check!CQ9*Policy!$B$15,0),Line_Check!CY9-ROUND(Line_Check!CQ9*Policy!$B$15,0)&gt;=Policy!$B$14),1,0),1))=1,"PASS","FAIL")</f>
        <v/>
      </c>
      <c r="M9" s="25">
        <f>IF(G9&gt;=2,"PASS","FAIL")</f>
        <v/>
      </c>
      <c r="N9" s="25">
        <f>IF(Request!$B$9="2-region",IF(MIN(IF(Line_Check!J9=1,IF(Line_Check!Q9+Line_Check!O9&gt;=ROUND(Line_Check!K9*Policy!$B$15,0),1,0),1),IF(Line_Check!V9=1,IF(Line_Check!AC9+Line_Check!AA9&gt;=ROUND(Line_Check!W9*Policy!$B$15,0),1,0),1),IF(Line_Check!AH9=1,IF(Line_Check!AO9+Line_Check!AM9&gt;=ROUND(Line_Check!AI9*Policy!$B$15,0),1,0),1),IF(Line_Check!AT9=1,IF(Line_Check!BA9+Line_Check!AY9&gt;=ROUND(Line_Check!AU9*Policy!$B$15,0),1,0),1),IF(Line_Check!BF9=1,IF(Line_Check!BM9+Line_Check!BK9&gt;=ROUND(Line_Check!BG9*Policy!$B$15,0),1,0),1),IF(Line_Check!BR9=1,IF(Line_Check!BY9+Line_Check!BW9&gt;=ROUND(Line_Check!BS9*Policy!$B$15,0),1,0),1),IF(Line_Check!CD9=1,IF(Line_Check!CK9+Line_Check!CI9&gt;=ROUND(Line_Check!CE9*Policy!$B$15,0),1,0),1),IF(Line_Check!CP9=1,IF(Line_Check!CW9+Line_Check!CU9&gt;=ROUND(Line_Check!CQ9*Policy!$B$15,0),1,0),1))=1,"PASS","FAIL"),"N/A")</f>
        <v/>
      </c>
      <c r="O9" s="25" t="inlineStr">
        <is>
          <t>N/A</t>
        </is>
      </c>
      <c r="P9" s="25">
        <f>IF(C9=Request!$B$10,"PASS","FAIL")</f>
        <v/>
      </c>
      <c r="Q9" s="25">
        <f>IF(D9="Standard","PASS","FAIL")</f>
        <v/>
      </c>
      <c r="R9" s="25">
        <f>IF(AND(Request!$B$9="cross-geo",C9=Request!$B$10),"PASS",IF(B9&lt;&gt;Allocation!$C$9,"PASS","FAIL"))</f>
        <v/>
      </c>
      <c r="S9" s="25">
        <f>IF(MIN(IF(Line_Check!J9=1,IF(MIN(Line_Check!Q9,Line_Check!S9)&gt;=ROUND(Line_Check!K9*Policy!$B$15,0),1,0),1),IF(Line_Check!V9=1,IF(MIN(Line_Check!AC9,Line_Check!AE9)&gt;=ROUND(Line_Check!W9*Policy!$B$15,0),1,0),1),IF(Line_Check!AH9=1,IF(MIN(Line_Check!AO9,Line_Check!AQ9)&gt;=ROUND(Line_Check!AI9*Policy!$B$15,0),1,0),1),IF(Line_Check!AT9=1,IF(MIN(Line_Check!BA9,Line_Check!BC9)&gt;=ROUND(Line_Check!AU9*Policy!$B$15,0),1,0),1),IF(Line_Check!BF9=1,IF(MIN(Line_Check!BM9,Line_Check!BO9)&gt;=ROUND(Line_Check!BG9*Policy!$B$15,0),1,0),1),IF(Line_Check!BR9=1,IF(MIN(Line_Check!BY9,Line_Check!CA9)&gt;=ROUND(Line_Check!BS9*Policy!$B$15,0),1,0),1),IF(Line_Check!CD9=1,IF(MIN(Line_Check!CK9,Line_Check!CM9)&gt;=ROUND(Line_Check!CE9*Policy!$B$15,0),1,0),1),IF(Line_Check!CP9=1,IF(MIN(Line_Check!CW9,Line_Check!CY9)&gt;=ROUND(Line_Check!CQ9*Policy!$B$15,0),1,0),1))=1,"PASS","FAIL")</f>
        <v/>
      </c>
      <c r="T9" s="36">
        <f>IF(AND(J9=1,OR(K9="PASS",K9="N/A"),OR(L9="PASS",L9="N/A"),OR(M9="PASS",M9="N/A"),OR(N9="PASS",N9="N/A"),OR(O9="PASS",O9="N/A"),OR(P9="PASS",P9="N/A"),OR(Q9="PASS",Q9="N/A"),OR(R9="PASS",R9="N/A"),OR(S9="PASS",S9="N/A")),1,0)</f>
        <v/>
      </c>
      <c r="U9" s="30">
        <f>IF(J9&lt;&gt;1,"—",MIN(IF(Line_Check!J9=1,MAX(0,MIN(1,IF(Line_Check!R9=0,0,Line_Check!Q9/Line_Check!R9))),1),IF(Line_Check!V9=1,MAX(0,MIN(1,IF(Line_Check!AD9=0,0,Line_Check!AC9/Line_Check!AD9))),1),IF(Line_Check!AH9=1,MAX(0,MIN(1,IF(Line_Check!AP9=0,0,Line_Check!AO9/Line_Check!AP9))),1),IF(Line_Check!AT9=1,MAX(0,MIN(1,IF(Line_Check!BB9=0,0,Line_Check!BA9/Line_Check!BB9))),1),IF(Line_Check!BF9=1,MAX(0,MIN(1,IF(Line_Check!BN9=0,0,Line_Check!BM9/Line_Check!BN9))),1),IF(Line_Check!BR9=1,MAX(0,MIN(1,IF(Line_Check!BZ9=0,0,Line_Check!BY9/Line_Check!BZ9))),1),IF(Line_Check!CD9=1,MAX(0,MIN(1,IF(Line_Check!CL9=0,0,Line_Check!CK9/Line_Check!CL9))),1),IF(Line_Check!CP9=1,MAX(0,MIN(1,IF(Line_Check!CX9=0,0,Line_Check!CW9/Line_Check!CX9))),1)))</f>
        <v/>
      </c>
      <c r="V9" s="30">
        <f>IF(J9&lt;&gt;1,"—",MIN(IF(Line_Check!J9=1,MAX(0,MIN(1,IF(Line_Check!T9=0,0,Line_Check!S9/Line_Check!T9))),1),IF(Line_Check!V9=1,MAX(0,MIN(1,IF(Line_Check!AF9=0,0,Line_Check!AE9/Line_Check!AF9))),1),IF(Line_Check!AH9=1,MAX(0,MIN(1,IF(Line_Check!AR9=0,0,Line_Check!AQ9/Line_Check!AR9))),1),IF(Line_Check!AT9=1,MAX(0,MIN(1,IF(Line_Check!BD9=0,0,Line_Check!BC9/Line_Check!BD9))),1),IF(Line_Check!BF9=1,MAX(0,MIN(1,IF(Line_Check!BP9=0,0,Line_Check!BO9/Line_Check!BP9))),1),IF(Line_Check!BR9=1,MAX(0,MIN(1,IF(Line_Check!CB9=0,0,Line_Check!CA9/Line_Check!CB9))),1),IF(Line_Check!CD9=1,MAX(0,MIN(1,IF(Line_Check!CN9=0,0,Line_Check!CM9/Line_Check!CN9))),1),IF(Line_Check!CP9=1,MAX(0,MIN(1,IF(Line_Check!CZ9=0,0,Line_Check!CY9/Line_Check!CZ9))),1)))</f>
        <v/>
      </c>
      <c r="W9" s="30">
        <f>IF(J9&lt;&gt;1,"—",IF(SUMIFS($H$5:$H$18,$C$5:$C$18,C9)=0,1,MAX(0,MIN(1,1-H9/SUMIFS($H$5:$H$18,$C$5:$C$18,C9)))))</f>
        <v/>
      </c>
      <c r="X9" s="30">
        <f>IF(J9&lt;&gt;1,"—",IF(Policy!$B$15&lt;=0,0,MAX(0,MIN(1,I9/Policy!$B$15))))</f>
        <v/>
      </c>
      <c r="Y9" s="30">
        <f>IF(J9&lt;&gt;1,"—",MAX(0,MIN(1,G9/3)))</f>
        <v/>
      </c>
      <c r="Z9" s="30">
        <f>IF(T9&lt;&gt;1,"—",Policy!$B$4*U9+Policy!$B$5*V9+Policy!$B$6*W9+Policy!$B$7*X9+Policy!$B$8*Y9)</f>
        <v/>
      </c>
      <c r="AA9" s="25">
        <f>IF(T9&lt;&gt;1,"—",1+COUNTIFS($T$5:$T$18,1,$Z$5:$Z$18,"&gt;"&amp;Z9)+COUNTIFS($T$5:$T$18,1,$Z$5:$Z$18,Z9,$AE$5:$AE$18,"&lt;"&amp;AE9))</f>
        <v/>
      </c>
      <c r="AB9" s="25">
        <f>IF(J9&lt;&gt;1,"—",IF(OR(AND(Line_Check!J9=1,Line_Check!R9=0),AND(Line_Check!V9=1,Line_Check!AD9=0),AND(Line_Check!AH9=1,Line_Check!AP9=0),AND(Line_Check!AT9=1,Line_Check!BB9=0),AND(Line_Check!BF9=1,Line_Check!BN9=0),AND(Line_Check!BR9=1,Line_Check!BZ9=0),AND(Line_Check!CD9=1,Line_Check!CL9=0),AND(Line_Check!CP9=1,Line_Check!CX9=0)),"RESERVATION_DEFICIT",IF(K9="FAIL","CAPACITY_UNAVAILABLE",IF(L9="FAIL","QUOTA_DEFICIT",IF(OR(M9="FAIL",N9="FAIL",O9="FAIL",P9="FAIL",Q9="FAIL",R9="FAIL",S9="FAIL"),"CAPACITY_UNAVAILABLE",IF(AND(T9=1,U9&lt;Policy!$B$12),"READY_WITH_RISK",IF(T9=1,"READY","CAPACITY_UNAVAILABLE")))))))</f>
        <v/>
      </c>
      <c r="AC9" s="25">
        <f>IF(T9&lt;&gt;1,"—",IF(MIN(IF(Line_Check!J9=1,Line_Check!Q9,10^9),IF(Line_Check!V9=1,Line_Check!AC9,10^9),IF(Line_Check!AH9=1,Line_Check!AO9,10^9),IF(Line_Check!AT9=1,Line_Check!BA9,10^9),IF(Line_Check!BF9=1,Line_Check!BM9,10^9),IF(Line_Check!BR9=1,Line_Check!BY9,10^9),IF(Line_Check!CD9=1,Line_Check!CK9,10^9),IF(Line_Check!CP9=1,Line_Check!CW9,10^9))&lt;=MIN(IF(Line_Check!J9=1,Line_Check!S9,10^9),IF(Line_Check!V9=1,Line_Check!AE9,10^9),IF(Line_Check!AH9=1,Line_Check!AQ9,10^9),IF(Line_Check!AT9=1,Line_Check!BC9,10^9),IF(Line_Check!BF9=1,Line_Check!BO9,10^9),IF(Line_Check!BR9=1,Line_Check!CA9,10^9),IF(Line_Check!CD9=1,Line_Check!CM9,10^9),IF(Line_Check!CP9=1,Line_Check!CY9,10^9)),"CAPACITY","QUOTA"))</f>
        <v/>
      </c>
      <c r="AE9" s="36">
        <f>ROW()</f>
        <v/>
      </c>
    </row>
    <row r="10">
      <c r="A10" s="6">
        <f>Line_Check!A10</f>
        <v/>
      </c>
      <c r="B10" s="6">
        <f>Line_Check!B10</f>
        <v/>
      </c>
      <c r="C10" s="15">
        <f>Line_Check!C10</f>
        <v/>
      </c>
      <c r="D10" s="15">
        <f>Line_Check!D10</f>
        <v/>
      </c>
      <c r="E10" s="15">
        <f>Line_Check!E10</f>
        <v/>
      </c>
      <c r="F10" s="15">
        <f>Line_Check!F10</f>
        <v/>
      </c>
      <c r="G10" s="42">
        <f>Line_Check!G10</f>
        <v/>
      </c>
      <c r="H10" s="42">
        <f>Line_Check!H10</f>
        <v/>
      </c>
      <c r="I10" s="43">
        <f>Line_Check!I10</f>
        <v/>
      </c>
      <c r="J10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ELIGIBLE"),0,IF(Request!$B$9="cross-geo",IF(AND(C10=Request!$B$10,D10="Standard"),1,0),IF(OR(Request!$B$9="2-region",Request!$B$11="Y"),IF(B10=Allocation!$C$10,1,0),IF(AND(C10=Request!$B$4,D10="Standard",B10&lt;&gt;Allocation!$C$9,B10&lt;&gt;Allocation!$C$10),1,0))))</f>
        <v/>
      </c>
      <c r="K10" s="25">
        <f>IF(MIN(IF(Line_Check!J10=1,IF(Line_Check!Q10&gt;=Policy!$B$13*ROUND(Line_Check!K10*Policy!$B$15,0),1,0),1),IF(Line_Check!V10=1,IF(Line_Check!AC10&gt;=Policy!$B$13*ROUND(Line_Check!W10*Policy!$B$15,0),1,0),1),IF(Line_Check!AH10=1,IF(Line_Check!AO10&gt;=Policy!$B$13*ROUND(Line_Check!AI10*Policy!$B$15,0),1,0),1),IF(Line_Check!AT10=1,IF(Line_Check!BA10&gt;=Policy!$B$13*ROUND(Line_Check!AU10*Policy!$B$15,0),1,0),1),IF(Line_Check!BF10=1,IF(Line_Check!BM10&gt;=Policy!$B$13*ROUND(Line_Check!BG10*Policy!$B$15,0),1,0),1),IF(Line_Check!BR10=1,IF(Line_Check!BY10&gt;=Policy!$B$13*ROUND(Line_Check!BS10*Policy!$B$15,0),1,0),1),IF(Line_Check!CD10=1,IF(Line_Check!CK10&gt;=Policy!$B$13*ROUND(Line_Check!CE10*Policy!$B$15,0),1,0),1),IF(Line_Check!CP10=1,IF(Line_Check!CW10&gt;=Policy!$B$13*ROUND(Line_Check!CQ10*Policy!$B$15,0),1,0),1))=1,"PASS","FAIL")</f>
        <v/>
      </c>
      <c r="L10" s="25">
        <f>IF(MIN(IF(Line_Check!J10=1,IF(AND(Line_Check!S10&gt;=ROUND(Line_Check!K10*Policy!$B$15,0),Line_Check!S10-ROUND(Line_Check!K10*Policy!$B$15,0)&gt;=Policy!$B$14),1,0),1),IF(Line_Check!V10=1,IF(AND(Line_Check!AE10&gt;=ROUND(Line_Check!W10*Policy!$B$15,0),Line_Check!AE10-ROUND(Line_Check!W10*Policy!$B$15,0)&gt;=Policy!$B$14),1,0),1),IF(Line_Check!AH10=1,IF(AND(Line_Check!AQ10&gt;=ROUND(Line_Check!AI10*Policy!$B$15,0),Line_Check!AQ10-ROUND(Line_Check!AI10*Policy!$B$15,0)&gt;=Policy!$B$14),1,0),1),IF(Line_Check!AT10=1,IF(AND(Line_Check!BC10&gt;=ROUND(Line_Check!AU10*Policy!$B$15,0),Line_Check!BC10-ROUND(Line_Check!AU10*Policy!$B$15,0)&gt;=Policy!$B$14),1,0),1),IF(Line_Check!BF10=1,IF(AND(Line_Check!BO10&gt;=ROUND(Line_Check!BG10*Policy!$B$15,0),Line_Check!BO10-ROUND(Line_Check!BG10*Policy!$B$15,0)&gt;=Policy!$B$14),1,0),1),IF(Line_Check!BR10=1,IF(AND(Line_Check!CA10&gt;=ROUND(Line_Check!BS10*Policy!$B$15,0),Line_Check!CA10-ROUND(Line_Check!BS10*Policy!$B$15,0)&gt;=Policy!$B$14),1,0),1),IF(Line_Check!CD10=1,IF(AND(Line_Check!CM10&gt;=ROUND(Line_Check!CE10*Policy!$B$15,0),Line_Check!CM10-ROUND(Line_Check!CE10*Policy!$B$15,0)&gt;=Policy!$B$14),1,0),1),IF(Line_Check!CP10=1,IF(AND(Line_Check!CY10&gt;=ROUND(Line_Check!CQ10*Policy!$B$15,0),Line_Check!CY10-ROUND(Line_Check!CQ10*Policy!$B$15,0)&gt;=Policy!$B$14),1,0),1))=1,"PASS","FAIL")</f>
        <v/>
      </c>
      <c r="M10" s="25">
        <f>IF(G10&gt;=2,"PASS","FAIL")</f>
        <v/>
      </c>
      <c r="N10" s="25">
        <f>IF(Request!$B$9="2-region",IF(MIN(IF(Line_Check!J10=1,IF(Line_Check!Q10+Line_Check!O10&gt;=ROUND(Line_Check!K10*Policy!$B$15,0),1,0),1),IF(Line_Check!V10=1,IF(Line_Check!AC10+Line_Check!AA10&gt;=ROUND(Line_Check!W10*Policy!$B$15,0),1,0),1),IF(Line_Check!AH10=1,IF(Line_Check!AO10+Line_Check!AM10&gt;=ROUND(Line_Check!AI10*Policy!$B$15,0),1,0),1),IF(Line_Check!AT10=1,IF(Line_Check!BA10+Line_Check!AY10&gt;=ROUND(Line_Check!AU10*Policy!$B$15,0),1,0),1),IF(Line_Check!BF10=1,IF(Line_Check!BM10+Line_Check!BK10&gt;=ROUND(Line_Check!BG10*Policy!$B$15,0),1,0),1),IF(Line_Check!BR10=1,IF(Line_Check!BY10+Line_Check!BW10&gt;=ROUND(Line_Check!BS10*Policy!$B$15,0),1,0),1),IF(Line_Check!CD10=1,IF(Line_Check!CK10+Line_Check!CI10&gt;=ROUND(Line_Check!CE10*Policy!$B$15,0),1,0),1),IF(Line_Check!CP10=1,IF(Line_Check!CW10+Line_Check!CU10&gt;=ROUND(Line_Check!CQ10*Policy!$B$15,0),1,0),1))=1,"PASS","FAIL"),"N/A")</f>
        <v/>
      </c>
      <c r="O10" s="25" t="inlineStr">
        <is>
          <t>N/A</t>
        </is>
      </c>
      <c r="P10" s="25">
        <f>IF(C10=Request!$B$10,"PASS","FAIL")</f>
        <v/>
      </c>
      <c r="Q10" s="25">
        <f>IF(D10="Standard","PASS","FAIL")</f>
        <v/>
      </c>
      <c r="R10" s="25">
        <f>IF(AND(Request!$B$9="cross-geo",C10=Request!$B$10),"PASS",IF(B10&lt;&gt;Allocation!$C$9,"PASS","FAIL"))</f>
        <v/>
      </c>
      <c r="S10" s="25">
        <f>IF(MIN(IF(Line_Check!J10=1,IF(MIN(Line_Check!Q10,Line_Check!S10)&gt;=ROUND(Line_Check!K10*Policy!$B$15,0),1,0),1),IF(Line_Check!V10=1,IF(MIN(Line_Check!AC10,Line_Check!AE10)&gt;=ROUND(Line_Check!W10*Policy!$B$15,0),1,0),1),IF(Line_Check!AH10=1,IF(MIN(Line_Check!AO10,Line_Check!AQ10)&gt;=ROUND(Line_Check!AI10*Policy!$B$15,0),1,0),1),IF(Line_Check!AT10=1,IF(MIN(Line_Check!BA10,Line_Check!BC10)&gt;=ROUND(Line_Check!AU10*Policy!$B$15,0),1,0),1),IF(Line_Check!BF10=1,IF(MIN(Line_Check!BM10,Line_Check!BO10)&gt;=ROUND(Line_Check!BG10*Policy!$B$15,0),1,0),1),IF(Line_Check!BR10=1,IF(MIN(Line_Check!BY10,Line_Check!CA10)&gt;=ROUND(Line_Check!BS10*Policy!$B$15,0),1,0),1),IF(Line_Check!CD10=1,IF(MIN(Line_Check!CK10,Line_Check!CM10)&gt;=ROUND(Line_Check!CE10*Policy!$B$15,0),1,0),1),IF(Line_Check!CP10=1,IF(MIN(Line_Check!CW10,Line_Check!CY10)&gt;=ROUND(Line_Check!CQ10*Policy!$B$15,0),1,0),1))=1,"PASS","FAIL")</f>
        <v/>
      </c>
      <c r="T10" s="36">
        <f>IF(AND(J10=1,OR(K10="PASS",K10="N/A"),OR(L10="PASS",L10="N/A"),OR(M10="PASS",M10="N/A"),OR(N10="PASS",N10="N/A"),OR(O10="PASS",O10="N/A"),OR(P10="PASS",P10="N/A"),OR(Q10="PASS",Q10="N/A"),OR(R10="PASS",R10="N/A"),OR(S10="PASS",S10="N/A")),1,0)</f>
        <v/>
      </c>
      <c r="U10" s="30">
        <f>IF(J10&lt;&gt;1,"—",MIN(IF(Line_Check!J10=1,MAX(0,MIN(1,IF(Line_Check!R10=0,0,Line_Check!Q10/Line_Check!R10))),1),IF(Line_Check!V10=1,MAX(0,MIN(1,IF(Line_Check!AD10=0,0,Line_Check!AC10/Line_Check!AD10))),1),IF(Line_Check!AH10=1,MAX(0,MIN(1,IF(Line_Check!AP10=0,0,Line_Check!AO10/Line_Check!AP10))),1),IF(Line_Check!AT10=1,MAX(0,MIN(1,IF(Line_Check!BB10=0,0,Line_Check!BA10/Line_Check!BB10))),1),IF(Line_Check!BF10=1,MAX(0,MIN(1,IF(Line_Check!BN10=0,0,Line_Check!BM10/Line_Check!BN10))),1),IF(Line_Check!BR10=1,MAX(0,MIN(1,IF(Line_Check!BZ10=0,0,Line_Check!BY10/Line_Check!BZ10))),1),IF(Line_Check!CD10=1,MAX(0,MIN(1,IF(Line_Check!CL10=0,0,Line_Check!CK10/Line_Check!CL10))),1),IF(Line_Check!CP10=1,MAX(0,MIN(1,IF(Line_Check!CX10=0,0,Line_Check!CW10/Line_Check!CX10))),1)))</f>
        <v/>
      </c>
      <c r="V10" s="30">
        <f>IF(J10&lt;&gt;1,"—",MIN(IF(Line_Check!J10=1,MAX(0,MIN(1,IF(Line_Check!T10=0,0,Line_Check!S10/Line_Check!T10))),1),IF(Line_Check!V10=1,MAX(0,MIN(1,IF(Line_Check!AF10=0,0,Line_Check!AE10/Line_Check!AF10))),1),IF(Line_Check!AH10=1,MAX(0,MIN(1,IF(Line_Check!AR10=0,0,Line_Check!AQ10/Line_Check!AR10))),1),IF(Line_Check!AT10=1,MAX(0,MIN(1,IF(Line_Check!BD10=0,0,Line_Check!BC10/Line_Check!BD10))),1),IF(Line_Check!BF10=1,MAX(0,MIN(1,IF(Line_Check!BP10=0,0,Line_Check!BO10/Line_Check!BP10))),1),IF(Line_Check!BR10=1,MAX(0,MIN(1,IF(Line_Check!CB10=0,0,Line_Check!CA10/Line_Check!CB10))),1),IF(Line_Check!CD10=1,MAX(0,MIN(1,IF(Line_Check!CN10=0,0,Line_Check!CM10/Line_Check!CN10))),1),IF(Line_Check!CP10=1,MAX(0,MIN(1,IF(Line_Check!CZ10=0,0,Line_Check!CY10/Line_Check!CZ10))),1)))</f>
        <v/>
      </c>
      <c r="W10" s="30">
        <f>IF(J10&lt;&gt;1,"—",IF(SUMIFS($H$5:$H$18,$C$5:$C$18,C10)=0,1,MAX(0,MIN(1,1-H10/SUMIFS($H$5:$H$18,$C$5:$C$18,C10)))))</f>
        <v/>
      </c>
      <c r="X10" s="30">
        <f>IF(J10&lt;&gt;1,"—",IF(Policy!$B$15&lt;=0,0,MAX(0,MIN(1,I10/Policy!$B$15))))</f>
        <v/>
      </c>
      <c r="Y10" s="30">
        <f>IF(J10&lt;&gt;1,"—",MAX(0,MIN(1,G10/3)))</f>
        <v/>
      </c>
      <c r="Z10" s="30">
        <f>IF(T10&lt;&gt;1,"—",Policy!$B$4*U10+Policy!$B$5*V10+Policy!$B$6*W10+Policy!$B$7*X10+Policy!$B$8*Y10)</f>
        <v/>
      </c>
      <c r="AA10" s="25">
        <f>IF(T10&lt;&gt;1,"—",1+COUNTIFS($T$5:$T$18,1,$Z$5:$Z$18,"&gt;"&amp;Z10)+COUNTIFS($T$5:$T$18,1,$Z$5:$Z$18,Z10,$AE$5:$AE$18,"&lt;"&amp;AE10))</f>
        <v/>
      </c>
      <c r="AB10" s="25">
        <f>IF(J10&lt;&gt;1,"—",IF(OR(AND(Line_Check!J10=1,Line_Check!R10=0),AND(Line_Check!V10=1,Line_Check!AD10=0),AND(Line_Check!AH10=1,Line_Check!AP10=0),AND(Line_Check!AT10=1,Line_Check!BB10=0),AND(Line_Check!BF10=1,Line_Check!BN10=0),AND(Line_Check!BR10=1,Line_Check!BZ10=0),AND(Line_Check!CD10=1,Line_Check!CL10=0),AND(Line_Check!CP10=1,Line_Check!CX10=0)),"RESERVATION_DEFICIT",IF(K10="FAIL","CAPACITY_UNAVAILABLE",IF(L10="FAIL","QUOTA_DEFICIT",IF(OR(M10="FAIL",N10="FAIL",O10="FAIL",P10="FAIL",Q10="FAIL",R10="FAIL",S10="FAIL"),"CAPACITY_UNAVAILABLE",IF(AND(T10=1,U10&lt;Policy!$B$12),"READY_WITH_RISK",IF(T10=1,"READY","CAPACITY_UNAVAILABLE")))))))</f>
        <v/>
      </c>
      <c r="AC10" s="25">
        <f>IF(T10&lt;&gt;1,"—",IF(MIN(IF(Line_Check!J10=1,Line_Check!Q10,10^9),IF(Line_Check!V10=1,Line_Check!AC10,10^9),IF(Line_Check!AH10=1,Line_Check!AO10,10^9),IF(Line_Check!AT10=1,Line_Check!BA10,10^9),IF(Line_Check!BF10=1,Line_Check!BM10,10^9),IF(Line_Check!BR10=1,Line_Check!BY10,10^9),IF(Line_Check!CD10=1,Line_Check!CK10,10^9),IF(Line_Check!CP10=1,Line_Check!CW10,10^9))&lt;=MIN(IF(Line_Check!J10=1,Line_Check!S10,10^9),IF(Line_Check!V10=1,Line_Check!AE10,10^9),IF(Line_Check!AH10=1,Line_Check!AQ10,10^9),IF(Line_Check!AT10=1,Line_Check!BC10,10^9),IF(Line_Check!BF10=1,Line_Check!BO10,10^9),IF(Line_Check!BR10=1,Line_Check!CA10,10^9),IF(Line_Check!CD10=1,Line_Check!CM10,10^9),IF(Line_Check!CP10=1,Line_Check!CY10,10^9)),"CAPACITY","QUOTA"))</f>
        <v/>
      </c>
      <c r="AE10" s="36">
        <f>ROW()</f>
        <v/>
      </c>
    </row>
    <row r="11">
      <c r="A11" s="6">
        <f>Line_Check!A11</f>
        <v/>
      </c>
      <c r="B11" s="6">
        <f>Line_Check!B11</f>
        <v/>
      </c>
      <c r="C11" s="15">
        <f>Line_Check!C11</f>
        <v/>
      </c>
      <c r="D11" s="15">
        <f>Line_Check!D11</f>
        <v/>
      </c>
      <c r="E11" s="15">
        <f>Line_Check!E11</f>
        <v/>
      </c>
      <c r="F11" s="15">
        <f>Line_Check!F11</f>
        <v/>
      </c>
      <c r="G11" s="42">
        <f>Line_Check!G11</f>
        <v/>
      </c>
      <c r="H11" s="42">
        <f>Line_Check!H11</f>
        <v/>
      </c>
      <c r="I11" s="43">
        <f>Line_Check!I11</f>
        <v/>
      </c>
      <c r="J11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ELIGIBLE"),0,IF(Request!$B$9="cross-geo",IF(AND(C11=Request!$B$10,D11="Standard"),1,0),IF(OR(Request!$B$9="2-region",Request!$B$11="Y"),IF(B11=Allocation!$C$10,1,0),IF(AND(C11=Request!$B$4,D11="Standard",B11&lt;&gt;Allocation!$C$9,B11&lt;&gt;Allocation!$C$10),1,0))))</f>
        <v/>
      </c>
      <c r="K11" s="25">
        <f>IF(MIN(IF(Line_Check!J11=1,IF(Line_Check!Q11&gt;=Policy!$B$13*ROUND(Line_Check!K11*Policy!$B$15,0),1,0),1),IF(Line_Check!V11=1,IF(Line_Check!AC11&gt;=Policy!$B$13*ROUND(Line_Check!W11*Policy!$B$15,0),1,0),1),IF(Line_Check!AH11=1,IF(Line_Check!AO11&gt;=Policy!$B$13*ROUND(Line_Check!AI11*Policy!$B$15,0),1,0),1),IF(Line_Check!AT11=1,IF(Line_Check!BA11&gt;=Policy!$B$13*ROUND(Line_Check!AU11*Policy!$B$15,0),1,0),1),IF(Line_Check!BF11=1,IF(Line_Check!BM11&gt;=Policy!$B$13*ROUND(Line_Check!BG11*Policy!$B$15,0),1,0),1),IF(Line_Check!BR11=1,IF(Line_Check!BY11&gt;=Policy!$B$13*ROUND(Line_Check!BS11*Policy!$B$15,0),1,0),1),IF(Line_Check!CD11=1,IF(Line_Check!CK11&gt;=Policy!$B$13*ROUND(Line_Check!CE11*Policy!$B$15,0),1,0),1),IF(Line_Check!CP11=1,IF(Line_Check!CW11&gt;=Policy!$B$13*ROUND(Line_Check!CQ11*Policy!$B$15,0),1,0),1))=1,"PASS","FAIL")</f>
        <v/>
      </c>
      <c r="L11" s="25">
        <f>IF(MIN(IF(Line_Check!J11=1,IF(AND(Line_Check!S11&gt;=ROUND(Line_Check!K11*Policy!$B$15,0),Line_Check!S11-ROUND(Line_Check!K11*Policy!$B$15,0)&gt;=Policy!$B$14),1,0),1),IF(Line_Check!V11=1,IF(AND(Line_Check!AE11&gt;=ROUND(Line_Check!W11*Policy!$B$15,0),Line_Check!AE11-ROUND(Line_Check!W11*Policy!$B$15,0)&gt;=Policy!$B$14),1,0),1),IF(Line_Check!AH11=1,IF(AND(Line_Check!AQ11&gt;=ROUND(Line_Check!AI11*Policy!$B$15,0),Line_Check!AQ11-ROUND(Line_Check!AI11*Policy!$B$15,0)&gt;=Policy!$B$14),1,0),1),IF(Line_Check!AT11=1,IF(AND(Line_Check!BC11&gt;=ROUND(Line_Check!AU11*Policy!$B$15,0),Line_Check!BC11-ROUND(Line_Check!AU11*Policy!$B$15,0)&gt;=Policy!$B$14),1,0),1),IF(Line_Check!BF11=1,IF(AND(Line_Check!BO11&gt;=ROUND(Line_Check!BG11*Policy!$B$15,0),Line_Check!BO11-ROUND(Line_Check!BG11*Policy!$B$15,0)&gt;=Policy!$B$14),1,0),1),IF(Line_Check!BR11=1,IF(AND(Line_Check!CA11&gt;=ROUND(Line_Check!BS11*Policy!$B$15,0),Line_Check!CA11-ROUND(Line_Check!BS11*Policy!$B$15,0)&gt;=Policy!$B$14),1,0),1),IF(Line_Check!CD11=1,IF(AND(Line_Check!CM11&gt;=ROUND(Line_Check!CE11*Policy!$B$15,0),Line_Check!CM11-ROUND(Line_Check!CE11*Policy!$B$15,0)&gt;=Policy!$B$14),1,0),1),IF(Line_Check!CP11=1,IF(AND(Line_Check!CY11&gt;=ROUND(Line_Check!CQ11*Policy!$B$15,0),Line_Check!CY11-ROUND(Line_Check!CQ11*Policy!$B$15,0)&gt;=Policy!$B$14),1,0),1))=1,"PASS","FAIL")</f>
        <v/>
      </c>
      <c r="M11" s="25">
        <f>IF(G11&gt;=2,"PASS","FAIL")</f>
        <v/>
      </c>
      <c r="N11" s="25">
        <f>IF(Request!$B$9="2-region",IF(MIN(IF(Line_Check!J11=1,IF(Line_Check!Q11+Line_Check!O11&gt;=ROUND(Line_Check!K11*Policy!$B$15,0),1,0),1),IF(Line_Check!V11=1,IF(Line_Check!AC11+Line_Check!AA11&gt;=ROUND(Line_Check!W11*Policy!$B$15,0),1,0),1),IF(Line_Check!AH11=1,IF(Line_Check!AO11+Line_Check!AM11&gt;=ROUND(Line_Check!AI11*Policy!$B$15,0),1,0),1),IF(Line_Check!AT11=1,IF(Line_Check!BA11+Line_Check!AY11&gt;=ROUND(Line_Check!AU11*Policy!$B$15,0),1,0),1),IF(Line_Check!BF11=1,IF(Line_Check!BM11+Line_Check!BK11&gt;=ROUND(Line_Check!BG11*Policy!$B$15,0),1,0),1),IF(Line_Check!BR11=1,IF(Line_Check!BY11+Line_Check!BW11&gt;=ROUND(Line_Check!BS11*Policy!$B$15,0),1,0),1),IF(Line_Check!CD11=1,IF(Line_Check!CK11+Line_Check!CI11&gt;=ROUND(Line_Check!CE11*Policy!$B$15,0),1,0),1),IF(Line_Check!CP11=1,IF(Line_Check!CW11+Line_Check!CU11&gt;=ROUND(Line_Check!CQ11*Policy!$B$15,0),1,0),1))=1,"PASS","FAIL"),"N/A")</f>
        <v/>
      </c>
      <c r="O11" s="25" t="inlineStr">
        <is>
          <t>N/A</t>
        </is>
      </c>
      <c r="P11" s="25">
        <f>IF(C11=Request!$B$10,"PASS","FAIL")</f>
        <v/>
      </c>
      <c r="Q11" s="25">
        <f>IF(D11="Standard","PASS","FAIL")</f>
        <v/>
      </c>
      <c r="R11" s="25">
        <f>IF(AND(Request!$B$9="cross-geo",C11=Request!$B$10),"PASS",IF(B11&lt;&gt;Allocation!$C$9,"PASS","FAIL"))</f>
        <v/>
      </c>
      <c r="S11" s="25">
        <f>IF(MIN(IF(Line_Check!J11=1,IF(MIN(Line_Check!Q11,Line_Check!S11)&gt;=ROUND(Line_Check!K11*Policy!$B$15,0),1,0),1),IF(Line_Check!V11=1,IF(MIN(Line_Check!AC11,Line_Check!AE11)&gt;=ROUND(Line_Check!W11*Policy!$B$15,0),1,0),1),IF(Line_Check!AH11=1,IF(MIN(Line_Check!AO11,Line_Check!AQ11)&gt;=ROUND(Line_Check!AI11*Policy!$B$15,0),1,0),1),IF(Line_Check!AT11=1,IF(MIN(Line_Check!BA11,Line_Check!BC11)&gt;=ROUND(Line_Check!AU11*Policy!$B$15,0),1,0),1),IF(Line_Check!BF11=1,IF(MIN(Line_Check!BM11,Line_Check!BO11)&gt;=ROUND(Line_Check!BG11*Policy!$B$15,0),1,0),1),IF(Line_Check!BR11=1,IF(MIN(Line_Check!BY11,Line_Check!CA11)&gt;=ROUND(Line_Check!BS11*Policy!$B$15,0),1,0),1),IF(Line_Check!CD11=1,IF(MIN(Line_Check!CK11,Line_Check!CM11)&gt;=ROUND(Line_Check!CE11*Policy!$B$15,0),1,0),1),IF(Line_Check!CP11=1,IF(MIN(Line_Check!CW11,Line_Check!CY11)&gt;=ROUND(Line_Check!CQ11*Policy!$B$15,0),1,0),1))=1,"PASS","FAIL")</f>
        <v/>
      </c>
      <c r="T11" s="36">
        <f>IF(AND(J11=1,OR(K11="PASS",K11="N/A"),OR(L11="PASS",L11="N/A"),OR(M11="PASS",M11="N/A"),OR(N11="PASS",N11="N/A"),OR(O11="PASS",O11="N/A"),OR(P11="PASS",P11="N/A"),OR(Q11="PASS",Q11="N/A"),OR(R11="PASS",R11="N/A"),OR(S11="PASS",S11="N/A")),1,0)</f>
        <v/>
      </c>
      <c r="U11" s="30">
        <f>IF(J11&lt;&gt;1,"—",MIN(IF(Line_Check!J11=1,MAX(0,MIN(1,IF(Line_Check!R11=0,0,Line_Check!Q11/Line_Check!R11))),1),IF(Line_Check!V11=1,MAX(0,MIN(1,IF(Line_Check!AD11=0,0,Line_Check!AC11/Line_Check!AD11))),1),IF(Line_Check!AH11=1,MAX(0,MIN(1,IF(Line_Check!AP11=0,0,Line_Check!AO11/Line_Check!AP11))),1),IF(Line_Check!AT11=1,MAX(0,MIN(1,IF(Line_Check!BB11=0,0,Line_Check!BA11/Line_Check!BB11))),1),IF(Line_Check!BF11=1,MAX(0,MIN(1,IF(Line_Check!BN11=0,0,Line_Check!BM11/Line_Check!BN11))),1),IF(Line_Check!BR11=1,MAX(0,MIN(1,IF(Line_Check!BZ11=0,0,Line_Check!BY11/Line_Check!BZ11))),1),IF(Line_Check!CD11=1,MAX(0,MIN(1,IF(Line_Check!CL11=0,0,Line_Check!CK11/Line_Check!CL11))),1),IF(Line_Check!CP11=1,MAX(0,MIN(1,IF(Line_Check!CX11=0,0,Line_Check!CW11/Line_Check!CX11))),1)))</f>
        <v/>
      </c>
      <c r="V11" s="30">
        <f>IF(J11&lt;&gt;1,"—",MIN(IF(Line_Check!J11=1,MAX(0,MIN(1,IF(Line_Check!T11=0,0,Line_Check!S11/Line_Check!T11))),1),IF(Line_Check!V11=1,MAX(0,MIN(1,IF(Line_Check!AF11=0,0,Line_Check!AE11/Line_Check!AF11))),1),IF(Line_Check!AH11=1,MAX(0,MIN(1,IF(Line_Check!AR11=0,0,Line_Check!AQ11/Line_Check!AR11))),1),IF(Line_Check!AT11=1,MAX(0,MIN(1,IF(Line_Check!BD11=0,0,Line_Check!BC11/Line_Check!BD11))),1),IF(Line_Check!BF11=1,MAX(0,MIN(1,IF(Line_Check!BP11=0,0,Line_Check!BO11/Line_Check!BP11))),1),IF(Line_Check!BR11=1,MAX(0,MIN(1,IF(Line_Check!CB11=0,0,Line_Check!CA11/Line_Check!CB11))),1),IF(Line_Check!CD11=1,MAX(0,MIN(1,IF(Line_Check!CN11=0,0,Line_Check!CM11/Line_Check!CN11))),1),IF(Line_Check!CP11=1,MAX(0,MIN(1,IF(Line_Check!CZ11=0,0,Line_Check!CY11/Line_Check!CZ11))),1)))</f>
        <v/>
      </c>
      <c r="W11" s="30">
        <f>IF(J11&lt;&gt;1,"—",IF(SUMIFS($H$5:$H$18,$C$5:$C$18,C11)=0,1,MAX(0,MIN(1,1-H11/SUMIFS($H$5:$H$18,$C$5:$C$18,C11)))))</f>
        <v/>
      </c>
      <c r="X11" s="30">
        <f>IF(J11&lt;&gt;1,"—",IF(Policy!$B$15&lt;=0,0,MAX(0,MIN(1,I11/Policy!$B$15))))</f>
        <v/>
      </c>
      <c r="Y11" s="30">
        <f>IF(J11&lt;&gt;1,"—",MAX(0,MIN(1,G11/3)))</f>
        <v/>
      </c>
      <c r="Z11" s="30">
        <f>IF(T11&lt;&gt;1,"—",Policy!$B$4*U11+Policy!$B$5*V11+Policy!$B$6*W11+Policy!$B$7*X11+Policy!$B$8*Y11)</f>
        <v/>
      </c>
      <c r="AA11" s="25">
        <f>IF(T11&lt;&gt;1,"—",1+COUNTIFS($T$5:$T$18,1,$Z$5:$Z$18,"&gt;"&amp;Z11)+COUNTIFS($T$5:$T$18,1,$Z$5:$Z$18,Z11,$AE$5:$AE$18,"&lt;"&amp;AE11))</f>
        <v/>
      </c>
      <c r="AB11" s="25">
        <f>IF(J11&lt;&gt;1,"—",IF(OR(AND(Line_Check!J11=1,Line_Check!R11=0),AND(Line_Check!V11=1,Line_Check!AD11=0),AND(Line_Check!AH11=1,Line_Check!AP11=0),AND(Line_Check!AT11=1,Line_Check!BB11=0),AND(Line_Check!BF11=1,Line_Check!BN11=0),AND(Line_Check!BR11=1,Line_Check!BZ11=0),AND(Line_Check!CD11=1,Line_Check!CL11=0),AND(Line_Check!CP11=1,Line_Check!CX11=0)),"RESERVATION_DEFICIT",IF(K11="FAIL","CAPACITY_UNAVAILABLE",IF(L11="FAIL","QUOTA_DEFICIT",IF(OR(M11="FAIL",N11="FAIL",O11="FAIL",P11="FAIL",Q11="FAIL",R11="FAIL",S11="FAIL"),"CAPACITY_UNAVAILABLE",IF(AND(T11=1,U11&lt;Policy!$B$12),"READY_WITH_RISK",IF(T11=1,"READY","CAPACITY_UNAVAILABLE")))))))</f>
        <v/>
      </c>
      <c r="AC11" s="25">
        <f>IF(T11&lt;&gt;1,"—",IF(MIN(IF(Line_Check!J11=1,Line_Check!Q11,10^9),IF(Line_Check!V11=1,Line_Check!AC11,10^9),IF(Line_Check!AH11=1,Line_Check!AO11,10^9),IF(Line_Check!AT11=1,Line_Check!BA11,10^9),IF(Line_Check!BF11=1,Line_Check!BM11,10^9),IF(Line_Check!BR11=1,Line_Check!BY11,10^9),IF(Line_Check!CD11=1,Line_Check!CK11,10^9),IF(Line_Check!CP11=1,Line_Check!CW11,10^9))&lt;=MIN(IF(Line_Check!J11=1,Line_Check!S11,10^9),IF(Line_Check!V11=1,Line_Check!AE11,10^9),IF(Line_Check!AH11=1,Line_Check!AQ11,10^9),IF(Line_Check!AT11=1,Line_Check!BC11,10^9),IF(Line_Check!BF11=1,Line_Check!BO11,10^9),IF(Line_Check!BR11=1,Line_Check!CA11,10^9),IF(Line_Check!CD11=1,Line_Check!CM11,10^9),IF(Line_Check!CP11=1,Line_Check!CY11,10^9)),"CAPACITY","QUOTA"))</f>
        <v/>
      </c>
      <c r="AE11" s="36">
        <f>ROW()</f>
        <v/>
      </c>
    </row>
    <row r="12">
      <c r="A12" s="6">
        <f>Line_Check!A12</f>
        <v/>
      </c>
      <c r="B12" s="6">
        <f>Line_Check!B12</f>
        <v/>
      </c>
      <c r="C12" s="15">
        <f>Line_Check!C12</f>
        <v/>
      </c>
      <c r="D12" s="15">
        <f>Line_Check!D12</f>
        <v/>
      </c>
      <c r="E12" s="15">
        <f>Line_Check!E12</f>
        <v/>
      </c>
      <c r="F12" s="15">
        <f>Line_Check!F12</f>
        <v/>
      </c>
      <c r="G12" s="42">
        <f>Line_Check!G12</f>
        <v/>
      </c>
      <c r="H12" s="42">
        <f>Line_Check!H12</f>
        <v/>
      </c>
      <c r="I12" s="43">
        <f>Line_Check!I12</f>
        <v/>
      </c>
      <c r="J12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ELIGIBLE"),0,IF(Request!$B$9="cross-geo",IF(AND(C12=Request!$B$10,D12="Standard"),1,0),IF(OR(Request!$B$9="2-region",Request!$B$11="Y"),IF(B12=Allocation!$C$10,1,0),IF(AND(C12=Request!$B$4,D12="Standard",B12&lt;&gt;Allocation!$C$9,B12&lt;&gt;Allocation!$C$10),1,0))))</f>
        <v/>
      </c>
      <c r="K12" s="25">
        <f>IF(MIN(IF(Line_Check!J12=1,IF(Line_Check!Q12&gt;=Policy!$B$13*ROUND(Line_Check!K12*Policy!$B$15,0),1,0),1),IF(Line_Check!V12=1,IF(Line_Check!AC12&gt;=Policy!$B$13*ROUND(Line_Check!W12*Policy!$B$15,0),1,0),1),IF(Line_Check!AH12=1,IF(Line_Check!AO12&gt;=Policy!$B$13*ROUND(Line_Check!AI12*Policy!$B$15,0),1,0),1),IF(Line_Check!AT12=1,IF(Line_Check!BA12&gt;=Policy!$B$13*ROUND(Line_Check!AU12*Policy!$B$15,0),1,0),1),IF(Line_Check!BF12=1,IF(Line_Check!BM12&gt;=Policy!$B$13*ROUND(Line_Check!BG12*Policy!$B$15,0),1,0),1),IF(Line_Check!BR12=1,IF(Line_Check!BY12&gt;=Policy!$B$13*ROUND(Line_Check!BS12*Policy!$B$15,0),1,0),1),IF(Line_Check!CD12=1,IF(Line_Check!CK12&gt;=Policy!$B$13*ROUND(Line_Check!CE12*Policy!$B$15,0),1,0),1),IF(Line_Check!CP12=1,IF(Line_Check!CW12&gt;=Policy!$B$13*ROUND(Line_Check!CQ12*Policy!$B$15,0),1,0),1))=1,"PASS","FAIL")</f>
        <v/>
      </c>
      <c r="L12" s="25">
        <f>IF(MIN(IF(Line_Check!J12=1,IF(AND(Line_Check!S12&gt;=ROUND(Line_Check!K12*Policy!$B$15,0),Line_Check!S12-ROUND(Line_Check!K12*Policy!$B$15,0)&gt;=Policy!$B$14),1,0),1),IF(Line_Check!V12=1,IF(AND(Line_Check!AE12&gt;=ROUND(Line_Check!W12*Policy!$B$15,0),Line_Check!AE12-ROUND(Line_Check!W12*Policy!$B$15,0)&gt;=Policy!$B$14),1,0),1),IF(Line_Check!AH12=1,IF(AND(Line_Check!AQ12&gt;=ROUND(Line_Check!AI12*Policy!$B$15,0),Line_Check!AQ12-ROUND(Line_Check!AI12*Policy!$B$15,0)&gt;=Policy!$B$14),1,0),1),IF(Line_Check!AT12=1,IF(AND(Line_Check!BC12&gt;=ROUND(Line_Check!AU12*Policy!$B$15,0),Line_Check!BC12-ROUND(Line_Check!AU12*Policy!$B$15,0)&gt;=Policy!$B$14),1,0),1),IF(Line_Check!BF12=1,IF(AND(Line_Check!BO12&gt;=ROUND(Line_Check!BG12*Policy!$B$15,0),Line_Check!BO12-ROUND(Line_Check!BG12*Policy!$B$15,0)&gt;=Policy!$B$14),1,0),1),IF(Line_Check!BR12=1,IF(AND(Line_Check!CA12&gt;=ROUND(Line_Check!BS12*Policy!$B$15,0),Line_Check!CA12-ROUND(Line_Check!BS12*Policy!$B$15,0)&gt;=Policy!$B$14),1,0),1),IF(Line_Check!CD12=1,IF(AND(Line_Check!CM12&gt;=ROUND(Line_Check!CE12*Policy!$B$15,0),Line_Check!CM12-ROUND(Line_Check!CE12*Policy!$B$15,0)&gt;=Policy!$B$14),1,0),1),IF(Line_Check!CP12=1,IF(AND(Line_Check!CY12&gt;=ROUND(Line_Check!CQ12*Policy!$B$15,0),Line_Check!CY12-ROUND(Line_Check!CQ12*Policy!$B$15,0)&gt;=Policy!$B$14),1,0),1))=1,"PASS","FAIL")</f>
        <v/>
      </c>
      <c r="M12" s="25">
        <f>IF(G12&gt;=2,"PASS","FAIL")</f>
        <v/>
      </c>
      <c r="N12" s="25">
        <f>IF(Request!$B$9="2-region",IF(MIN(IF(Line_Check!J12=1,IF(Line_Check!Q12+Line_Check!O12&gt;=ROUND(Line_Check!K12*Policy!$B$15,0),1,0),1),IF(Line_Check!V12=1,IF(Line_Check!AC12+Line_Check!AA12&gt;=ROUND(Line_Check!W12*Policy!$B$15,0),1,0),1),IF(Line_Check!AH12=1,IF(Line_Check!AO12+Line_Check!AM12&gt;=ROUND(Line_Check!AI12*Policy!$B$15,0),1,0),1),IF(Line_Check!AT12=1,IF(Line_Check!BA12+Line_Check!AY12&gt;=ROUND(Line_Check!AU12*Policy!$B$15,0),1,0),1),IF(Line_Check!BF12=1,IF(Line_Check!BM12+Line_Check!BK12&gt;=ROUND(Line_Check!BG12*Policy!$B$15,0),1,0),1),IF(Line_Check!BR12=1,IF(Line_Check!BY12+Line_Check!BW12&gt;=ROUND(Line_Check!BS12*Policy!$B$15,0),1,0),1),IF(Line_Check!CD12=1,IF(Line_Check!CK12+Line_Check!CI12&gt;=ROUND(Line_Check!CE12*Policy!$B$15,0),1,0),1),IF(Line_Check!CP12=1,IF(Line_Check!CW12+Line_Check!CU12&gt;=ROUND(Line_Check!CQ12*Policy!$B$15,0),1,0),1))=1,"PASS","FAIL"),"N/A")</f>
        <v/>
      </c>
      <c r="O12" s="25" t="inlineStr">
        <is>
          <t>N/A</t>
        </is>
      </c>
      <c r="P12" s="25">
        <f>IF(C12=Request!$B$10,"PASS","FAIL")</f>
        <v/>
      </c>
      <c r="Q12" s="25">
        <f>IF(D12="Standard","PASS","FAIL")</f>
        <v/>
      </c>
      <c r="R12" s="25">
        <f>IF(AND(Request!$B$9="cross-geo",C12=Request!$B$10),"PASS",IF(B12&lt;&gt;Allocation!$C$9,"PASS","FAIL"))</f>
        <v/>
      </c>
      <c r="S12" s="25">
        <f>IF(MIN(IF(Line_Check!J12=1,IF(MIN(Line_Check!Q12,Line_Check!S12)&gt;=ROUND(Line_Check!K12*Policy!$B$15,0),1,0),1),IF(Line_Check!V12=1,IF(MIN(Line_Check!AC12,Line_Check!AE12)&gt;=ROUND(Line_Check!W12*Policy!$B$15,0),1,0),1),IF(Line_Check!AH12=1,IF(MIN(Line_Check!AO12,Line_Check!AQ12)&gt;=ROUND(Line_Check!AI12*Policy!$B$15,0),1,0),1),IF(Line_Check!AT12=1,IF(MIN(Line_Check!BA12,Line_Check!BC12)&gt;=ROUND(Line_Check!AU12*Policy!$B$15,0),1,0),1),IF(Line_Check!BF12=1,IF(MIN(Line_Check!BM12,Line_Check!BO12)&gt;=ROUND(Line_Check!BG12*Policy!$B$15,0),1,0),1),IF(Line_Check!BR12=1,IF(MIN(Line_Check!BY12,Line_Check!CA12)&gt;=ROUND(Line_Check!BS12*Policy!$B$15,0),1,0),1),IF(Line_Check!CD12=1,IF(MIN(Line_Check!CK12,Line_Check!CM12)&gt;=ROUND(Line_Check!CE12*Policy!$B$15,0),1,0),1),IF(Line_Check!CP12=1,IF(MIN(Line_Check!CW12,Line_Check!CY12)&gt;=ROUND(Line_Check!CQ12*Policy!$B$15,0),1,0),1))=1,"PASS","FAIL")</f>
        <v/>
      </c>
      <c r="T12" s="36">
        <f>IF(AND(J12=1,OR(K12="PASS",K12="N/A"),OR(L12="PASS",L12="N/A"),OR(M12="PASS",M12="N/A"),OR(N12="PASS",N12="N/A"),OR(O12="PASS",O12="N/A"),OR(P12="PASS",P12="N/A"),OR(Q12="PASS",Q12="N/A"),OR(R12="PASS",R12="N/A"),OR(S12="PASS",S12="N/A")),1,0)</f>
        <v/>
      </c>
      <c r="U12" s="30">
        <f>IF(J12&lt;&gt;1,"—",MIN(IF(Line_Check!J12=1,MAX(0,MIN(1,IF(Line_Check!R12=0,0,Line_Check!Q12/Line_Check!R12))),1),IF(Line_Check!V12=1,MAX(0,MIN(1,IF(Line_Check!AD12=0,0,Line_Check!AC12/Line_Check!AD12))),1),IF(Line_Check!AH12=1,MAX(0,MIN(1,IF(Line_Check!AP12=0,0,Line_Check!AO12/Line_Check!AP12))),1),IF(Line_Check!AT12=1,MAX(0,MIN(1,IF(Line_Check!BB12=0,0,Line_Check!BA12/Line_Check!BB12))),1),IF(Line_Check!BF12=1,MAX(0,MIN(1,IF(Line_Check!BN12=0,0,Line_Check!BM12/Line_Check!BN12))),1),IF(Line_Check!BR12=1,MAX(0,MIN(1,IF(Line_Check!BZ12=0,0,Line_Check!BY12/Line_Check!BZ12))),1),IF(Line_Check!CD12=1,MAX(0,MIN(1,IF(Line_Check!CL12=0,0,Line_Check!CK12/Line_Check!CL12))),1),IF(Line_Check!CP12=1,MAX(0,MIN(1,IF(Line_Check!CX12=0,0,Line_Check!CW12/Line_Check!CX12))),1)))</f>
        <v/>
      </c>
      <c r="V12" s="30">
        <f>IF(J12&lt;&gt;1,"—",MIN(IF(Line_Check!J12=1,MAX(0,MIN(1,IF(Line_Check!T12=0,0,Line_Check!S12/Line_Check!T12))),1),IF(Line_Check!V12=1,MAX(0,MIN(1,IF(Line_Check!AF12=0,0,Line_Check!AE12/Line_Check!AF12))),1),IF(Line_Check!AH12=1,MAX(0,MIN(1,IF(Line_Check!AR12=0,0,Line_Check!AQ12/Line_Check!AR12))),1),IF(Line_Check!AT12=1,MAX(0,MIN(1,IF(Line_Check!BD12=0,0,Line_Check!BC12/Line_Check!BD12))),1),IF(Line_Check!BF12=1,MAX(0,MIN(1,IF(Line_Check!BP12=0,0,Line_Check!BO12/Line_Check!BP12))),1),IF(Line_Check!BR12=1,MAX(0,MIN(1,IF(Line_Check!CB12=0,0,Line_Check!CA12/Line_Check!CB12))),1),IF(Line_Check!CD12=1,MAX(0,MIN(1,IF(Line_Check!CN12=0,0,Line_Check!CM12/Line_Check!CN12))),1),IF(Line_Check!CP12=1,MAX(0,MIN(1,IF(Line_Check!CZ12=0,0,Line_Check!CY12/Line_Check!CZ12))),1)))</f>
        <v/>
      </c>
      <c r="W12" s="30">
        <f>IF(J12&lt;&gt;1,"—",IF(SUMIFS($H$5:$H$18,$C$5:$C$18,C12)=0,1,MAX(0,MIN(1,1-H12/SUMIFS($H$5:$H$18,$C$5:$C$18,C12)))))</f>
        <v/>
      </c>
      <c r="X12" s="30">
        <f>IF(J12&lt;&gt;1,"—",IF(Policy!$B$15&lt;=0,0,MAX(0,MIN(1,I12/Policy!$B$15))))</f>
        <v/>
      </c>
      <c r="Y12" s="30">
        <f>IF(J12&lt;&gt;1,"—",MAX(0,MIN(1,G12/3)))</f>
        <v/>
      </c>
      <c r="Z12" s="30">
        <f>IF(T12&lt;&gt;1,"—",Policy!$B$4*U12+Policy!$B$5*V12+Policy!$B$6*W12+Policy!$B$7*X12+Policy!$B$8*Y12)</f>
        <v/>
      </c>
      <c r="AA12" s="25">
        <f>IF(T12&lt;&gt;1,"—",1+COUNTIFS($T$5:$T$18,1,$Z$5:$Z$18,"&gt;"&amp;Z12)+COUNTIFS($T$5:$T$18,1,$Z$5:$Z$18,Z12,$AE$5:$AE$18,"&lt;"&amp;AE12))</f>
        <v/>
      </c>
      <c r="AB12" s="25">
        <f>IF(J12&lt;&gt;1,"—",IF(OR(AND(Line_Check!J12=1,Line_Check!R12=0),AND(Line_Check!V12=1,Line_Check!AD12=0),AND(Line_Check!AH12=1,Line_Check!AP12=0),AND(Line_Check!AT12=1,Line_Check!BB12=0),AND(Line_Check!BF12=1,Line_Check!BN12=0),AND(Line_Check!BR12=1,Line_Check!BZ12=0),AND(Line_Check!CD12=1,Line_Check!CL12=0),AND(Line_Check!CP12=1,Line_Check!CX12=0)),"RESERVATION_DEFICIT",IF(K12="FAIL","CAPACITY_UNAVAILABLE",IF(L12="FAIL","QUOTA_DEFICIT",IF(OR(M12="FAIL",N12="FAIL",O12="FAIL",P12="FAIL",Q12="FAIL",R12="FAIL",S12="FAIL"),"CAPACITY_UNAVAILABLE",IF(AND(T12=1,U12&lt;Policy!$B$12),"READY_WITH_RISK",IF(T12=1,"READY","CAPACITY_UNAVAILABLE")))))))</f>
        <v/>
      </c>
      <c r="AC12" s="25">
        <f>IF(T12&lt;&gt;1,"—",IF(MIN(IF(Line_Check!J12=1,Line_Check!Q12,10^9),IF(Line_Check!V12=1,Line_Check!AC12,10^9),IF(Line_Check!AH12=1,Line_Check!AO12,10^9),IF(Line_Check!AT12=1,Line_Check!BA12,10^9),IF(Line_Check!BF12=1,Line_Check!BM12,10^9),IF(Line_Check!BR12=1,Line_Check!BY12,10^9),IF(Line_Check!CD12=1,Line_Check!CK12,10^9),IF(Line_Check!CP12=1,Line_Check!CW12,10^9))&lt;=MIN(IF(Line_Check!J12=1,Line_Check!S12,10^9),IF(Line_Check!V12=1,Line_Check!AE12,10^9),IF(Line_Check!AH12=1,Line_Check!AQ12,10^9),IF(Line_Check!AT12=1,Line_Check!BC12,10^9),IF(Line_Check!BF12=1,Line_Check!BO12,10^9),IF(Line_Check!BR12=1,Line_Check!CA12,10^9),IF(Line_Check!CD12=1,Line_Check!CM12,10^9),IF(Line_Check!CP12=1,Line_Check!CY12,10^9)),"CAPACITY","QUOTA"))</f>
        <v/>
      </c>
      <c r="AE12" s="36">
        <f>ROW()</f>
        <v/>
      </c>
    </row>
    <row r="13">
      <c r="A13" s="6">
        <f>Line_Check!A13</f>
        <v/>
      </c>
      <c r="B13" s="6">
        <f>Line_Check!B13</f>
        <v/>
      </c>
      <c r="C13" s="15">
        <f>Line_Check!C13</f>
        <v/>
      </c>
      <c r="D13" s="15">
        <f>Line_Check!D13</f>
        <v/>
      </c>
      <c r="E13" s="15">
        <f>Line_Check!E13</f>
        <v/>
      </c>
      <c r="F13" s="15">
        <f>Line_Check!F13</f>
        <v/>
      </c>
      <c r="G13" s="42">
        <f>Line_Check!G13</f>
        <v/>
      </c>
      <c r="H13" s="42">
        <f>Line_Check!H13</f>
        <v/>
      </c>
      <c r="I13" s="43">
        <f>Line_Check!I13</f>
        <v/>
      </c>
      <c r="J13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ELIGIBLE"),0,IF(Request!$B$9="cross-geo",IF(AND(C13=Request!$B$10,D13="Standard"),1,0),IF(OR(Request!$B$9="2-region",Request!$B$11="Y"),IF(B13=Allocation!$C$10,1,0),IF(AND(C13=Request!$B$4,D13="Standard",B13&lt;&gt;Allocation!$C$9,B13&lt;&gt;Allocation!$C$10),1,0))))</f>
        <v/>
      </c>
      <c r="K13" s="25">
        <f>IF(MIN(IF(Line_Check!J13=1,IF(Line_Check!Q13&gt;=Policy!$B$13*ROUND(Line_Check!K13*Policy!$B$15,0),1,0),1),IF(Line_Check!V13=1,IF(Line_Check!AC13&gt;=Policy!$B$13*ROUND(Line_Check!W13*Policy!$B$15,0),1,0),1),IF(Line_Check!AH13=1,IF(Line_Check!AO13&gt;=Policy!$B$13*ROUND(Line_Check!AI13*Policy!$B$15,0),1,0),1),IF(Line_Check!AT13=1,IF(Line_Check!BA13&gt;=Policy!$B$13*ROUND(Line_Check!AU13*Policy!$B$15,0),1,0),1),IF(Line_Check!BF13=1,IF(Line_Check!BM13&gt;=Policy!$B$13*ROUND(Line_Check!BG13*Policy!$B$15,0),1,0),1),IF(Line_Check!BR13=1,IF(Line_Check!BY13&gt;=Policy!$B$13*ROUND(Line_Check!BS13*Policy!$B$15,0),1,0),1),IF(Line_Check!CD13=1,IF(Line_Check!CK13&gt;=Policy!$B$13*ROUND(Line_Check!CE13*Policy!$B$15,0),1,0),1),IF(Line_Check!CP13=1,IF(Line_Check!CW13&gt;=Policy!$B$13*ROUND(Line_Check!CQ13*Policy!$B$15,0),1,0),1))=1,"PASS","FAIL")</f>
        <v/>
      </c>
      <c r="L13" s="25">
        <f>IF(MIN(IF(Line_Check!J13=1,IF(AND(Line_Check!S13&gt;=ROUND(Line_Check!K13*Policy!$B$15,0),Line_Check!S13-ROUND(Line_Check!K13*Policy!$B$15,0)&gt;=Policy!$B$14),1,0),1),IF(Line_Check!V13=1,IF(AND(Line_Check!AE13&gt;=ROUND(Line_Check!W13*Policy!$B$15,0),Line_Check!AE13-ROUND(Line_Check!W13*Policy!$B$15,0)&gt;=Policy!$B$14),1,0),1),IF(Line_Check!AH13=1,IF(AND(Line_Check!AQ13&gt;=ROUND(Line_Check!AI13*Policy!$B$15,0),Line_Check!AQ13-ROUND(Line_Check!AI13*Policy!$B$15,0)&gt;=Policy!$B$14),1,0),1),IF(Line_Check!AT13=1,IF(AND(Line_Check!BC13&gt;=ROUND(Line_Check!AU13*Policy!$B$15,0),Line_Check!BC13-ROUND(Line_Check!AU13*Policy!$B$15,0)&gt;=Policy!$B$14),1,0),1),IF(Line_Check!BF13=1,IF(AND(Line_Check!BO13&gt;=ROUND(Line_Check!BG13*Policy!$B$15,0),Line_Check!BO13-ROUND(Line_Check!BG13*Policy!$B$15,0)&gt;=Policy!$B$14),1,0),1),IF(Line_Check!BR13=1,IF(AND(Line_Check!CA13&gt;=ROUND(Line_Check!BS13*Policy!$B$15,0),Line_Check!CA13-ROUND(Line_Check!BS13*Policy!$B$15,0)&gt;=Policy!$B$14),1,0),1),IF(Line_Check!CD13=1,IF(AND(Line_Check!CM13&gt;=ROUND(Line_Check!CE13*Policy!$B$15,0),Line_Check!CM13-ROUND(Line_Check!CE13*Policy!$B$15,0)&gt;=Policy!$B$14),1,0),1),IF(Line_Check!CP13=1,IF(AND(Line_Check!CY13&gt;=ROUND(Line_Check!CQ13*Policy!$B$15,0),Line_Check!CY13-ROUND(Line_Check!CQ13*Policy!$B$15,0)&gt;=Policy!$B$14),1,0),1))=1,"PASS","FAIL")</f>
        <v/>
      </c>
      <c r="M13" s="25">
        <f>IF(G13&gt;=2,"PASS","FAIL")</f>
        <v/>
      </c>
      <c r="N13" s="25">
        <f>IF(Request!$B$9="2-region",IF(MIN(IF(Line_Check!J13=1,IF(Line_Check!Q13+Line_Check!O13&gt;=ROUND(Line_Check!K13*Policy!$B$15,0),1,0),1),IF(Line_Check!V13=1,IF(Line_Check!AC13+Line_Check!AA13&gt;=ROUND(Line_Check!W13*Policy!$B$15,0),1,0),1),IF(Line_Check!AH13=1,IF(Line_Check!AO13+Line_Check!AM13&gt;=ROUND(Line_Check!AI13*Policy!$B$15,0),1,0),1),IF(Line_Check!AT13=1,IF(Line_Check!BA13+Line_Check!AY13&gt;=ROUND(Line_Check!AU13*Policy!$B$15,0),1,0),1),IF(Line_Check!BF13=1,IF(Line_Check!BM13+Line_Check!BK13&gt;=ROUND(Line_Check!BG13*Policy!$B$15,0),1,0),1),IF(Line_Check!BR13=1,IF(Line_Check!BY13+Line_Check!BW13&gt;=ROUND(Line_Check!BS13*Policy!$B$15,0),1,0),1),IF(Line_Check!CD13=1,IF(Line_Check!CK13+Line_Check!CI13&gt;=ROUND(Line_Check!CE13*Policy!$B$15,0),1,0),1),IF(Line_Check!CP13=1,IF(Line_Check!CW13+Line_Check!CU13&gt;=ROUND(Line_Check!CQ13*Policy!$B$15,0),1,0),1))=1,"PASS","FAIL"),"N/A")</f>
        <v/>
      </c>
      <c r="O13" s="25" t="inlineStr">
        <is>
          <t>N/A</t>
        </is>
      </c>
      <c r="P13" s="25">
        <f>IF(C13=Request!$B$10,"PASS","FAIL")</f>
        <v/>
      </c>
      <c r="Q13" s="25">
        <f>IF(D13="Standard","PASS","FAIL")</f>
        <v/>
      </c>
      <c r="R13" s="25">
        <f>IF(AND(Request!$B$9="cross-geo",C13=Request!$B$10),"PASS",IF(B13&lt;&gt;Allocation!$C$9,"PASS","FAIL"))</f>
        <v/>
      </c>
      <c r="S13" s="25">
        <f>IF(MIN(IF(Line_Check!J13=1,IF(MIN(Line_Check!Q13,Line_Check!S13)&gt;=ROUND(Line_Check!K13*Policy!$B$15,0),1,0),1),IF(Line_Check!V13=1,IF(MIN(Line_Check!AC13,Line_Check!AE13)&gt;=ROUND(Line_Check!W13*Policy!$B$15,0),1,0),1),IF(Line_Check!AH13=1,IF(MIN(Line_Check!AO13,Line_Check!AQ13)&gt;=ROUND(Line_Check!AI13*Policy!$B$15,0),1,0),1),IF(Line_Check!AT13=1,IF(MIN(Line_Check!BA13,Line_Check!BC13)&gt;=ROUND(Line_Check!AU13*Policy!$B$15,0),1,0),1),IF(Line_Check!BF13=1,IF(MIN(Line_Check!BM13,Line_Check!BO13)&gt;=ROUND(Line_Check!BG13*Policy!$B$15,0),1,0),1),IF(Line_Check!BR13=1,IF(MIN(Line_Check!BY13,Line_Check!CA13)&gt;=ROUND(Line_Check!BS13*Policy!$B$15,0),1,0),1),IF(Line_Check!CD13=1,IF(MIN(Line_Check!CK13,Line_Check!CM13)&gt;=ROUND(Line_Check!CE13*Policy!$B$15,0),1,0),1),IF(Line_Check!CP13=1,IF(MIN(Line_Check!CW13,Line_Check!CY13)&gt;=ROUND(Line_Check!CQ13*Policy!$B$15,0),1,0),1))=1,"PASS","FAIL")</f>
        <v/>
      </c>
      <c r="T13" s="36">
        <f>IF(AND(J13=1,OR(K13="PASS",K13="N/A"),OR(L13="PASS",L13="N/A"),OR(M13="PASS",M13="N/A"),OR(N13="PASS",N13="N/A"),OR(O13="PASS",O13="N/A"),OR(P13="PASS",P13="N/A"),OR(Q13="PASS",Q13="N/A"),OR(R13="PASS",R13="N/A"),OR(S13="PASS",S13="N/A")),1,0)</f>
        <v/>
      </c>
      <c r="U13" s="30">
        <f>IF(J13&lt;&gt;1,"—",MIN(IF(Line_Check!J13=1,MAX(0,MIN(1,IF(Line_Check!R13=0,0,Line_Check!Q13/Line_Check!R13))),1),IF(Line_Check!V13=1,MAX(0,MIN(1,IF(Line_Check!AD13=0,0,Line_Check!AC13/Line_Check!AD13))),1),IF(Line_Check!AH13=1,MAX(0,MIN(1,IF(Line_Check!AP13=0,0,Line_Check!AO13/Line_Check!AP13))),1),IF(Line_Check!AT13=1,MAX(0,MIN(1,IF(Line_Check!BB13=0,0,Line_Check!BA13/Line_Check!BB13))),1),IF(Line_Check!BF13=1,MAX(0,MIN(1,IF(Line_Check!BN13=0,0,Line_Check!BM13/Line_Check!BN13))),1),IF(Line_Check!BR13=1,MAX(0,MIN(1,IF(Line_Check!BZ13=0,0,Line_Check!BY13/Line_Check!BZ13))),1),IF(Line_Check!CD13=1,MAX(0,MIN(1,IF(Line_Check!CL13=0,0,Line_Check!CK13/Line_Check!CL13))),1),IF(Line_Check!CP13=1,MAX(0,MIN(1,IF(Line_Check!CX13=0,0,Line_Check!CW13/Line_Check!CX13))),1)))</f>
        <v/>
      </c>
      <c r="V13" s="30">
        <f>IF(J13&lt;&gt;1,"—",MIN(IF(Line_Check!J13=1,MAX(0,MIN(1,IF(Line_Check!T13=0,0,Line_Check!S13/Line_Check!T13))),1),IF(Line_Check!V13=1,MAX(0,MIN(1,IF(Line_Check!AF13=0,0,Line_Check!AE13/Line_Check!AF13))),1),IF(Line_Check!AH13=1,MAX(0,MIN(1,IF(Line_Check!AR13=0,0,Line_Check!AQ13/Line_Check!AR13))),1),IF(Line_Check!AT13=1,MAX(0,MIN(1,IF(Line_Check!BD13=0,0,Line_Check!BC13/Line_Check!BD13))),1),IF(Line_Check!BF13=1,MAX(0,MIN(1,IF(Line_Check!BP13=0,0,Line_Check!BO13/Line_Check!BP13))),1),IF(Line_Check!BR13=1,MAX(0,MIN(1,IF(Line_Check!CB13=0,0,Line_Check!CA13/Line_Check!CB13))),1),IF(Line_Check!CD13=1,MAX(0,MIN(1,IF(Line_Check!CN13=0,0,Line_Check!CM13/Line_Check!CN13))),1),IF(Line_Check!CP13=1,MAX(0,MIN(1,IF(Line_Check!CZ13=0,0,Line_Check!CY13/Line_Check!CZ13))),1)))</f>
        <v/>
      </c>
      <c r="W13" s="30">
        <f>IF(J13&lt;&gt;1,"—",IF(SUMIFS($H$5:$H$18,$C$5:$C$18,C13)=0,1,MAX(0,MIN(1,1-H13/SUMIFS($H$5:$H$18,$C$5:$C$18,C13)))))</f>
        <v/>
      </c>
      <c r="X13" s="30">
        <f>IF(J13&lt;&gt;1,"—",IF(Policy!$B$15&lt;=0,0,MAX(0,MIN(1,I13/Policy!$B$15))))</f>
        <v/>
      </c>
      <c r="Y13" s="30">
        <f>IF(J13&lt;&gt;1,"—",MAX(0,MIN(1,G13/3)))</f>
        <v/>
      </c>
      <c r="Z13" s="30">
        <f>IF(T13&lt;&gt;1,"—",Policy!$B$4*U13+Policy!$B$5*V13+Policy!$B$6*W13+Policy!$B$7*X13+Policy!$B$8*Y13)</f>
        <v/>
      </c>
      <c r="AA13" s="25">
        <f>IF(T13&lt;&gt;1,"—",1+COUNTIFS($T$5:$T$18,1,$Z$5:$Z$18,"&gt;"&amp;Z13)+COUNTIFS($T$5:$T$18,1,$Z$5:$Z$18,Z13,$AE$5:$AE$18,"&lt;"&amp;AE13))</f>
        <v/>
      </c>
      <c r="AB13" s="25">
        <f>IF(J13&lt;&gt;1,"—",IF(OR(AND(Line_Check!J13=1,Line_Check!R13=0),AND(Line_Check!V13=1,Line_Check!AD13=0),AND(Line_Check!AH13=1,Line_Check!AP13=0),AND(Line_Check!AT13=1,Line_Check!BB13=0),AND(Line_Check!BF13=1,Line_Check!BN13=0),AND(Line_Check!BR13=1,Line_Check!BZ13=0),AND(Line_Check!CD13=1,Line_Check!CL13=0),AND(Line_Check!CP13=1,Line_Check!CX13=0)),"RESERVATION_DEFICIT",IF(K13="FAIL","CAPACITY_UNAVAILABLE",IF(L13="FAIL","QUOTA_DEFICIT",IF(OR(M13="FAIL",N13="FAIL",O13="FAIL",P13="FAIL",Q13="FAIL",R13="FAIL",S13="FAIL"),"CAPACITY_UNAVAILABLE",IF(AND(T13=1,U13&lt;Policy!$B$12),"READY_WITH_RISK",IF(T13=1,"READY","CAPACITY_UNAVAILABLE")))))))</f>
        <v/>
      </c>
      <c r="AC13" s="25">
        <f>IF(T13&lt;&gt;1,"—",IF(MIN(IF(Line_Check!J13=1,Line_Check!Q13,10^9),IF(Line_Check!V13=1,Line_Check!AC13,10^9),IF(Line_Check!AH13=1,Line_Check!AO13,10^9),IF(Line_Check!AT13=1,Line_Check!BA13,10^9),IF(Line_Check!BF13=1,Line_Check!BM13,10^9),IF(Line_Check!BR13=1,Line_Check!BY13,10^9),IF(Line_Check!CD13=1,Line_Check!CK13,10^9),IF(Line_Check!CP13=1,Line_Check!CW13,10^9))&lt;=MIN(IF(Line_Check!J13=1,Line_Check!S13,10^9),IF(Line_Check!V13=1,Line_Check!AE13,10^9),IF(Line_Check!AH13=1,Line_Check!AQ13,10^9),IF(Line_Check!AT13=1,Line_Check!BC13,10^9),IF(Line_Check!BF13=1,Line_Check!BO13,10^9),IF(Line_Check!BR13=1,Line_Check!CA13,10^9),IF(Line_Check!CD13=1,Line_Check!CM13,10^9),IF(Line_Check!CP13=1,Line_Check!CY13,10^9)),"CAPACITY","QUOTA"))</f>
        <v/>
      </c>
      <c r="AE13" s="36">
        <f>ROW()</f>
        <v/>
      </c>
    </row>
    <row r="14">
      <c r="A14" s="6">
        <f>Line_Check!A14</f>
        <v/>
      </c>
      <c r="B14" s="6">
        <f>Line_Check!B14</f>
        <v/>
      </c>
      <c r="C14" s="15">
        <f>Line_Check!C14</f>
        <v/>
      </c>
      <c r="D14" s="15">
        <f>Line_Check!D14</f>
        <v/>
      </c>
      <c r="E14" s="15">
        <f>Line_Check!E14</f>
        <v/>
      </c>
      <c r="F14" s="15">
        <f>Line_Check!F14</f>
        <v/>
      </c>
      <c r="G14" s="42">
        <f>Line_Check!G14</f>
        <v/>
      </c>
      <c r="H14" s="42">
        <f>Line_Check!H14</f>
        <v/>
      </c>
      <c r="I14" s="43">
        <f>Line_Check!I14</f>
        <v/>
      </c>
      <c r="J14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ELIGIBLE"),0,IF(Request!$B$9="cross-geo",IF(AND(C14=Request!$B$10,D14="Standard"),1,0),IF(OR(Request!$B$9="2-region",Request!$B$11="Y"),IF(B14=Allocation!$C$10,1,0),IF(AND(C14=Request!$B$4,D14="Standard",B14&lt;&gt;Allocation!$C$9,B14&lt;&gt;Allocation!$C$10),1,0))))</f>
        <v/>
      </c>
      <c r="K14" s="25">
        <f>IF(MIN(IF(Line_Check!J14=1,IF(Line_Check!Q14&gt;=Policy!$B$13*ROUND(Line_Check!K14*Policy!$B$15,0),1,0),1),IF(Line_Check!V14=1,IF(Line_Check!AC14&gt;=Policy!$B$13*ROUND(Line_Check!W14*Policy!$B$15,0),1,0),1),IF(Line_Check!AH14=1,IF(Line_Check!AO14&gt;=Policy!$B$13*ROUND(Line_Check!AI14*Policy!$B$15,0),1,0),1),IF(Line_Check!AT14=1,IF(Line_Check!BA14&gt;=Policy!$B$13*ROUND(Line_Check!AU14*Policy!$B$15,0),1,0),1),IF(Line_Check!BF14=1,IF(Line_Check!BM14&gt;=Policy!$B$13*ROUND(Line_Check!BG14*Policy!$B$15,0),1,0),1),IF(Line_Check!BR14=1,IF(Line_Check!BY14&gt;=Policy!$B$13*ROUND(Line_Check!BS14*Policy!$B$15,0),1,0),1),IF(Line_Check!CD14=1,IF(Line_Check!CK14&gt;=Policy!$B$13*ROUND(Line_Check!CE14*Policy!$B$15,0),1,0),1),IF(Line_Check!CP14=1,IF(Line_Check!CW14&gt;=Policy!$B$13*ROUND(Line_Check!CQ14*Policy!$B$15,0),1,0),1))=1,"PASS","FAIL")</f>
        <v/>
      </c>
      <c r="L14" s="25">
        <f>IF(MIN(IF(Line_Check!J14=1,IF(AND(Line_Check!S14&gt;=ROUND(Line_Check!K14*Policy!$B$15,0),Line_Check!S14-ROUND(Line_Check!K14*Policy!$B$15,0)&gt;=Policy!$B$14),1,0),1),IF(Line_Check!V14=1,IF(AND(Line_Check!AE14&gt;=ROUND(Line_Check!W14*Policy!$B$15,0),Line_Check!AE14-ROUND(Line_Check!W14*Policy!$B$15,0)&gt;=Policy!$B$14),1,0),1),IF(Line_Check!AH14=1,IF(AND(Line_Check!AQ14&gt;=ROUND(Line_Check!AI14*Policy!$B$15,0),Line_Check!AQ14-ROUND(Line_Check!AI14*Policy!$B$15,0)&gt;=Policy!$B$14),1,0),1),IF(Line_Check!AT14=1,IF(AND(Line_Check!BC14&gt;=ROUND(Line_Check!AU14*Policy!$B$15,0),Line_Check!BC14-ROUND(Line_Check!AU14*Policy!$B$15,0)&gt;=Policy!$B$14),1,0),1),IF(Line_Check!BF14=1,IF(AND(Line_Check!BO14&gt;=ROUND(Line_Check!BG14*Policy!$B$15,0),Line_Check!BO14-ROUND(Line_Check!BG14*Policy!$B$15,0)&gt;=Policy!$B$14),1,0),1),IF(Line_Check!BR14=1,IF(AND(Line_Check!CA14&gt;=ROUND(Line_Check!BS14*Policy!$B$15,0),Line_Check!CA14-ROUND(Line_Check!BS14*Policy!$B$15,0)&gt;=Policy!$B$14),1,0),1),IF(Line_Check!CD14=1,IF(AND(Line_Check!CM14&gt;=ROUND(Line_Check!CE14*Policy!$B$15,0),Line_Check!CM14-ROUND(Line_Check!CE14*Policy!$B$15,0)&gt;=Policy!$B$14),1,0),1),IF(Line_Check!CP14=1,IF(AND(Line_Check!CY14&gt;=ROUND(Line_Check!CQ14*Policy!$B$15,0),Line_Check!CY14-ROUND(Line_Check!CQ14*Policy!$B$15,0)&gt;=Policy!$B$14),1,0),1))=1,"PASS","FAIL")</f>
        <v/>
      </c>
      <c r="M14" s="25">
        <f>IF(G14&gt;=2,"PASS","FAIL")</f>
        <v/>
      </c>
      <c r="N14" s="25">
        <f>IF(Request!$B$9="2-region",IF(MIN(IF(Line_Check!J14=1,IF(Line_Check!Q14+Line_Check!O14&gt;=ROUND(Line_Check!K14*Policy!$B$15,0),1,0),1),IF(Line_Check!V14=1,IF(Line_Check!AC14+Line_Check!AA14&gt;=ROUND(Line_Check!W14*Policy!$B$15,0),1,0),1),IF(Line_Check!AH14=1,IF(Line_Check!AO14+Line_Check!AM14&gt;=ROUND(Line_Check!AI14*Policy!$B$15,0),1,0),1),IF(Line_Check!AT14=1,IF(Line_Check!BA14+Line_Check!AY14&gt;=ROUND(Line_Check!AU14*Policy!$B$15,0),1,0),1),IF(Line_Check!BF14=1,IF(Line_Check!BM14+Line_Check!BK14&gt;=ROUND(Line_Check!BG14*Policy!$B$15,0),1,0),1),IF(Line_Check!BR14=1,IF(Line_Check!BY14+Line_Check!BW14&gt;=ROUND(Line_Check!BS14*Policy!$B$15,0),1,0),1),IF(Line_Check!CD14=1,IF(Line_Check!CK14+Line_Check!CI14&gt;=ROUND(Line_Check!CE14*Policy!$B$15,0),1,0),1),IF(Line_Check!CP14=1,IF(Line_Check!CW14+Line_Check!CU14&gt;=ROUND(Line_Check!CQ14*Policy!$B$15,0),1,0),1))=1,"PASS","FAIL"),"N/A")</f>
        <v/>
      </c>
      <c r="O14" s="25" t="inlineStr">
        <is>
          <t>N/A</t>
        </is>
      </c>
      <c r="P14" s="25">
        <f>IF(C14=Request!$B$10,"PASS","FAIL")</f>
        <v/>
      </c>
      <c r="Q14" s="25">
        <f>IF(D14="Standard","PASS","FAIL")</f>
        <v/>
      </c>
      <c r="R14" s="25">
        <f>IF(AND(Request!$B$9="cross-geo",C14=Request!$B$10),"PASS",IF(B14&lt;&gt;Allocation!$C$9,"PASS","FAIL"))</f>
        <v/>
      </c>
      <c r="S14" s="25">
        <f>IF(MIN(IF(Line_Check!J14=1,IF(MIN(Line_Check!Q14,Line_Check!S14)&gt;=ROUND(Line_Check!K14*Policy!$B$15,0),1,0),1),IF(Line_Check!V14=1,IF(MIN(Line_Check!AC14,Line_Check!AE14)&gt;=ROUND(Line_Check!W14*Policy!$B$15,0),1,0),1),IF(Line_Check!AH14=1,IF(MIN(Line_Check!AO14,Line_Check!AQ14)&gt;=ROUND(Line_Check!AI14*Policy!$B$15,0),1,0),1),IF(Line_Check!AT14=1,IF(MIN(Line_Check!BA14,Line_Check!BC14)&gt;=ROUND(Line_Check!AU14*Policy!$B$15,0),1,0),1),IF(Line_Check!BF14=1,IF(MIN(Line_Check!BM14,Line_Check!BO14)&gt;=ROUND(Line_Check!BG14*Policy!$B$15,0),1,0),1),IF(Line_Check!BR14=1,IF(MIN(Line_Check!BY14,Line_Check!CA14)&gt;=ROUND(Line_Check!BS14*Policy!$B$15,0),1,0),1),IF(Line_Check!CD14=1,IF(MIN(Line_Check!CK14,Line_Check!CM14)&gt;=ROUND(Line_Check!CE14*Policy!$B$15,0),1,0),1),IF(Line_Check!CP14=1,IF(MIN(Line_Check!CW14,Line_Check!CY14)&gt;=ROUND(Line_Check!CQ14*Policy!$B$15,0),1,0),1))=1,"PASS","FAIL")</f>
        <v/>
      </c>
      <c r="T14" s="36">
        <f>IF(AND(J14=1,OR(K14="PASS",K14="N/A"),OR(L14="PASS",L14="N/A"),OR(M14="PASS",M14="N/A"),OR(N14="PASS",N14="N/A"),OR(O14="PASS",O14="N/A"),OR(P14="PASS",P14="N/A"),OR(Q14="PASS",Q14="N/A"),OR(R14="PASS",R14="N/A"),OR(S14="PASS",S14="N/A")),1,0)</f>
        <v/>
      </c>
      <c r="U14" s="30">
        <f>IF(J14&lt;&gt;1,"—",MIN(IF(Line_Check!J14=1,MAX(0,MIN(1,IF(Line_Check!R14=0,0,Line_Check!Q14/Line_Check!R14))),1),IF(Line_Check!V14=1,MAX(0,MIN(1,IF(Line_Check!AD14=0,0,Line_Check!AC14/Line_Check!AD14))),1),IF(Line_Check!AH14=1,MAX(0,MIN(1,IF(Line_Check!AP14=0,0,Line_Check!AO14/Line_Check!AP14))),1),IF(Line_Check!AT14=1,MAX(0,MIN(1,IF(Line_Check!BB14=0,0,Line_Check!BA14/Line_Check!BB14))),1),IF(Line_Check!BF14=1,MAX(0,MIN(1,IF(Line_Check!BN14=0,0,Line_Check!BM14/Line_Check!BN14))),1),IF(Line_Check!BR14=1,MAX(0,MIN(1,IF(Line_Check!BZ14=0,0,Line_Check!BY14/Line_Check!BZ14))),1),IF(Line_Check!CD14=1,MAX(0,MIN(1,IF(Line_Check!CL14=0,0,Line_Check!CK14/Line_Check!CL14))),1),IF(Line_Check!CP14=1,MAX(0,MIN(1,IF(Line_Check!CX14=0,0,Line_Check!CW14/Line_Check!CX14))),1)))</f>
        <v/>
      </c>
      <c r="V14" s="30">
        <f>IF(J14&lt;&gt;1,"—",MIN(IF(Line_Check!J14=1,MAX(0,MIN(1,IF(Line_Check!T14=0,0,Line_Check!S14/Line_Check!T14))),1),IF(Line_Check!V14=1,MAX(0,MIN(1,IF(Line_Check!AF14=0,0,Line_Check!AE14/Line_Check!AF14))),1),IF(Line_Check!AH14=1,MAX(0,MIN(1,IF(Line_Check!AR14=0,0,Line_Check!AQ14/Line_Check!AR14))),1),IF(Line_Check!AT14=1,MAX(0,MIN(1,IF(Line_Check!BD14=0,0,Line_Check!BC14/Line_Check!BD14))),1),IF(Line_Check!BF14=1,MAX(0,MIN(1,IF(Line_Check!BP14=0,0,Line_Check!BO14/Line_Check!BP14))),1),IF(Line_Check!BR14=1,MAX(0,MIN(1,IF(Line_Check!CB14=0,0,Line_Check!CA14/Line_Check!CB14))),1),IF(Line_Check!CD14=1,MAX(0,MIN(1,IF(Line_Check!CN14=0,0,Line_Check!CM14/Line_Check!CN14))),1),IF(Line_Check!CP14=1,MAX(0,MIN(1,IF(Line_Check!CZ14=0,0,Line_Check!CY14/Line_Check!CZ14))),1)))</f>
        <v/>
      </c>
      <c r="W14" s="30">
        <f>IF(J14&lt;&gt;1,"—",IF(SUMIFS($H$5:$H$18,$C$5:$C$18,C14)=0,1,MAX(0,MIN(1,1-H14/SUMIFS($H$5:$H$18,$C$5:$C$18,C14)))))</f>
        <v/>
      </c>
      <c r="X14" s="30">
        <f>IF(J14&lt;&gt;1,"—",IF(Policy!$B$15&lt;=0,0,MAX(0,MIN(1,I14/Policy!$B$15))))</f>
        <v/>
      </c>
      <c r="Y14" s="30">
        <f>IF(J14&lt;&gt;1,"—",MAX(0,MIN(1,G14/3)))</f>
        <v/>
      </c>
      <c r="Z14" s="30">
        <f>IF(T14&lt;&gt;1,"—",Policy!$B$4*U14+Policy!$B$5*V14+Policy!$B$6*W14+Policy!$B$7*X14+Policy!$B$8*Y14)</f>
        <v/>
      </c>
      <c r="AA14" s="25">
        <f>IF(T14&lt;&gt;1,"—",1+COUNTIFS($T$5:$T$18,1,$Z$5:$Z$18,"&gt;"&amp;Z14)+COUNTIFS($T$5:$T$18,1,$Z$5:$Z$18,Z14,$AE$5:$AE$18,"&lt;"&amp;AE14))</f>
        <v/>
      </c>
      <c r="AB14" s="25">
        <f>IF(J14&lt;&gt;1,"—",IF(OR(AND(Line_Check!J14=1,Line_Check!R14=0),AND(Line_Check!V14=1,Line_Check!AD14=0),AND(Line_Check!AH14=1,Line_Check!AP14=0),AND(Line_Check!AT14=1,Line_Check!BB14=0),AND(Line_Check!BF14=1,Line_Check!BN14=0),AND(Line_Check!BR14=1,Line_Check!BZ14=0),AND(Line_Check!CD14=1,Line_Check!CL14=0),AND(Line_Check!CP14=1,Line_Check!CX14=0)),"RESERVATION_DEFICIT",IF(K14="FAIL","CAPACITY_UNAVAILABLE",IF(L14="FAIL","QUOTA_DEFICIT",IF(OR(M14="FAIL",N14="FAIL",O14="FAIL",P14="FAIL",Q14="FAIL",R14="FAIL",S14="FAIL"),"CAPACITY_UNAVAILABLE",IF(AND(T14=1,U14&lt;Policy!$B$12),"READY_WITH_RISK",IF(T14=1,"READY","CAPACITY_UNAVAILABLE")))))))</f>
        <v/>
      </c>
      <c r="AC14" s="25">
        <f>IF(T14&lt;&gt;1,"—",IF(MIN(IF(Line_Check!J14=1,Line_Check!Q14,10^9),IF(Line_Check!V14=1,Line_Check!AC14,10^9),IF(Line_Check!AH14=1,Line_Check!AO14,10^9),IF(Line_Check!AT14=1,Line_Check!BA14,10^9),IF(Line_Check!BF14=1,Line_Check!BM14,10^9),IF(Line_Check!BR14=1,Line_Check!BY14,10^9),IF(Line_Check!CD14=1,Line_Check!CK14,10^9),IF(Line_Check!CP14=1,Line_Check!CW14,10^9))&lt;=MIN(IF(Line_Check!J14=1,Line_Check!S14,10^9),IF(Line_Check!V14=1,Line_Check!AE14,10^9),IF(Line_Check!AH14=1,Line_Check!AQ14,10^9),IF(Line_Check!AT14=1,Line_Check!BC14,10^9),IF(Line_Check!BF14=1,Line_Check!BO14,10^9),IF(Line_Check!BR14=1,Line_Check!CA14,10^9),IF(Line_Check!CD14=1,Line_Check!CM14,10^9),IF(Line_Check!CP14=1,Line_Check!CY14,10^9)),"CAPACITY","QUOTA"))</f>
        <v/>
      </c>
      <c r="AE14" s="36">
        <f>ROW()</f>
        <v/>
      </c>
    </row>
    <row r="15">
      <c r="A15" s="6">
        <f>Line_Check!A15</f>
        <v/>
      </c>
      <c r="B15" s="6">
        <f>Line_Check!B15</f>
        <v/>
      </c>
      <c r="C15" s="15">
        <f>Line_Check!C15</f>
        <v/>
      </c>
      <c r="D15" s="15">
        <f>Line_Check!D15</f>
        <v/>
      </c>
      <c r="E15" s="15">
        <f>Line_Check!E15</f>
        <v/>
      </c>
      <c r="F15" s="15">
        <f>Line_Check!F15</f>
        <v/>
      </c>
      <c r="G15" s="42">
        <f>Line_Check!G15</f>
        <v/>
      </c>
      <c r="H15" s="42">
        <f>Line_Check!H15</f>
        <v/>
      </c>
      <c r="I15" s="43">
        <f>Line_Check!I15</f>
        <v/>
      </c>
      <c r="J15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ELIGIBLE"),0,IF(Request!$B$9="cross-geo",IF(AND(C15=Request!$B$10,D15="Standard"),1,0),IF(OR(Request!$B$9="2-region",Request!$B$11="Y"),IF(B15=Allocation!$C$10,1,0),IF(AND(C15=Request!$B$4,D15="Standard",B15&lt;&gt;Allocation!$C$9,B15&lt;&gt;Allocation!$C$10),1,0))))</f>
        <v/>
      </c>
      <c r="K15" s="25">
        <f>IF(MIN(IF(Line_Check!J15=1,IF(Line_Check!Q15&gt;=Policy!$B$13*ROUND(Line_Check!K15*Policy!$B$15,0),1,0),1),IF(Line_Check!V15=1,IF(Line_Check!AC15&gt;=Policy!$B$13*ROUND(Line_Check!W15*Policy!$B$15,0),1,0),1),IF(Line_Check!AH15=1,IF(Line_Check!AO15&gt;=Policy!$B$13*ROUND(Line_Check!AI15*Policy!$B$15,0),1,0),1),IF(Line_Check!AT15=1,IF(Line_Check!BA15&gt;=Policy!$B$13*ROUND(Line_Check!AU15*Policy!$B$15,0),1,0),1),IF(Line_Check!BF15=1,IF(Line_Check!BM15&gt;=Policy!$B$13*ROUND(Line_Check!BG15*Policy!$B$15,0),1,0),1),IF(Line_Check!BR15=1,IF(Line_Check!BY15&gt;=Policy!$B$13*ROUND(Line_Check!BS15*Policy!$B$15,0),1,0),1),IF(Line_Check!CD15=1,IF(Line_Check!CK15&gt;=Policy!$B$13*ROUND(Line_Check!CE15*Policy!$B$15,0),1,0),1),IF(Line_Check!CP15=1,IF(Line_Check!CW15&gt;=Policy!$B$13*ROUND(Line_Check!CQ15*Policy!$B$15,0),1,0),1))=1,"PASS","FAIL")</f>
        <v/>
      </c>
      <c r="L15" s="25">
        <f>IF(MIN(IF(Line_Check!J15=1,IF(AND(Line_Check!S15&gt;=ROUND(Line_Check!K15*Policy!$B$15,0),Line_Check!S15-ROUND(Line_Check!K15*Policy!$B$15,0)&gt;=Policy!$B$14),1,0),1),IF(Line_Check!V15=1,IF(AND(Line_Check!AE15&gt;=ROUND(Line_Check!W15*Policy!$B$15,0),Line_Check!AE15-ROUND(Line_Check!W15*Policy!$B$15,0)&gt;=Policy!$B$14),1,0),1),IF(Line_Check!AH15=1,IF(AND(Line_Check!AQ15&gt;=ROUND(Line_Check!AI15*Policy!$B$15,0),Line_Check!AQ15-ROUND(Line_Check!AI15*Policy!$B$15,0)&gt;=Policy!$B$14),1,0),1),IF(Line_Check!AT15=1,IF(AND(Line_Check!BC15&gt;=ROUND(Line_Check!AU15*Policy!$B$15,0),Line_Check!BC15-ROUND(Line_Check!AU15*Policy!$B$15,0)&gt;=Policy!$B$14),1,0),1),IF(Line_Check!BF15=1,IF(AND(Line_Check!BO15&gt;=ROUND(Line_Check!BG15*Policy!$B$15,0),Line_Check!BO15-ROUND(Line_Check!BG15*Policy!$B$15,0)&gt;=Policy!$B$14),1,0),1),IF(Line_Check!BR15=1,IF(AND(Line_Check!CA15&gt;=ROUND(Line_Check!BS15*Policy!$B$15,0),Line_Check!CA15-ROUND(Line_Check!BS15*Policy!$B$15,0)&gt;=Policy!$B$14),1,0),1),IF(Line_Check!CD15=1,IF(AND(Line_Check!CM15&gt;=ROUND(Line_Check!CE15*Policy!$B$15,0),Line_Check!CM15-ROUND(Line_Check!CE15*Policy!$B$15,0)&gt;=Policy!$B$14),1,0),1),IF(Line_Check!CP15=1,IF(AND(Line_Check!CY15&gt;=ROUND(Line_Check!CQ15*Policy!$B$15,0),Line_Check!CY15-ROUND(Line_Check!CQ15*Policy!$B$15,0)&gt;=Policy!$B$14),1,0),1))=1,"PASS","FAIL")</f>
        <v/>
      </c>
      <c r="M15" s="25">
        <f>IF(G15&gt;=2,"PASS","FAIL")</f>
        <v/>
      </c>
      <c r="N15" s="25">
        <f>IF(Request!$B$9="2-region",IF(MIN(IF(Line_Check!J15=1,IF(Line_Check!Q15+Line_Check!O15&gt;=ROUND(Line_Check!K15*Policy!$B$15,0),1,0),1),IF(Line_Check!V15=1,IF(Line_Check!AC15+Line_Check!AA15&gt;=ROUND(Line_Check!W15*Policy!$B$15,0),1,0),1),IF(Line_Check!AH15=1,IF(Line_Check!AO15+Line_Check!AM15&gt;=ROUND(Line_Check!AI15*Policy!$B$15,0),1,0),1),IF(Line_Check!AT15=1,IF(Line_Check!BA15+Line_Check!AY15&gt;=ROUND(Line_Check!AU15*Policy!$B$15,0),1,0),1),IF(Line_Check!BF15=1,IF(Line_Check!BM15+Line_Check!BK15&gt;=ROUND(Line_Check!BG15*Policy!$B$15,0),1,0),1),IF(Line_Check!BR15=1,IF(Line_Check!BY15+Line_Check!BW15&gt;=ROUND(Line_Check!BS15*Policy!$B$15,0),1,0),1),IF(Line_Check!CD15=1,IF(Line_Check!CK15+Line_Check!CI15&gt;=ROUND(Line_Check!CE15*Policy!$B$15,0),1,0),1),IF(Line_Check!CP15=1,IF(Line_Check!CW15+Line_Check!CU15&gt;=ROUND(Line_Check!CQ15*Policy!$B$15,0),1,0),1))=1,"PASS","FAIL"),"N/A")</f>
        <v/>
      </c>
      <c r="O15" s="25" t="inlineStr">
        <is>
          <t>N/A</t>
        </is>
      </c>
      <c r="P15" s="25">
        <f>IF(C15=Request!$B$10,"PASS","FAIL")</f>
        <v/>
      </c>
      <c r="Q15" s="25">
        <f>IF(D15="Standard","PASS","FAIL")</f>
        <v/>
      </c>
      <c r="R15" s="25">
        <f>IF(AND(Request!$B$9="cross-geo",C15=Request!$B$10),"PASS",IF(B15&lt;&gt;Allocation!$C$9,"PASS","FAIL"))</f>
        <v/>
      </c>
      <c r="S15" s="25">
        <f>IF(MIN(IF(Line_Check!J15=1,IF(MIN(Line_Check!Q15,Line_Check!S15)&gt;=ROUND(Line_Check!K15*Policy!$B$15,0),1,0),1),IF(Line_Check!V15=1,IF(MIN(Line_Check!AC15,Line_Check!AE15)&gt;=ROUND(Line_Check!W15*Policy!$B$15,0),1,0),1),IF(Line_Check!AH15=1,IF(MIN(Line_Check!AO15,Line_Check!AQ15)&gt;=ROUND(Line_Check!AI15*Policy!$B$15,0),1,0),1),IF(Line_Check!AT15=1,IF(MIN(Line_Check!BA15,Line_Check!BC15)&gt;=ROUND(Line_Check!AU15*Policy!$B$15,0),1,0),1),IF(Line_Check!BF15=1,IF(MIN(Line_Check!BM15,Line_Check!BO15)&gt;=ROUND(Line_Check!BG15*Policy!$B$15,0),1,0),1),IF(Line_Check!BR15=1,IF(MIN(Line_Check!BY15,Line_Check!CA15)&gt;=ROUND(Line_Check!BS15*Policy!$B$15,0),1,0),1),IF(Line_Check!CD15=1,IF(MIN(Line_Check!CK15,Line_Check!CM15)&gt;=ROUND(Line_Check!CE15*Policy!$B$15,0),1,0),1),IF(Line_Check!CP15=1,IF(MIN(Line_Check!CW15,Line_Check!CY15)&gt;=ROUND(Line_Check!CQ15*Policy!$B$15,0),1,0),1))=1,"PASS","FAIL")</f>
        <v/>
      </c>
      <c r="T15" s="36">
        <f>IF(AND(J15=1,OR(K15="PASS",K15="N/A"),OR(L15="PASS",L15="N/A"),OR(M15="PASS",M15="N/A"),OR(N15="PASS",N15="N/A"),OR(O15="PASS",O15="N/A"),OR(P15="PASS",P15="N/A"),OR(Q15="PASS",Q15="N/A"),OR(R15="PASS",R15="N/A"),OR(S15="PASS",S15="N/A")),1,0)</f>
        <v/>
      </c>
      <c r="U15" s="30">
        <f>IF(J15&lt;&gt;1,"—",MIN(IF(Line_Check!J15=1,MAX(0,MIN(1,IF(Line_Check!R15=0,0,Line_Check!Q15/Line_Check!R15))),1),IF(Line_Check!V15=1,MAX(0,MIN(1,IF(Line_Check!AD15=0,0,Line_Check!AC15/Line_Check!AD15))),1),IF(Line_Check!AH15=1,MAX(0,MIN(1,IF(Line_Check!AP15=0,0,Line_Check!AO15/Line_Check!AP15))),1),IF(Line_Check!AT15=1,MAX(0,MIN(1,IF(Line_Check!BB15=0,0,Line_Check!BA15/Line_Check!BB15))),1),IF(Line_Check!BF15=1,MAX(0,MIN(1,IF(Line_Check!BN15=0,0,Line_Check!BM15/Line_Check!BN15))),1),IF(Line_Check!BR15=1,MAX(0,MIN(1,IF(Line_Check!BZ15=0,0,Line_Check!BY15/Line_Check!BZ15))),1),IF(Line_Check!CD15=1,MAX(0,MIN(1,IF(Line_Check!CL15=0,0,Line_Check!CK15/Line_Check!CL15))),1),IF(Line_Check!CP15=1,MAX(0,MIN(1,IF(Line_Check!CX15=0,0,Line_Check!CW15/Line_Check!CX15))),1)))</f>
        <v/>
      </c>
      <c r="V15" s="30">
        <f>IF(J15&lt;&gt;1,"—",MIN(IF(Line_Check!J15=1,MAX(0,MIN(1,IF(Line_Check!T15=0,0,Line_Check!S15/Line_Check!T15))),1),IF(Line_Check!V15=1,MAX(0,MIN(1,IF(Line_Check!AF15=0,0,Line_Check!AE15/Line_Check!AF15))),1),IF(Line_Check!AH15=1,MAX(0,MIN(1,IF(Line_Check!AR15=0,0,Line_Check!AQ15/Line_Check!AR15))),1),IF(Line_Check!AT15=1,MAX(0,MIN(1,IF(Line_Check!BD15=0,0,Line_Check!BC15/Line_Check!BD15))),1),IF(Line_Check!BF15=1,MAX(0,MIN(1,IF(Line_Check!BP15=0,0,Line_Check!BO15/Line_Check!BP15))),1),IF(Line_Check!BR15=1,MAX(0,MIN(1,IF(Line_Check!CB15=0,0,Line_Check!CA15/Line_Check!CB15))),1),IF(Line_Check!CD15=1,MAX(0,MIN(1,IF(Line_Check!CN15=0,0,Line_Check!CM15/Line_Check!CN15))),1),IF(Line_Check!CP15=1,MAX(0,MIN(1,IF(Line_Check!CZ15=0,0,Line_Check!CY15/Line_Check!CZ15))),1)))</f>
        <v/>
      </c>
      <c r="W15" s="30">
        <f>IF(J15&lt;&gt;1,"—",IF(SUMIFS($H$5:$H$18,$C$5:$C$18,C15)=0,1,MAX(0,MIN(1,1-H15/SUMIFS($H$5:$H$18,$C$5:$C$18,C15)))))</f>
        <v/>
      </c>
      <c r="X15" s="30">
        <f>IF(J15&lt;&gt;1,"—",IF(Policy!$B$15&lt;=0,0,MAX(0,MIN(1,I15/Policy!$B$15))))</f>
        <v/>
      </c>
      <c r="Y15" s="30">
        <f>IF(J15&lt;&gt;1,"—",MAX(0,MIN(1,G15/3)))</f>
        <v/>
      </c>
      <c r="Z15" s="30">
        <f>IF(T15&lt;&gt;1,"—",Policy!$B$4*U15+Policy!$B$5*V15+Policy!$B$6*W15+Policy!$B$7*X15+Policy!$B$8*Y15)</f>
        <v/>
      </c>
      <c r="AA15" s="25">
        <f>IF(T15&lt;&gt;1,"—",1+COUNTIFS($T$5:$T$18,1,$Z$5:$Z$18,"&gt;"&amp;Z15)+COUNTIFS($T$5:$T$18,1,$Z$5:$Z$18,Z15,$AE$5:$AE$18,"&lt;"&amp;AE15))</f>
        <v/>
      </c>
      <c r="AB15" s="25">
        <f>IF(J15&lt;&gt;1,"—",IF(OR(AND(Line_Check!J15=1,Line_Check!R15=0),AND(Line_Check!V15=1,Line_Check!AD15=0),AND(Line_Check!AH15=1,Line_Check!AP15=0),AND(Line_Check!AT15=1,Line_Check!BB15=0),AND(Line_Check!BF15=1,Line_Check!BN15=0),AND(Line_Check!BR15=1,Line_Check!BZ15=0),AND(Line_Check!CD15=1,Line_Check!CL15=0),AND(Line_Check!CP15=1,Line_Check!CX15=0)),"RESERVATION_DEFICIT",IF(K15="FAIL","CAPACITY_UNAVAILABLE",IF(L15="FAIL","QUOTA_DEFICIT",IF(OR(M15="FAIL",N15="FAIL",O15="FAIL",P15="FAIL",Q15="FAIL",R15="FAIL",S15="FAIL"),"CAPACITY_UNAVAILABLE",IF(AND(T15=1,U15&lt;Policy!$B$12),"READY_WITH_RISK",IF(T15=1,"READY","CAPACITY_UNAVAILABLE")))))))</f>
        <v/>
      </c>
      <c r="AC15" s="25">
        <f>IF(T15&lt;&gt;1,"—",IF(MIN(IF(Line_Check!J15=1,Line_Check!Q15,10^9),IF(Line_Check!V15=1,Line_Check!AC15,10^9),IF(Line_Check!AH15=1,Line_Check!AO15,10^9),IF(Line_Check!AT15=1,Line_Check!BA15,10^9),IF(Line_Check!BF15=1,Line_Check!BM15,10^9),IF(Line_Check!BR15=1,Line_Check!BY15,10^9),IF(Line_Check!CD15=1,Line_Check!CK15,10^9),IF(Line_Check!CP15=1,Line_Check!CW15,10^9))&lt;=MIN(IF(Line_Check!J15=1,Line_Check!S15,10^9),IF(Line_Check!V15=1,Line_Check!AE15,10^9),IF(Line_Check!AH15=1,Line_Check!AQ15,10^9),IF(Line_Check!AT15=1,Line_Check!BC15,10^9),IF(Line_Check!BF15=1,Line_Check!BO15,10^9),IF(Line_Check!BR15=1,Line_Check!CA15,10^9),IF(Line_Check!CD15=1,Line_Check!CM15,10^9),IF(Line_Check!CP15=1,Line_Check!CY15,10^9)),"CAPACITY","QUOTA"))</f>
        <v/>
      </c>
      <c r="AE15" s="36">
        <f>ROW()</f>
        <v/>
      </c>
    </row>
    <row r="16">
      <c r="A16" s="6">
        <f>Line_Check!A16</f>
        <v/>
      </c>
      <c r="B16" s="6">
        <f>Line_Check!B16</f>
        <v/>
      </c>
      <c r="C16" s="15">
        <f>Line_Check!C16</f>
        <v/>
      </c>
      <c r="D16" s="15">
        <f>Line_Check!D16</f>
        <v/>
      </c>
      <c r="E16" s="15">
        <f>Line_Check!E16</f>
        <v/>
      </c>
      <c r="F16" s="15">
        <f>Line_Check!F16</f>
        <v/>
      </c>
      <c r="G16" s="42">
        <f>Line_Check!G16</f>
        <v/>
      </c>
      <c r="H16" s="42">
        <f>Line_Check!H16</f>
        <v/>
      </c>
      <c r="I16" s="43">
        <f>Line_Check!I16</f>
        <v/>
      </c>
      <c r="J16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ELIGIBLE"),0,IF(Request!$B$9="cross-geo",IF(AND(C16=Request!$B$10,D16="Standard"),1,0),IF(OR(Request!$B$9="2-region",Request!$B$11="Y"),IF(B16=Allocation!$C$10,1,0),IF(AND(C16=Request!$B$4,D16="Standard",B16&lt;&gt;Allocation!$C$9,B16&lt;&gt;Allocation!$C$10),1,0))))</f>
        <v/>
      </c>
      <c r="K16" s="25">
        <f>IF(MIN(IF(Line_Check!J16=1,IF(Line_Check!Q16&gt;=Policy!$B$13*ROUND(Line_Check!K16*Policy!$B$15,0),1,0),1),IF(Line_Check!V16=1,IF(Line_Check!AC16&gt;=Policy!$B$13*ROUND(Line_Check!W16*Policy!$B$15,0),1,0),1),IF(Line_Check!AH16=1,IF(Line_Check!AO16&gt;=Policy!$B$13*ROUND(Line_Check!AI16*Policy!$B$15,0),1,0),1),IF(Line_Check!AT16=1,IF(Line_Check!BA16&gt;=Policy!$B$13*ROUND(Line_Check!AU16*Policy!$B$15,0),1,0),1),IF(Line_Check!BF16=1,IF(Line_Check!BM16&gt;=Policy!$B$13*ROUND(Line_Check!BG16*Policy!$B$15,0),1,0),1),IF(Line_Check!BR16=1,IF(Line_Check!BY16&gt;=Policy!$B$13*ROUND(Line_Check!BS16*Policy!$B$15,0),1,0),1),IF(Line_Check!CD16=1,IF(Line_Check!CK16&gt;=Policy!$B$13*ROUND(Line_Check!CE16*Policy!$B$15,0),1,0),1),IF(Line_Check!CP16=1,IF(Line_Check!CW16&gt;=Policy!$B$13*ROUND(Line_Check!CQ16*Policy!$B$15,0),1,0),1))=1,"PASS","FAIL")</f>
        <v/>
      </c>
      <c r="L16" s="25">
        <f>IF(MIN(IF(Line_Check!J16=1,IF(AND(Line_Check!S16&gt;=ROUND(Line_Check!K16*Policy!$B$15,0),Line_Check!S16-ROUND(Line_Check!K16*Policy!$B$15,0)&gt;=Policy!$B$14),1,0),1),IF(Line_Check!V16=1,IF(AND(Line_Check!AE16&gt;=ROUND(Line_Check!W16*Policy!$B$15,0),Line_Check!AE16-ROUND(Line_Check!W16*Policy!$B$15,0)&gt;=Policy!$B$14),1,0),1),IF(Line_Check!AH16=1,IF(AND(Line_Check!AQ16&gt;=ROUND(Line_Check!AI16*Policy!$B$15,0),Line_Check!AQ16-ROUND(Line_Check!AI16*Policy!$B$15,0)&gt;=Policy!$B$14),1,0),1),IF(Line_Check!AT16=1,IF(AND(Line_Check!BC16&gt;=ROUND(Line_Check!AU16*Policy!$B$15,0),Line_Check!BC16-ROUND(Line_Check!AU16*Policy!$B$15,0)&gt;=Policy!$B$14),1,0),1),IF(Line_Check!BF16=1,IF(AND(Line_Check!BO16&gt;=ROUND(Line_Check!BG16*Policy!$B$15,0),Line_Check!BO16-ROUND(Line_Check!BG16*Policy!$B$15,0)&gt;=Policy!$B$14),1,0),1),IF(Line_Check!BR16=1,IF(AND(Line_Check!CA16&gt;=ROUND(Line_Check!BS16*Policy!$B$15,0),Line_Check!CA16-ROUND(Line_Check!BS16*Policy!$B$15,0)&gt;=Policy!$B$14),1,0),1),IF(Line_Check!CD16=1,IF(AND(Line_Check!CM16&gt;=ROUND(Line_Check!CE16*Policy!$B$15,0),Line_Check!CM16-ROUND(Line_Check!CE16*Policy!$B$15,0)&gt;=Policy!$B$14),1,0),1),IF(Line_Check!CP16=1,IF(AND(Line_Check!CY16&gt;=ROUND(Line_Check!CQ16*Policy!$B$15,0),Line_Check!CY16-ROUND(Line_Check!CQ16*Policy!$B$15,0)&gt;=Policy!$B$14),1,0),1))=1,"PASS","FAIL")</f>
        <v/>
      </c>
      <c r="M16" s="25">
        <f>IF(G16&gt;=2,"PASS","FAIL")</f>
        <v/>
      </c>
      <c r="N16" s="25">
        <f>IF(Request!$B$9="2-region",IF(MIN(IF(Line_Check!J16=1,IF(Line_Check!Q16+Line_Check!O16&gt;=ROUND(Line_Check!K16*Policy!$B$15,0),1,0),1),IF(Line_Check!V16=1,IF(Line_Check!AC16+Line_Check!AA16&gt;=ROUND(Line_Check!W16*Policy!$B$15,0),1,0),1),IF(Line_Check!AH16=1,IF(Line_Check!AO16+Line_Check!AM16&gt;=ROUND(Line_Check!AI16*Policy!$B$15,0),1,0),1),IF(Line_Check!AT16=1,IF(Line_Check!BA16+Line_Check!AY16&gt;=ROUND(Line_Check!AU16*Policy!$B$15,0),1,0),1),IF(Line_Check!BF16=1,IF(Line_Check!BM16+Line_Check!BK16&gt;=ROUND(Line_Check!BG16*Policy!$B$15,0),1,0),1),IF(Line_Check!BR16=1,IF(Line_Check!BY16+Line_Check!BW16&gt;=ROUND(Line_Check!BS16*Policy!$B$15,0),1,0),1),IF(Line_Check!CD16=1,IF(Line_Check!CK16+Line_Check!CI16&gt;=ROUND(Line_Check!CE16*Policy!$B$15,0),1,0),1),IF(Line_Check!CP16=1,IF(Line_Check!CW16+Line_Check!CU16&gt;=ROUND(Line_Check!CQ16*Policy!$B$15,0),1,0),1))=1,"PASS","FAIL"),"N/A")</f>
        <v/>
      </c>
      <c r="O16" s="25" t="inlineStr">
        <is>
          <t>N/A</t>
        </is>
      </c>
      <c r="P16" s="25">
        <f>IF(C16=Request!$B$10,"PASS","FAIL")</f>
        <v/>
      </c>
      <c r="Q16" s="25">
        <f>IF(D16="Standard","PASS","FAIL")</f>
        <v/>
      </c>
      <c r="R16" s="25">
        <f>IF(AND(Request!$B$9="cross-geo",C16=Request!$B$10),"PASS",IF(B16&lt;&gt;Allocation!$C$9,"PASS","FAIL"))</f>
        <v/>
      </c>
      <c r="S16" s="25">
        <f>IF(MIN(IF(Line_Check!J16=1,IF(MIN(Line_Check!Q16,Line_Check!S16)&gt;=ROUND(Line_Check!K16*Policy!$B$15,0),1,0),1),IF(Line_Check!V16=1,IF(MIN(Line_Check!AC16,Line_Check!AE16)&gt;=ROUND(Line_Check!W16*Policy!$B$15,0),1,0),1),IF(Line_Check!AH16=1,IF(MIN(Line_Check!AO16,Line_Check!AQ16)&gt;=ROUND(Line_Check!AI16*Policy!$B$15,0),1,0),1),IF(Line_Check!AT16=1,IF(MIN(Line_Check!BA16,Line_Check!BC16)&gt;=ROUND(Line_Check!AU16*Policy!$B$15,0),1,0),1),IF(Line_Check!BF16=1,IF(MIN(Line_Check!BM16,Line_Check!BO16)&gt;=ROUND(Line_Check!BG16*Policy!$B$15,0),1,0),1),IF(Line_Check!BR16=1,IF(MIN(Line_Check!BY16,Line_Check!CA16)&gt;=ROUND(Line_Check!BS16*Policy!$B$15,0),1,0),1),IF(Line_Check!CD16=1,IF(MIN(Line_Check!CK16,Line_Check!CM16)&gt;=ROUND(Line_Check!CE16*Policy!$B$15,0),1,0),1),IF(Line_Check!CP16=1,IF(MIN(Line_Check!CW16,Line_Check!CY16)&gt;=ROUND(Line_Check!CQ16*Policy!$B$15,0),1,0),1))=1,"PASS","FAIL")</f>
        <v/>
      </c>
      <c r="T16" s="36">
        <f>IF(AND(J16=1,OR(K16="PASS",K16="N/A"),OR(L16="PASS",L16="N/A"),OR(M16="PASS",M16="N/A"),OR(N16="PASS",N16="N/A"),OR(O16="PASS",O16="N/A"),OR(P16="PASS",P16="N/A"),OR(Q16="PASS",Q16="N/A"),OR(R16="PASS",R16="N/A"),OR(S16="PASS",S16="N/A")),1,0)</f>
        <v/>
      </c>
      <c r="U16" s="30">
        <f>IF(J16&lt;&gt;1,"—",MIN(IF(Line_Check!J16=1,MAX(0,MIN(1,IF(Line_Check!R16=0,0,Line_Check!Q16/Line_Check!R16))),1),IF(Line_Check!V16=1,MAX(0,MIN(1,IF(Line_Check!AD16=0,0,Line_Check!AC16/Line_Check!AD16))),1),IF(Line_Check!AH16=1,MAX(0,MIN(1,IF(Line_Check!AP16=0,0,Line_Check!AO16/Line_Check!AP16))),1),IF(Line_Check!AT16=1,MAX(0,MIN(1,IF(Line_Check!BB16=0,0,Line_Check!BA16/Line_Check!BB16))),1),IF(Line_Check!BF16=1,MAX(0,MIN(1,IF(Line_Check!BN16=0,0,Line_Check!BM16/Line_Check!BN16))),1),IF(Line_Check!BR16=1,MAX(0,MIN(1,IF(Line_Check!BZ16=0,0,Line_Check!BY16/Line_Check!BZ16))),1),IF(Line_Check!CD16=1,MAX(0,MIN(1,IF(Line_Check!CL16=0,0,Line_Check!CK16/Line_Check!CL16))),1),IF(Line_Check!CP16=1,MAX(0,MIN(1,IF(Line_Check!CX16=0,0,Line_Check!CW16/Line_Check!CX16))),1)))</f>
        <v/>
      </c>
      <c r="V16" s="30">
        <f>IF(J16&lt;&gt;1,"—",MIN(IF(Line_Check!J16=1,MAX(0,MIN(1,IF(Line_Check!T16=0,0,Line_Check!S16/Line_Check!T16))),1),IF(Line_Check!V16=1,MAX(0,MIN(1,IF(Line_Check!AF16=0,0,Line_Check!AE16/Line_Check!AF16))),1),IF(Line_Check!AH16=1,MAX(0,MIN(1,IF(Line_Check!AR16=0,0,Line_Check!AQ16/Line_Check!AR16))),1),IF(Line_Check!AT16=1,MAX(0,MIN(1,IF(Line_Check!BD16=0,0,Line_Check!BC16/Line_Check!BD16))),1),IF(Line_Check!BF16=1,MAX(0,MIN(1,IF(Line_Check!BP16=0,0,Line_Check!BO16/Line_Check!BP16))),1),IF(Line_Check!BR16=1,MAX(0,MIN(1,IF(Line_Check!CB16=0,0,Line_Check!CA16/Line_Check!CB16))),1),IF(Line_Check!CD16=1,MAX(0,MIN(1,IF(Line_Check!CN16=0,0,Line_Check!CM16/Line_Check!CN16))),1),IF(Line_Check!CP16=1,MAX(0,MIN(1,IF(Line_Check!CZ16=0,0,Line_Check!CY16/Line_Check!CZ16))),1)))</f>
        <v/>
      </c>
      <c r="W16" s="30">
        <f>IF(J16&lt;&gt;1,"—",IF(SUMIFS($H$5:$H$18,$C$5:$C$18,C16)=0,1,MAX(0,MIN(1,1-H16/SUMIFS($H$5:$H$18,$C$5:$C$18,C16)))))</f>
        <v/>
      </c>
      <c r="X16" s="30">
        <f>IF(J16&lt;&gt;1,"—",IF(Policy!$B$15&lt;=0,0,MAX(0,MIN(1,I16/Policy!$B$15))))</f>
        <v/>
      </c>
      <c r="Y16" s="30">
        <f>IF(J16&lt;&gt;1,"—",MAX(0,MIN(1,G16/3)))</f>
        <v/>
      </c>
      <c r="Z16" s="30">
        <f>IF(T16&lt;&gt;1,"—",Policy!$B$4*U16+Policy!$B$5*V16+Policy!$B$6*W16+Policy!$B$7*X16+Policy!$B$8*Y16)</f>
        <v/>
      </c>
      <c r="AA16" s="25">
        <f>IF(T16&lt;&gt;1,"—",1+COUNTIFS($T$5:$T$18,1,$Z$5:$Z$18,"&gt;"&amp;Z16)+COUNTIFS($T$5:$T$18,1,$Z$5:$Z$18,Z16,$AE$5:$AE$18,"&lt;"&amp;AE16))</f>
        <v/>
      </c>
      <c r="AB16" s="25">
        <f>IF(J16&lt;&gt;1,"—",IF(OR(AND(Line_Check!J16=1,Line_Check!R16=0),AND(Line_Check!V16=1,Line_Check!AD16=0),AND(Line_Check!AH16=1,Line_Check!AP16=0),AND(Line_Check!AT16=1,Line_Check!BB16=0),AND(Line_Check!BF16=1,Line_Check!BN16=0),AND(Line_Check!BR16=1,Line_Check!BZ16=0),AND(Line_Check!CD16=1,Line_Check!CL16=0),AND(Line_Check!CP16=1,Line_Check!CX16=0)),"RESERVATION_DEFICIT",IF(K16="FAIL","CAPACITY_UNAVAILABLE",IF(L16="FAIL","QUOTA_DEFICIT",IF(OR(M16="FAIL",N16="FAIL",O16="FAIL",P16="FAIL",Q16="FAIL",R16="FAIL",S16="FAIL"),"CAPACITY_UNAVAILABLE",IF(AND(T16=1,U16&lt;Policy!$B$12),"READY_WITH_RISK",IF(T16=1,"READY","CAPACITY_UNAVAILABLE")))))))</f>
        <v/>
      </c>
      <c r="AC16" s="25">
        <f>IF(T16&lt;&gt;1,"—",IF(MIN(IF(Line_Check!J16=1,Line_Check!Q16,10^9),IF(Line_Check!V16=1,Line_Check!AC16,10^9),IF(Line_Check!AH16=1,Line_Check!AO16,10^9),IF(Line_Check!AT16=1,Line_Check!BA16,10^9),IF(Line_Check!BF16=1,Line_Check!BM16,10^9),IF(Line_Check!BR16=1,Line_Check!BY16,10^9),IF(Line_Check!CD16=1,Line_Check!CK16,10^9),IF(Line_Check!CP16=1,Line_Check!CW16,10^9))&lt;=MIN(IF(Line_Check!J16=1,Line_Check!S16,10^9),IF(Line_Check!V16=1,Line_Check!AE16,10^9),IF(Line_Check!AH16=1,Line_Check!AQ16,10^9),IF(Line_Check!AT16=1,Line_Check!BC16,10^9),IF(Line_Check!BF16=1,Line_Check!BO16,10^9),IF(Line_Check!BR16=1,Line_Check!CA16,10^9),IF(Line_Check!CD16=1,Line_Check!CM16,10^9),IF(Line_Check!CP16=1,Line_Check!CY16,10^9)),"CAPACITY","QUOTA"))</f>
        <v/>
      </c>
      <c r="AE16" s="36">
        <f>ROW()</f>
        <v/>
      </c>
    </row>
    <row r="17">
      <c r="A17" s="6">
        <f>Line_Check!A17</f>
        <v/>
      </c>
      <c r="B17" s="6">
        <f>Line_Check!B17</f>
        <v/>
      </c>
      <c r="C17" s="15">
        <f>Line_Check!C17</f>
        <v/>
      </c>
      <c r="D17" s="15">
        <f>Line_Check!D17</f>
        <v/>
      </c>
      <c r="E17" s="15">
        <f>Line_Check!E17</f>
        <v/>
      </c>
      <c r="F17" s="15">
        <f>Line_Check!F17</f>
        <v/>
      </c>
      <c r="G17" s="42">
        <f>Line_Check!G17</f>
        <v/>
      </c>
      <c r="H17" s="42">
        <f>Line_Check!H17</f>
        <v/>
      </c>
      <c r="I17" s="43">
        <f>Line_Check!I17</f>
        <v/>
      </c>
      <c r="J17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ELIGIBLE"),0,IF(Request!$B$9="cross-geo",IF(AND(C17=Request!$B$10,D17="Standard"),1,0),IF(OR(Request!$B$9="2-region",Request!$B$11="Y"),IF(B17=Allocation!$C$10,1,0),IF(AND(C17=Request!$B$4,D17="Standard",B17&lt;&gt;Allocation!$C$9,B17&lt;&gt;Allocation!$C$10),1,0))))</f>
        <v/>
      </c>
      <c r="K17" s="25">
        <f>IF(MIN(IF(Line_Check!J17=1,IF(Line_Check!Q17&gt;=Policy!$B$13*ROUND(Line_Check!K17*Policy!$B$15,0),1,0),1),IF(Line_Check!V17=1,IF(Line_Check!AC17&gt;=Policy!$B$13*ROUND(Line_Check!W17*Policy!$B$15,0),1,0),1),IF(Line_Check!AH17=1,IF(Line_Check!AO17&gt;=Policy!$B$13*ROUND(Line_Check!AI17*Policy!$B$15,0),1,0),1),IF(Line_Check!AT17=1,IF(Line_Check!BA17&gt;=Policy!$B$13*ROUND(Line_Check!AU17*Policy!$B$15,0),1,0),1),IF(Line_Check!BF17=1,IF(Line_Check!BM17&gt;=Policy!$B$13*ROUND(Line_Check!BG17*Policy!$B$15,0),1,0),1),IF(Line_Check!BR17=1,IF(Line_Check!BY17&gt;=Policy!$B$13*ROUND(Line_Check!BS17*Policy!$B$15,0),1,0),1),IF(Line_Check!CD17=1,IF(Line_Check!CK17&gt;=Policy!$B$13*ROUND(Line_Check!CE17*Policy!$B$15,0),1,0),1),IF(Line_Check!CP17=1,IF(Line_Check!CW17&gt;=Policy!$B$13*ROUND(Line_Check!CQ17*Policy!$B$15,0),1,0),1))=1,"PASS","FAIL")</f>
        <v/>
      </c>
      <c r="L17" s="25">
        <f>IF(MIN(IF(Line_Check!J17=1,IF(AND(Line_Check!S17&gt;=ROUND(Line_Check!K17*Policy!$B$15,0),Line_Check!S17-ROUND(Line_Check!K17*Policy!$B$15,0)&gt;=Policy!$B$14),1,0),1),IF(Line_Check!V17=1,IF(AND(Line_Check!AE17&gt;=ROUND(Line_Check!W17*Policy!$B$15,0),Line_Check!AE17-ROUND(Line_Check!W17*Policy!$B$15,0)&gt;=Policy!$B$14),1,0),1),IF(Line_Check!AH17=1,IF(AND(Line_Check!AQ17&gt;=ROUND(Line_Check!AI17*Policy!$B$15,0),Line_Check!AQ17-ROUND(Line_Check!AI17*Policy!$B$15,0)&gt;=Policy!$B$14),1,0),1),IF(Line_Check!AT17=1,IF(AND(Line_Check!BC17&gt;=ROUND(Line_Check!AU17*Policy!$B$15,0),Line_Check!BC17-ROUND(Line_Check!AU17*Policy!$B$15,0)&gt;=Policy!$B$14),1,0),1),IF(Line_Check!BF17=1,IF(AND(Line_Check!BO17&gt;=ROUND(Line_Check!BG17*Policy!$B$15,0),Line_Check!BO17-ROUND(Line_Check!BG17*Policy!$B$15,0)&gt;=Policy!$B$14),1,0),1),IF(Line_Check!BR17=1,IF(AND(Line_Check!CA17&gt;=ROUND(Line_Check!BS17*Policy!$B$15,0),Line_Check!CA17-ROUND(Line_Check!BS17*Policy!$B$15,0)&gt;=Policy!$B$14),1,0),1),IF(Line_Check!CD17=1,IF(AND(Line_Check!CM17&gt;=ROUND(Line_Check!CE17*Policy!$B$15,0),Line_Check!CM17-ROUND(Line_Check!CE17*Policy!$B$15,0)&gt;=Policy!$B$14),1,0),1),IF(Line_Check!CP17=1,IF(AND(Line_Check!CY17&gt;=ROUND(Line_Check!CQ17*Policy!$B$15,0),Line_Check!CY17-ROUND(Line_Check!CQ17*Policy!$B$15,0)&gt;=Policy!$B$14),1,0),1))=1,"PASS","FAIL")</f>
        <v/>
      </c>
      <c r="M17" s="25">
        <f>IF(G17&gt;=2,"PASS","FAIL")</f>
        <v/>
      </c>
      <c r="N17" s="25">
        <f>IF(Request!$B$9="2-region",IF(MIN(IF(Line_Check!J17=1,IF(Line_Check!Q17+Line_Check!O17&gt;=ROUND(Line_Check!K17*Policy!$B$15,0),1,0),1),IF(Line_Check!V17=1,IF(Line_Check!AC17+Line_Check!AA17&gt;=ROUND(Line_Check!W17*Policy!$B$15,0),1,0),1),IF(Line_Check!AH17=1,IF(Line_Check!AO17+Line_Check!AM17&gt;=ROUND(Line_Check!AI17*Policy!$B$15,0),1,0),1),IF(Line_Check!AT17=1,IF(Line_Check!BA17+Line_Check!AY17&gt;=ROUND(Line_Check!AU17*Policy!$B$15,0),1,0),1),IF(Line_Check!BF17=1,IF(Line_Check!BM17+Line_Check!BK17&gt;=ROUND(Line_Check!BG17*Policy!$B$15,0),1,0),1),IF(Line_Check!BR17=1,IF(Line_Check!BY17+Line_Check!BW17&gt;=ROUND(Line_Check!BS17*Policy!$B$15,0),1,0),1),IF(Line_Check!CD17=1,IF(Line_Check!CK17+Line_Check!CI17&gt;=ROUND(Line_Check!CE17*Policy!$B$15,0),1,0),1),IF(Line_Check!CP17=1,IF(Line_Check!CW17+Line_Check!CU17&gt;=ROUND(Line_Check!CQ17*Policy!$B$15,0),1,0),1))=1,"PASS","FAIL"),"N/A")</f>
        <v/>
      </c>
      <c r="O17" s="25" t="inlineStr">
        <is>
          <t>N/A</t>
        </is>
      </c>
      <c r="P17" s="25">
        <f>IF(C17=Request!$B$10,"PASS","FAIL")</f>
        <v/>
      </c>
      <c r="Q17" s="25">
        <f>IF(D17="Standard","PASS","FAIL")</f>
        <v/>
      </c>
      <c r="R17" s="25">
        <f>IF(AND(Request!$B$9="cross-geo",C17=Request!$B$10),"PASS",IF(B17&lt;&gt;Allocation!$C$9,"PASS","FAIL"))</f>
        <v/>
      </c>
      <c r="S17" s="25">
        <f>IF(MIN(IF(Line_Check!J17=1,IF(MIN(Line_Check!Q17,Line_Check!S17)&gt;=ROUND(Line_Check!K17*Policy!$B$15,0),1,0),1),IF(Line_Check!V17=1,IF(MIN(Line_Check!AC17,Line_Check!AE17)&gt;=ROUND(Line_Check!W17*Policy!$B$15,0),1,0),1),IF(Line_Check!AH17=1,IF(MIN(Line_Check!AO17,Line_Check!AQ17)&gt;=ROUND(Line_Check!AI17*Policy!$B$15,0),1,0),1),IF(Line_Check!AT17=1,IF(MIN(Line_Check!BA17,Line_Check!BC17)&gt;=ROUND(Line_Check!AU17*Policy!$B$15,0),1,0),1),IF(Line_Check!BF17=1,IF(MIN(Line_Check!BM17,Line_Check!BO17)&gt;=ROUND(Line_Check!BG17*Policy!$B$15,0),1,0),1),IF(Line_Check!BR17=1,IF(MIN(Line_Check!BY17,Line_Check!CA17)&gt;=ROUND(Line_Check!BS17*Policy!$B$15,0),1,0),1),IF(Line_Check!CD17=1,IF(MIN(Line_Check!CK17,Line_Check!CM17)&gt;=ROUND(Line_Check!CE17*Policy!$B$15,0),1,0),1),IF(Line_Check!CP17=1,IF(MIN(Line_Check!CW17,Line_Check!CY17)&gt;=ROUND(Line_Check!CQ17*Policy!$B$15,0),1,0),1))=1,"PASS","FAIL")</f>
        <v/>
      </c>
      <c r="T17" s="36">
        <f>IF(AND(J17=1,OR(K17="PASS",K17="N/A"),OR(L17="PASS",L17="N/A"),OR(M17="PASS",M17="N/A"),OR(N17="PASS",N17="N/A"),OR(O17="PASS",O17="N/A"),OR(P17="PASS",P17="N/A"),OR(Q17="PASS",Q17="N/A"),OR(R17="PASS",R17="N/A"),OR(S17="PASS",S17="N/A")),1,0)</f>
        <v/>
      </c>
      <c r="U17" s="30">
        <f>IF(J17&lt;&gt;1,"—",MIN(IF(Line_Check!J17=1,MAX(0,MIN(1,IF(Line_Check!R17=0,0,Line_Check!Q17/Line_Check!R17))),1),IF(Line_Check!V17=1,MAX(0,MIN(1,IF(Line_Check!AD17=0,0,Line_Check!AC17/Line_Check!AD17))),1),IF(Line_Check!AH17=1,MAX(0,MIN(1,IF(Line_Check!AP17=0,0,Line_Check!AO17/Line_Check!AP17))),1),IF(Line_Check!AT17=1,MAX(0,MIN(1,IF(Line_Check!BB17=0,0,Line_Check!BA17/Line_Check!BB17))),1),IF(Line_Check!BF17=1,MAX(0,MIN(1,IF(Line_Check!BN17=0,0,Line_Check!BM17/Line_Check!BN17))),1),IF(Line_Check!BR17=1,MAX(0,MIN(1,IF(Line_Check!BZ17=0,0,Line_Check!BY17/Line_Check!BZ17))),1),IF(Line_Check!CD17=1,MAX(0,MIN(1,IF(Line_Check!CL17=0,0,Line_Check!CK17/Line_Check!CL17))),1),IF(Line_Check!CP17=1,MAX(0,MIN(1,IF(Line_Check!CX17=0,0,Line_Check!CW17/Line_Check!CX17))),1)))</f>
        <v/>
      </c>
      <c r="V17" s="30">
        <f>IF(J17&lt;&gt;1,"—",MIN(IF(Line_Check!J17=1,MAX(0,MIN(1,IF(Line_Check!T17=0,0,Line_Check!S17/Line_Check!T17))),1),IF(Line_Check!V17=1,MAX(0,MIN(1,IF(Line_Check!AF17=0,0,Line_Check!AE17/Line_Check!AF17))),1),IF(Line_Check!AH17=1,MAX(0,MIN(1,IF(Line_Check!AR17=0,0,Line_Check!AQ17/Line_Check!AR17))),1),IF(Line_Check!AT17=1,MAX(0,MIN(1,IF(Line_Check!BD17=0,0,Line_Check!BC17/Line_Check!BD17))),1),IF(Line_Check!BF17=1,MAX(0,MIN(1,IF(Line_Check!BP17=0,0,Line_Check!BO17/Line_Check!BP17))),1),IF(Line_Check!BR17=1,MAX(0,MIN(1,IF(Line_Check!CB17=0,0,Line_Check!CA17/Line_Check!CB17))),1),IF(Line_Check!CD17=1,MAX(0,MIN(1,IF(Line_Check!CN17=0,0,Line_Check!CM17/Line_Check!CN17))),1),IF(Line_Check!CP17=1,MAX(0,MIN(1,IF(Line_Check!CZ17=0,0,Line_Check!CY17/Line_Check!CZ17))),1)))</f>
        <v/>
      </c>
      <c r="W17" s="30">
        <f>IF(J17&lt;&gt;1,"—",IF(SUMIFS($H$5:$H$18,$C$5:$C$18,C17)=0,1,MAX(0,MIN(1,1-H17/SUMIFS($H$5:$H$18,$C$5:$C$18,C17)))))</f>
        <v/>
      </c>
      <c r="X17" s="30">
        <f>IF(J17&lt;&gt;1,"—",IF(Policy!$B$15&lt;=0,0,MAX(0,MIN(1,I17/Policy!$B$15))))</f>
        <v/>
      </c>
      <c r="Y17" s="30">
        <f>IF(J17&lt;&gt;1,"—",MAX(0,MIN(1,G17/3)))</f>
        <v/>
      </c>
      <c r="Z17" s="30">
        <f>IF(T17&lt;&gt;1,"—",Policy!$B$4*U17+Policy!$B$5*V17+Policy!$B$6*W17+Policy!$B$7*X17+Policy!$B$8*Y17)</f>
        <v/>
      </c>
      <c r="AA17" s="25">
        <f>IF(T17&lt;&gt;1,"—",1+COUNTIFS($T$5:$T$18,1,$Z$5:$Z$18,"&gt;"&amp;Z17)+COUNTIFS($T$5:$T$18,1,$Z$5:$Z$18,Z17,$AE$5:$AE$18,"&lt;"&amp;AE17))</f>
        <v/>
      </c>
      <c r="AB17" s="25">
        <f>IF(J17&lt;&gt;1,"—",IF(OR(AND(Line_Check!J17=1,Line_Check!R17=0),AND(Line_Check!V17=1,Line_Check!AD17=0),AND(Line_Check!AH17=1,Line_Check!AP17=0),AND(Line_Check!AT17=1,Line_Check!BB17=0),AND(Line_Check!BF17=1,Line_Check!BN17=0),AND(Line_Check!BR17=1,Line_Check!BZ17=0),AND(Line_Check!CD17=1,Line_Check!CL17=0),AND(Line_Check!CP17=1,Line_Check!CX17=0)),"RESERVATION_DEFICIT",IF(K17="FAIL","CAPACITY_UNAVAILABLE",IF(L17="FAIL","QUOTA_DEFICIT",IF(OR(M17="FAIL",N17="FAIL",O17="FAIL",P17="FAIL",Q17="FAIL",R17="FAIL",S17="FAIL"),"CAPACITY_UNAVAILABLE",IF(AND(T17=1,U17&lt;Policy!$B$12),"READY_WITH_RISK",IF(T17=1,"READY","CAPACITY_UNAVAILABLE")))))))</f>
        <v/>
      </c>
      <c r="AC17" s="25">
        <f>IF(T17&lt;&gt;1,"—",IF(MIN(IF(Line_Check!J17=1,Line_Check!Q17,10^9),IF(Line_Check!V17=1,Line_Check!AC17,10^9),IF(Line_Check!AH17=1,Line_Check!AO17,10^9),IF(Line_Check!AT17=1,Line_Check!BA17,10^9),IF(Line_Check!BF17=1,Line_Check!BM17,10^9),IF(Line_Check!BR17=1,Line_Check!BY17,10^9),IF(Line_Check!CD17=1,Line_Check!CK17,10^9),IF(Line_Check!CP17=1,Line_Check!CW17,10^9))&lt;=MIN(IF(Line_Check!J17=1,Line_Check!S17,10^9),IF(Line_Check!V17=1,Line_Check!AE17,10^9),IF(Line_Check!AH17=1,Line_Check!AQ17,10^9),IF(Line_Check!AT17=1,Line_Check!BC17,10^9),IF(Line_Check!BF17=1,Line_Check!BO17,10^9),IF(Line_Check!BR17=1,Line_Check!CA17,10^9),IF(Line_Check!CD17=1,Line_Check!CM17,10^9),IF(Line_Check!CP17=1,Line_Check!CY17,10^9)),"CAPACITY","QUOTA"))</f>
        <v/>
      </c>
      <c r="AE17" s="36">
        <f>ROW()</f>
        <v/>
      </c>
    </row>
    <row r="18">
      <c r="A18" s="6">
        <f>Line_Check!A18</f>
        <v/>
      </c>
      <c r="B18" s="6">
        <f>Line_Check!B18</f>
        <v/>
      </c>
      <c r="C18" s="15">
        <f>Line_Check!C18</f>
        <v/>
      </c>
      <c r="D18" s="15">
        <f>Line_Check!D18</f>
        <v/>
      </c>
      <c r="E18" s="15">
        <f>Line_Check!E18</f>
        <v/>
      </c>
      <c r="F18" s="15">
        <f>Line_Check!F18</f>
        <v/>
      </c>
      <c r="G18" s="42">
        <f>Line_Check!G18</f>
        <v/>
      </c>
      <c r="H18" s="42">
        <f>Line_Check!H18</f>
        <v/>
      </c>
      <c r="I18" s="43">
        <f>Line_Check!I18</f>
        <v/>
      </c>
      <c r="J18" s="36">
        <f>IF(OR(OR(Request!$B$22=0,Policy!$B$10&lt;&gt;"OK",Request!$B$24&lt;&gt;"OK"),Request!$B$8&lt;&gt;"Y",NOT(AND(Allocation!$C$9&lt;&gt;"NONE ELIGIBLE",Allocation!$C$9&lt;&gt;"POLICY_BLOCKED",Allocation!$C$9&lt;&gt;"NO REQUEST")),Allocation!$C$10="NONE ELIGIBLE"),0,IF(Request!$B$9="cross-geo",IF(AND(C18=Request!$B$10,D18="Standard"),1,0),IF(OR(Request!$B$9="2-region",Request!$B$11="Y"),IF(B18=Allocation!$C$10,1,0),IF(AND(C18=Request!$B$4,D18="Standard",B18&lt;&gt;Allocation!$C$9,B18&lt;&gt;Allocation!$C$10),1,0))))</f>
        <v/>
      </c>
      <c r="K18" s="25">
        <f>IF(MIN(IF(Line_Check!J18=1,IF(Line_Check!Q18&gt;=Policy!$B$13*ROUND(Line_Check!K18*Policy!$B$15,0),1,0),1),IF(Line_Check!V18=1,IF(Line_Check!AC18&gt;=Policy!$B$13*ROUND(Line_Check!W18*Policy!$B$15,0),1,0),1),IF(Line_Check!AH18=1,IF(Line_Check!AO18&gt;=Policy!$B$13*ROUND(Line_Check!AI18*Policy!$B$15,0),1,0),1),IF(Line_Check!AT18=1,IF(Line_Check!BA18&gt;=Policy!$B$13*ROUND(Line_Check!AU18*Policy!$B$15,0),1,0),1),IF(Line_Check!BF18=1,IF(Line_Check!BM18&gt;=Policy!$B$13*ROUND(Line_Check!BG18*Policy!$B$15,0),1,0),1),IF(Line_Check!BR18=1,IF(Line_Check!BY18&gt;=Policy!$B$13*ROUND(Line_Check!BS18*Policy!$B$15,0),1,0),1),IF(Line_Check!CD18=1,IF(Line_Check!CK18&gt;=Policy!$B$13*ROUND(Line_Check!CE18*Policy!$B$15,0),1,0),1),IF(Line_Check!CP18=1,IF(Line_Check!CW18&gt;=Policy!$B$13*ROUND(Line_Check!CQ18*Policy!$B$15,0),1,0),1))=1,"PASS","FAIL")</f>
        <v/>
      </c>
      <c r="L18" s="25">
        <f>IF(MIN(IF(Line_Check!J18=1,IF(AND(Line_Check!S18&gt;=ROUND(Line_Check!K18*Policy!$B$15,0),Line_Check!S18-ROUND(Line_Check!K18*Policy!$B$15,0)&gt;=Policy!$B$14),1,0),1),IF(Line_Check!V18=1,IF(AND(Line_Check!AE18&gt;=ROUND(Line_Check!W18*Policy!$B$15,0),Line_Check!AE18-ROUND(Line_Check!W18*Policy!$B$15,0)&gt;=Policy!$B$14),1,0),1),IF(Line_Check!AH18=1,IF(AND(Line_Check!AQ18&gt;=ROUND(Line_Check!AI18*Policy!$B$15,0),Line_Check!AQ18-ROUND(Line_Check!AI18*Policy!$B$15,0)&gt;=Policy!$B$14),1,0),1),IF(Line_Check!AT18=1,IF(AND(Line_Check!BC18&gt;=ROUND(Line_Check!AU18*Policy!$B$15,0),Line_Check!BC18-ROUND(Line_Check!AU18*Policy!$B$15,0)&gt;=Policy!$B$14),1,0),1),IF(Line_Check!BF18=1,IF(AND(Line_Check!BO18&gt;=ROUND(Line_Check!BG18*Policy!$B$15,0),Line_Check!BO18-ROUND(Line_Check!BG18*Policy!$B$15,0)&gt;=Policy!$B$14),1,0),1),IF(Line_Check!BR18=1,IF(AND(Line_Check!CA18&gt;=ROUND(Line_Check!BS18*Policy!$B$15,0),Line_Check!CA18-ROUND(Line_Check!BS18*Policy!$B$15,0)&gt;=Policy!$B$14),1,0),1),IF(Line_Check!CD18=1,IF(AND(Line_Check!CM18&gt;=ROUND(Line_Check!CE18*Policy!$B$15,0),Line_Check!CM18-ROUND(Line_Check!CE18*Policy!$B$15,0)&gt;=Policy!$B$14),1,0),1),IF(Line_Check!CP18=1,IF(AND(Line_Check!CY18&gt;=ROUND(Line_Check!CQ18*Policy!$B$15,0),Line_Check!CY18-ROUND(Line_Check!CQ18*Policy!$B$15,0)&gt;=Policy!$B$14),1,0),1))=1,"PASS","FAIL")</f>
        <v/>
      </c>
      <c r="M18" s="25">
        <f>IF(G18&gt;=2,"PASS","FAIL")</f>
        <v/>
      </c>
      <c r="N18" s="25">
        <f>IF(Request!$B$9="2-region",IF(MIN(IF(Line_Check!J18=1,IF(Line_Check!Q18+Line_Check!O18&gt;=ROUND(Line_Check!K18*Policy!$B$15,0),1,0),1),IF(Line_Check!V18=1,IF(Line_Check!AC18+Line_Check!AA18&gt;=ROUND(Line_Check!W18*Policy!$B$15,0),1,0),1),IF(Line_Check!AH18=1,IF(Line_Check!AO18+Line_Check!AM18&gt;=ROUND(Line_Check!AI18*Policy!$B$15,0),1,0),1),IF(Line_Check!AT18=1,IF(Line_Check!BA18+Line_Check!AY18&gt;=ROUND(Line_Check!AU18*Policy!$B$15,0),1,0),1),IF(Line_Check!BF18=1,IF(Line_Check!BM18+Line_Check!BK18&gt;=ROUND(Line_Check!BG18*Policy!$B$15,0),1,0),1),IF(Line_Check!BR18=1,IF(Line_Check!BY18+Line_Check!BW18&gt;=ROUND(Line_Check!BS18*Policy!$B$15,0),1,0),1),IF(Line_Check!CD18=1,IF(Line_Check!CK18+Line_Check!CI18&gt;=ROUND(Line_Check!CE18*Policy!$B$15,0),1,0),1),IF(Line_Check!CP18=1,IF(Line_Check!CW18+Line_Check!CU18&gt;=ROUND(Line_Check!CQ18*Policy!$B$15,0),1,0),1))=1,"PASS","FAIL"),"N/A")</f>
        <v/>
      </c>
      <c r="O18" s="25" t="inlineStr">
        <is>
          <t>N/A</t>
        </is>
      </c>
      <c r="P18" s="25">
        <f>IF(C18=Request!$B$10,"PASS","FAIL")</f>
        <v/>
      </c>
      <c r="Q18" s="25">
        <f>IF(D18="Standard","PASS","FAIL")</f>
        <v/>
      </c>
      <c r="R18" s="25">
        <f>IF(AND(Request!$B$9="cross-geo",C18=Request!$B$10),"PASS",IF(B18&lt;&gt;Allocation!$C$9,"PASS","FAIL"))</f>
        <v/>
      </c>
      <c r="S18" s="25">
        <f>IF(MIN(IF(Line_Check!J18=1,IF(MIN(Line_Check!Q18,Line_Check!S18)&gt;=ROUND(Line_Check!K18*Policy!$B$15,0),1,0),1),IF(Line_Check!V18=1,IF(MIN(Line_Check!AC18,Line_Check!AE18)&gt;=ROUND(Line_Check!W18*Policy!$B$15,0),1,0),1),IF(Line_Check!AH18=1,IF(MIN(Line_Check!AO18,Line_Check!AQ18)&gt;=ROUND(Line_Check!AI18*Policy!$B$15,0),1,0),1),IF(Line_Check!AT18=1,IF(MIN(Line_Check!BA18,Line_Check!BC18)&gt;=ROUND(Line_Check!AU18*Policy!$B$15,0),1,0),1),IF(Line_Check!BF18=1,IF(MIN(Line_Check!BM18,Line_Check!BO18)&gt;=ROUND(Line_Check!BG18*Policy!$B$15,0),1,0),1),IF(Line_Check!BR18=1,IF(MIN(Line_Check!BY18,Line_Check!CA18)&gt;=ROUND(Line_Check!BS18*Policy!$B$15,0),1,0),1),IF(Line_Check!CD18=1,IF(MIN(Line_Check!CK18,Line_Check!CM18)&gt;=ROUND(Line_Check!CE18*Policy!$B$15,0),1,0),1),IF(Line_Check!CP18=1,IF(MIN(Line_Check!CW18,Line_Check!CY18)&gt;=ROUND(Line_Check!CQ18*Policy!$B$15,0),1,0),1))=1,"PASS","FAIL")</f>
        <v/>
      </c>
      <c r="T18" s="36">
        <f>IF(AND(J18=1,OR(K18="PASS",K18="N/A"),OR(L18="PASS",L18="N/A"),OR(M18="PASS",M18="N/A"),OR(N18="PASS",N18="N/A"),OR(O18="PASS",O18="N/A"),OR(P18="PASS",P18="N/A"),OR(Q18="PASS",Q18="N/A"),OR(R18="PASS",R18="N/A"),OR(S18="PASS",S18="N/A")),1,0)</f>
        <v/>
      </c>
      <c r="U18" s="30">
        <f>IF(J18&lt;&gt;1,"—",MIN(IF(Line_Check!J18=1,MAX(0,MIN(1,IF(Line_Check!R18=0,0,Line_Check!Q18/Line_Check!R18))),1),IF(Line_Check!V18=1,MAX(0,MIN(1,IF(Line_Check!AD18=0,0,Line_Check!AC18/Line_Check!AD18))),1),IF(Line_Check!AH18=1,MAX(0,MIN(1,IF(Line_Check!AP18=0,0,Line_Check!AO18/Line_Check!AP18))),1),IF(Line_Check!AT18=1,MAX(0,MIN(1,IF(Line_Check!BB18=0,0,Line_Check!BA18/Line_Check!BB18))),1),IF(Line_Check!BF18=1,MAX(0,MIN(1,IF(Line_Check!BN18=0,0,Line_Check!BM18/Line_Check!BN18))),1),IF(Line_Check!BR18=1,MAX(0,MIN(1,IF(Line_Check!BZ18=0,0,Line_Check!BY18/Line_Check!BZ18))),1),IF(Line_Check!CD18=1,MAX(0,MIN(1,IF(Line_Check!CL18=0,0,Line_Check!CK18/Line_Check!CL18))),1),IF(Line_Check!CP18=1,MAX(0,MIN(1,IF(Line_Check!CX18=0,0,Line_Check!CW18/Line_Check!CX18))),1)))</f>
        <v/>
      </c>
      <c r="V18" s="30">
        <f>IF(J18&lt;&gt;1,"—",MIN(IF(Line_Check!J18=1,MAX(0,MIN(1,IF(Line_Check!T18=0,0,Line_Check!S18/Line_Check!T18))),1),IF(Line_Check!V18=1,MAX(0,MIN(1,IF(Line_Check!AF18=0,0,Line_Check!AE18/Line_Check!AF18))),1),IF(Line_Check!AH18=1,MAX(0,MIN(1,IF(Line_Check!AR18=0,0,Line_Check!AQ18/Line_Check!AR18))),1),IF(Line_Check!AT18=1,MAX(0,MIN(1,IF(Line_Check!BD18=0,0,Line_Check!BC18/Line_Check!BD18))),1),IF(Line_Check!BF18=1,MAX(0,MIN(1,IF(Line_Check!BP18=0,0,Line_Check!BO18/Line_Check!BP18))),1),IF(Line_Check!BR18=1,MAX(0,MIN(1,IF(Line_Check!CB18=0,0,Line_Check!CA18/Line_Check!CB18))),1),IF(Line_Check!CD18=1,MAX(0,MIN(1,IF(Line_Check!CN18=0,0,Line_Check!CM18/Line_Check!CN18))),1),IF(Line_Check!CP18=1,MAX(0,MIN(1,IF(Line_Check!CZ18=0,0,Line_Check!CY18/Line_Check!CZ18))),1)))</f>
        <v/>
      </c>
      <c r="W18" s="30">
        <f>IF(J18&lt;&gt;1,"—",IF(SUMIFS($H$5:$H$18,$C$5:$C$18,C18)=0,1,MAX(0,MIN(1,1-H18/SUMIFS($H$5:$H$18,$C$5:$C$18,C18)))))</f>
        <v/>
      </c>
      <c r="X18" s="30">
        <f>IF(J18&lt;&gt;1,"—",IF(Policy!$B$15&lt;=0,0,MAX(0,MIN(1,I18/Policy!$B$15))))</f>
        <v/>
      </c>
      <c r="Y18" s="30">
        <f>IF(J18&lt;&gt;1,"—",MAX(0,MIN(1,G18/3)))</f>
        <v/>
      </c>
      <c r="Z18" s="30">
        <f>IF(T18&lt;&gt;1,"—",Policy!$B$4*U18+Policy!$B$5*V18+Policy!$B$6*W18+Policy!$B$7*X18+Policy!$B$8*Y18)</f>
        <v/>
      </c>
      <c r="AA18" s="25">
        <f>IF(T18&lt;&gt;1,"—",1+COUNTIFS($T$5:$T$18,1,$Z$5:$Z$18,"&gt;"&amp;Z18)+COUNTIFS($T$5:$T$18,1,$Z$5:$Z$18,Z18,$AE$5:$AE$18,"&lt;"&amp;AE18))</f>
        <v/>
      </c>
      <c r="AB18" s="25">
        <f>IF(J18&lt;&gt;1,"—",IF(OR(AND(Line_Check!J18=1,Line_Check!R18=0),AND(Line_Check!V18=1,Line_Check!AD18=0),AND(Line_Check!AH18=1,Line_Check!AP18=0),AND(Line_Check!AT18=1,Line_Check!BB18=0),AND(Line_Check!BF18=1,Line_Check!BN18=0),AND(Line_Check!BR18=1,Line_Check!BZ18=0),AND(Line_Check!CD18=1,Line_Check!CL18=0),AND(Line_Check!CP18=1,Line_Check!CX18=0)),"RESERVATION_DEFICIT",IF(K18="FAIL","CAPACITY_UNAVAILABLE",IF(L18="FAIL","QUOTA_DEFICIT",IF(OR(M18="FAIL",N18="FAIL",O18="FAIL",P18="FAIL",Q18="FAIL",R18="FAIL",S18="FAIL"),"CAPACITY_UNAVAILABLE",IF(AND(T18=1,U18&lt;Policy!$B$12),"READY_WITH_RISK",IF(T18=1,"READY","CAPACITY_UNAVAILABLE")))))))</f>
        <v/>
      </c>
      <c r="AC18" s="25">
        <f>IF(T18&lt;&gt;1,"—",IF(MIN(IF(Line_Check!J18=1,Line_Check!Q18,10^9),IF(Line_Check!V18=1,Line_Check!AC18,10^9),IF(Line_Check!AH18=1,Line_Check!AO18,10^9),IF(Line_Check!AT18=1,Line_Check!BA18,10^9),IF(Line_Check!BF18=1,Line_Check!BM18,10^9),IF(Line_Check!BR18=1,Line_Check!BY18,10^9),IF(Line_Check!CD18=1,Line_Check!CK18,10^9),IF(Line_Check!CP18=1,Line_Check!CW18,10^9))&lt;=MIN(IF(Line_Check!J18=1,Line_Check!S18,10^9),IF(Line_Check!V18=1,Line_Check!AE18,10^9),IF(Line_Check!AH18=1,Line_Check!AQ18,10^9),IF(Line_Check!AT18=1,Line_Check!BC18,10^9),IF(Line_Check!BF18=1,Line_Check!BO18,10^9),IF(Line_Check!BR18=1,Line_Check!CA18,10^9),IF(Line_Check!CD18=1,Line_Check!CM18,10^9),IF(Line_Check!CP18=1,Line_Check!CY18,10^9)),"CAPACITY","QUOTA"))</f>
        <v/>
      </c>
      <c r="AE18" s="36">
        <f>ROW()</f>
        <v/>
      </c>
    </row>
  </sheetData>
  <autoFilter ref="A4:AC18"/>
  <conditionalFormatting sqref="AB5:AB18">
    <cfRule type="expression" priority="1" dxfId="1">
      <formula>LEFT(AB5,5)="READY"</formula>
    </cfRule>
    <cfRule type="expression" priority="2" dxfId="2">
      <formula>AND(AB5&lt;&gt;"—",ISERROR(SEARCH("READY",AB5)),AB5&lt;&gt;"N/A")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A1:G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  <col width="28" customWidth="1" min="3" max="3"/>
    <col width="28" customWidth="1" min="4" max="4"/>
    <col width="20" customWidth="1" min="5" max="5"/>
    <col width="26" customWidth="1" min="6" max="6"/>
    <col width="14" customWidth="1" min="7" max="7"/>
  </cols>
  <sheetData>
    <row r="1">
      <c r="A1" s="1" t="inlineStr">
        <is>
          <t>Allocation result and customer seed</t>
        </is>
      </c>
    </row>
    <row r="2">
      <c r="A2" s="18" t="inlineStr">
        <is>
          <t>This is the placement decision for the request. The seed block is the PLC-003 record. It is displayed, not stored.</t>
        </is>
      </c>
    </row>
    <row r="4">
      <c r="A4" s="19" t="inlineStr">
        <is>
          <t>Customer</t>
        </is>
      </c>
      <c r="C4" s="6">
        <f>Request!B5</f>
        <v/>
      </c>
    </row>
    <row r="5">
      <c r="A5" s="19" t="inlineStr">
        <is>
          <t>Geography</t>
        </is>
      </c>
      <c r="C5" s="6">
        <f>Request!B4</f>
        <v/>
      </c>
    </row>
    <row r="6">
      <c r="A6" s="19" t="inlineStr">
        <is>
          <t>Model</t>
        </is>
      </c>
      <c r="C6" s="6">
        <f>Request!B9</f>
        <v/>
      </c>
    </row>
    <row r="8">
      <c r="A8" s="12" t="inlineStr">
        <is>
          <t>Environment</t>
        </is>
      </c>
      <c r="B8" s="12" t="inlineStr">
        <is>
          <t>Role</t>
        </is>
      </c>
      <c r="C8" s="12" t="inlineStr">
        <is>
          <t>Region id</t>
        </is>
      </c>
      <c r="D8" s="12" t="inlineStr">
        <is>
          <t>Region</t>
        </is>
      </c>
      <c r="E8" s="12" t="inlineStr">
        <is>
          <t>Placement score</t>
        </is>
      </c>
      <c r="F8" s="12" t="inlineStr">
        <is>
          <t>Readiness</t>
        </is>
      </c>
      <c r="G8" s="12" t="inlineStr">
        <is>
          <t>Binding</t>
        </is>
      </c>
    </row>
    <row r="9">
      <c r="A9" s="44" t="inlineStr">
        <is>
          <t>Prod</t>
        </is>
      </c>
      <c r="B9" s="6" t="inlineStr">
        <is>
          <t>Production</t>
        </is>
      </c>
      <c r="C9" s="6">
        <f>IF(Request!B22=0,"NO REQUEST",IF(OR(Policy!B10&lt;&gt;"OK",Request!B24&lt;&gt;"OK"),"POLICY_BLOCKED",IF(AND(Request!B6="",Request!B7&lt;&gt;"Y"),"POLICY_BLOCKED",IF(COUNTIF(Score_Prod!T5:T18,1)=0,"NONE ELIGIBLE",INDEX(Score_Prod!B5:B18,MATCH(1,Score_Prod!AA5:AA18,0))))))</f>
        <v/>
      </c>
      <c r="D9" s="6">
        <f>IF(OR(C9="NO REQUEST",C9="POLICY_BLOCKED",C9="NONE ELIGIBLE",C9="NOT_OFFERED"),"—",INDEX(Region_Catalogue!A5:A18,MATCH(C9,Region_Catalogue!B5:B18,0)))</f>
        <v/>
      </c>
      <c r="E9" s="45">
        <f>IF(OR(C9="NO REQUEST",C9="POLICY_BLOCKED",C9="NONE ELIGIBLE",C9="NOT_OFFERED"),"—",INDEX(Score_Prod!Z5:Z18,MATCH(C9,Score_Prod!B5:B18,0)))</f>
        <v/>
      </c>
      <c r="F9" s="15">
        <f>IF(C9="NOT_OFFERED","NOT_OFFERED",IF(OR(C9="NO REQUEST",C9="POLICY_BLOCKED",C9="NONE ELIGIBLE"),C9,INDEX(Score_Prod!AB5:AB18,MATCH(C9,Score_Prod!B5:B18,0))))</f>
        <v/>
      </c>
      <c r="G9" s="15">
        <f>IF(OR(C9="NO REQUEST",C9="POLICY_BLOCKED",C9="NONE ELIGIBLE",C9="NOT_OFFERED"),"—",INDEX(Score_Prod!AC5:AC18,MATCH(C9,Score_Prod!B5:B18,0)))</f>
        <v/>
      </c>
    </row>
    <row r="10">
      <c r="A10" s="44" t="inlineStr">
        <is>
          <t>CVAL</t>
        </is>
      </c>
      <c r="B10" s="6" t="inlineStr">
        <is>
          <t>NonProd</t>
        </is>
      </c>
      <c r="C10" s="6">
        <f>IF(OR(C9="NO REQUEST",C9="POLICY_BLOCKED"),C9,IF(C9="NONE ELIGIBLE","NONE ELIGIBLE",IF(COUNTIF(Score_CVAL!T5:T18,1)=0,"NONE ELIGIBLE",INDEX(Score_CVAL!B5:B18,MATCH(1,Score_CVAL!AA5:AA18,0)))))</f>
        <v/>
      </c>
      <c r="D10" s="6">
        <f>IF(OR(C10="NO REQUEST",C10="POLICY_BLOCKED",C10="NONE ELIGIBLE",C10="NOT_OFFERED"),"—",INDEX(Region_Catalogue!A5:A18,MATCH(C10,Region_Catalogue!B5:B18,0)))</f>
        <v/>
      </c>
      <c r="E10" s="45">
        <f>IF(OR(C10="NO REQUEST",C10="POLICY_BLOCKED",C10="NONE ELIGIBLE",C10="NOT_OFFERED"),"—",INDEX(Score_CVAL!Z5:Z18,MATCH(C10,Score_CVAL!B5:B18,0)))</f>
        <v/>
      </c>
      <c r="F10" s="15">
        <f>IF(C10="NOT_OFFERED","NOT_OFFERED",IF(OR(C10="NO REQUEST",C10="POLICY_BLOCKED",C10="NONE ELIGIBLE"),C10,INDEX(Score_CVAL!AB5:AB18,MATCH(C10,Score_CVAL!B5:B18,0))))</f>
        <v/>
      </c>
      <c r="G10" s="15">
        <f>IF(OR(C10="NO REQUEST",C10="POLICY_BLOCKED",C10="NONE ELIGIBLE",C10="NOT_OFFERED"),"—",INDEX(Score_CVAL!AC5:AC18,MATCH(C10,Score_CVAL!B5:B18,0)))</f>
        <v/>
      </c>
    </row>
    <row r="11">
      <c r="A11" s="44" t="inlineStr">
        <is>
          <t>DR</t>
        </is>
      </c>
      <c r="B11" s="6">
        <f>IF(Request!B8="Y","Disaster recovery","Not offered")</f>
        <v/>
      </c>
      <c r="C11" s="6">
        <f>IF(Request!B8&lt;&gt;"Y","NOT_OFFERED",IF(OR(C9="NO REQUEST",C9="POLICY_BLOCKED",C9="NONE ELIGIBLE",C10="NONE ELIGIBLE"),"NONE ELIGIBLE",IF(COUNTIF(Score_DR!T5:T18,1)=0,"NONE ELIGIBLE",INDEX(Score_DR!B5:B18,MATCH(1,Score_DR!AA5:AA18,0)))))</f>
        <v/>
      </c>
      <c r="D11" s="6">
        <f>IF(OR(C11="NO REQUEST",C11="POLICY_BLOCKED",C11="NONE ELIGIBLE",C11="NOT_OFFERED"),"—",INDEX(Region_Catalogue!A5:A18,MATCH(C11,Region_Catalogue!B5:B18,0)))</f>
        <v/>
      </c>
      <c r="E11" s="45">
        <f>IF(OR(C11="NO REQUEST",C11="POLICY_BLOCKED",C11="NONE ELIGIBLE",C11="NOT_OFFERED"),"—",INDEX(Score_DR!Z5:Z18,MATCH(C11,Score_DR!B5:B18,0)))</f>
        <v/>
      </c>
      <c r="F11" s="15">
        <f>IF(C11="NOT_OFFERED","NOT_OFFERED",IF(OR(C11="NO REQUEST",C11="POLICY_BLOCKED",C11="NONE ELIGIBLE"),C11,INDEX(Score_DR!AB5:AB18,MATCH(C11,Score_DR!B5:B18,0))))</f>
        <v/>
      </c>
      <c r="G11" s="15">
        <f>IF(OR(C11="NO REQUEST",C11="POLICY_BLOCKED",C11="NONE ELIGIBLE",C11="NOT_OFFERED"),"—",INDEX(Score_DR!AC5:AC18,MATCH(C11,Score_DR!B5:B18,0)))</f>
        <v/>
      </c>
    </row>
    <row r="13">
      <c r="A13" s="19" t="inlineStr">
        <is>
          <t>Overall readiness</t>
        </is>
      </c>
      <c r="C13" s="38">
        <f>IF(C9="NO REQUEST","NO REQUEST",IF(C9="POLICY_BLOCKED","POLICY_BLOCKED",IF(OR(C9="NONE ELIGIBLE",C10="NONE ELIGIBLE"),"CAPACITY_UNAVAILABLE",IF(AND(Request!B8="Y",C11="NONE ELIGIBLE"),"CAPACITY_UNAVAILABLE",IF(OR(F9="READY_WITH_RISK",F10="READY_WITH_RISK",AND(Request!B8="Y",F11="READY_WITH_RISK")),"READY_WITH_RISK","READY")))))</f>
        <v/>
      </c>
    </row>
    <row r="14">
      <c r="A14" s="19" t="inlineStr">
        <is>
          <t>Allocation applied</t>
        </is>
      </c>
      <c r="C14" s="38">
        <f>IF(OR(C13="READY",C13="READY_WITH_RISK"),1,0)</f>
        <v/>
      </c>
      <c r="D14" s="46">
        <f>IF(C14=1,"Post_Allocation and Quota_After include this request","Post-state is unchanged")</f>
        <v/>
      </c>
    </row>
    <row r="16">
      <c r="A16" s="27" t="inlineStr">
        <is>
          <t>Seed record (PLC-003)</t>
        </is>
      </c>
    </row>
    <row r="17">
      <c r="A17" s="19" t="inlineStr">
        <is>
          <t>Customer</t>
        </is>
      </c>
      <c r="C17" s="22">
        <f>C4</f>
        <v/>
      </c>
      <c r="D17" s="7" t="n"/>
      <c r="E17" s="8" t="n"/>
    </row>
    <row r="18">
      <c r="A18" s="19" t="inlineStr">
        <is>
          <t>Geography</t>
        </is>
      </c>
      <c r="C18" s="22">
        <f>C5</f>
        <v/>
      </c>
      <c r="D18" s="7" t="n"/>
      <c r="E18" s="8" t="n"/>
    </row>
    <row r="19">
      <c r="A19" s="19" t="inlineStr">
        <is>
          <t>Production region</t>
        </is>
      </c>
      <c r="C19" s="22">
        <f>C9</f>
        <v/>
      </c>
      <c r="D19" s="7" t="n"/>
      <c r="E19" s="8" t="n"/>
    </row>
    <row r="20">
      <c r="A20" s="19" t="inlineStr">
        <is>
          <t>CVAL region</t>
        </is>
      </c>
      <c r="C20" s="22">
        <f>C10</f>
        <v/>
      </c>
      <c r="D20" s="7" t="n"/>
      <c r="E20" s="8" t="n"/>
    </row>
    <row r="21">
      <c r="A21" s="19" t="inlineStr">
        <is>
          <t>DR region</t>
        </is>
      </c>
      <c r="C21" s="22">
        <f>IF(C11="NOT_OFFERED","NOT_OFFERED",C11)</f>
        <v/>
      </c>
      <c r="D21" s="7" t="n"/>
      <c r="E21" s="8" t="n"/>
    </row>
    <row r="22">
      <c r="A22" s="19" t="inlineStr">
        <is>
          <t>Co-location</t>
        </is>
      </c>
      <c r="C22" s="22">
        <f>IF(OR(C9="NONE ELIGIBLE",C10="NONE ELIGIBLE"),"—",IF(AND(Request!B9="cross-geo",C9=C10),"Prod = CVAL, DR in Europe",IF(AND(OR(Request!B9="2-region",Request!B11="Y"),C10=C11),"CVAL = DR",IF(AND(C9&lt;&gt;C10,C10&lt;&gt;C11,C9&lt;&gt;C11),"Three distinct regions","Check separation"))))</f>
        <v/>
      </c>
      <c r="D22" s="7" t="n"/>
      <c r="E22" s="8" t="n"/>
    </row>
    <row r="23">
      <c r="A23" s="19" t="inlineStr">
        <is>
          <t>Policy version</t>
        </is>
      </c>
      <c r="C23" s="22">
        <f>Policy!B16</f>
        <v/>
      </c>
      <c r="D23" s="7" t="n"/>
      <c r="E23" s="8" t="n"/>
    </row>
    <row r="24">
      <c r="A24" s="19" t="inlineStr">
        <is>
          <t>Snapshot</t>
        </is>
      </c>
      <c r="C24" s="22" t="inlineStr">
        <is>
          <t>MOCK-SNAPSHOT</t>
        </is>
      </c>
      <c r="D24" s="7" t="n"/>
      <c r="E24" s="8" t="n"/>
    </row>
    <row r="25">
      <c r="A25" s="19" t="inlineStr">
        <is>
          <t>Exception</t>
        </is>
      </c>
      <c r="C25" s="22">
        <f>IF(Request!B6="",IF(Request!B7="Y","Geography-only selection","—"),"Named Prod region")</f>
        <v/>
      </c>
      <c r="D25" s="7" t="n"/>
      <c r="E25" s="8" t="n"/>
    </row>
    <row r="27">
      <c r="A27" s="27" t="inlineStr">
        <is>
          <t>Separation checks</t>
        </is>
      </c>
    </row>
    <row r="28">
      <c r="A28" s="19" t="inlineStr">
        <is>
          <t>HC-1 Prod is not CVAL (except Middle East)</t>
        </is>
      </c>
      <c r="C28" s="25">
        <f>IF(C14&lt;&gt;1,"—",IF(Request!B9="cross-geo",IF(C9=C10,"PASS","FAIL"),IF(C9&lt;&gt;C10,"PASS","FAIL")))</f>
        <v/>
      </c>
    </row>
    <row r="29">
      <c r="A29" s="19" t="inlineStr">
        <is>
          <t>HC-1 Prod is not DR</t>
        </is>
      </c>
      <c r="C29" s="25">
        <f>IF(OR(C14&lt;&gt;1,C11="NOT_OFFERED"),"—",IF(C9&lt;&gt;C11,"PASS","FAIL"))</f>
        <v/>
      </c>
    </row>
    <row r="30">
      <c r="A30" s="19" t="inlineStr">
        <is>
          <t>PLC-010a CVAL = DR in a 2-region geography</t>
        </is>
      </c>
      <c r="C30" s="25">
        <f>IF(OR(C14&lt;&gt;1,Request!B9&lt;&gt;"2-region"),"N/A",IF(C10=C11,"PASS","FAIL"))</f>
        <v/>
      </c>
    </row>
    <row r="31">
      <c r="A31" s="19" t="inlineStr">
        <is>
          <t>PLC-010b Middle East DR is in Europe</t>
        </is>
      </c>
      <c r="C31" s="25">
        <f>IF(OR(C14&lt;&gt;1,Request!B9&lt;&gt;"cross-geo"),"N/A",IF(VLOOKUP(C11,Region_Catalogue!B5:C18,2,FALSE)="EU","PASS","FAIL"))</f>
        <v/>
      </c>
    </row>
    <row r="33">
      <c r="A33" s="27" t="inlineStr">
        <is>
          <t>Even zone target for the Prod placement (PLC-011)</t>
        </is>
      </c>
    </row>
    <row r="34">
      <c r="A34" s="18" t="inlineStr">
        <is>
          <t>Target share is 1 / AZ. This mock has no per-zone inventory, so it does not raise a rebalance action.</t>
        </is>
      </c>
    </row>
    <row r="35">
      <c r="A35" s="12" t="inlineStr">
        <is>
          <t>SKU</t>
        </is>
      </c>
      <c r="B35" s="12" t="inlineStr">
        <is>
          <t>VMs</t>
        </is>
      </c>
      <c r="C35" s="12" t="inlineStr">
        <is>
          <t>Prod AZ</t>
        </is>
      </c>
      <c r="D35" s="12" t="inlineStr">
        <is>
          <t>Even share</t>
        </is>
      </c>
      <c r="E35" s="12" t="inlineStr">
        <is>
          <t>Target VMs / zone</t>
        </is>
      </c>
    </row>
    <row r="36">
      <c r="A36" s="22">
        <f>IF(Request!F13=1,Request!A13,"")</f>
        <v/>
      </c>
      <c r="B36" s="36">
        <f>IF(Request!F13=1,Request!B13,"")</f>
        <v/>
      </c>
      <c r="C36" s="36">
        <f>IF(OR(A36="",C9="NONE ELIGIBLE",C9="POLICY_BLOCKED",C9="NO REQUEST"),"",INDEX(Region_Catalogue!D5:D18,MATCH(C9,Region_Catalogue!B5:B18,0)))</f>
        <v/>
      </c>
      <c r="D36" s="37">
        <f>IF(C36="","",1/C36)</f>
        <v/>
      </c>
      <c r="E36" s="36">
        <f>IF(C36="","",ROUND(B36/C36,0))</f>
        <v/>
      </c>
    </row>
    <row r="37">
      <c r="A37" s="22">
        <f>IF(Request!F14=1,Request!A14,"")</f>
        <v/>
      </c>
      <c r="B37" s="36">
        <f>IF(Request!F14=1,Request!B14,"")</f>
        <v/>
      </c>
      <c r="C37" s="36">
        <f>IF(OR(A37="",C9="NONE ELIGIBLE",C9="POLICY_BLOCKED",C9="NO REQUEST"),"",INDEX(Region_Catalogue!D5:D18,MATCH(C9,Region_Catalogue!B5:B18,0)))</f>
        <v/>
      </c>
      <c r="D37" s="37">
        <f>IF(C37="","",1/C37)</f>
        <v/>
      </c>
      <c r="E37" s="36">
        <f>IF(C37="","",ROUND(B37/C37,0))</f>
        <v/>
      </c>
    </row>
    <row r="38">
      <c r="A38" s="22">
        <f>IF(Request!F15=1,Request!A15,"")</f>
        <v/>
      </c>
      <c r="B38" s="36">
        <f>IF(Request!F15=1,Request!B15,"")</f>
        <v/>
      </c>
      <c r="C38" s="36">
        <f>IF(OR(A38="",C9="NONE ELIGIBLE",C9="POLICY_BLOCKED",C9="NO REQUEST"),"",INDEX(Region_Catalogue!D5:D18,MATCH(C9,Region_Catalogue!B5:B18,0)))</f>
        <v/>
      </c>
      <c r="D38" s="37">
        <f>IF(C38="","",1/C38)</f>
        <v/>
      </c>
      <c r="E38" s="36">
        <f>IF(C38="","",ROUND(B38/C38,0))</f>
        <v/>
      </c>
    </row>
    <row r="39">
      <c r="A39" s="22">
        <f>IF(Request!F16=1,Request!A16,"")</f>
        <v/>
      </c>
      <c r="B39" s="36">
        <f>IF(Request!F16=1,Request!B16,"")</f>
        <v/>
      </c>
      <c r="C39" s="36">
        <f>IF(OR(A39="",C9="NONE ELIGIBLE",C9="POLICY_BLOCKED",C9="NO REQUEST"),"",INDEX(Region_Catalogue!D5:D18,MATCH(C9,Region_Catalogue!B5:B18,0)))</f>
        <v/>
      </c>
      <c r="D39" s="37">
        <f>IF(C39="","",1/C39)</f>
        <v/>
      </c>
      <c r="E39" s="36">
        <f>IF(C39="","",ROUND(B39/C39,0))</f>
        <v/>
      </c>
    </row>
    <row r="40">
      <c r="A40" s="22">
        <f>IF(Request!F17=1,Request!A17,"")</f>
        <v/>
      </c>
      <c r="B40" s="36">
        <f>IF(Request!F17=1,Request!B17,"")</f>
        <v/>
      </c>
      <c r="C40" s="36">
        <f>IF(OR(A40="",C9="NONE ELIGIBLE",C9="POLICY_BLOCKED",C9="NO REQUEST"),"",INDEX(Region_Catalogue!D5:D18,MATCH(C9,Region_Catalogue!B5:B18,0)))</f>
        <v/>
      </c>
      <c r="D40" s="37">
        <f>IF(C40="","",1/C40)</f>
        <v/>
      </c>
      <c r="E40" s="36">
        <f>IF(C40="","",ROUND(B40/C40,0))</f>
        <v/>
      </c>
    </row>
    <row r="41">
      <c r="A41" s="22">
        <f>IF(Request!F18=1,Request!A18,"")</f>
        <v/>
      </c>
      <c r="B41" s="36">
        <f>IF(Request!F18=1,Request!B18,"")</f>
        <v/>
      </c>
      <c r="C41" s="36">
        <f>IF(OR(A41="",C9="NONE ELIGIBLE",C9="POLICY_BLOCKED",C9="NO REQUEST"),"",INDEX(Region_Catalogue!D5:D18,MATCH(C9,Region_Catalogue!B5:B18,0)))</f>
        <v/>
      </c>
      <c r="D41" s="37">
        <f>IF(C41="","",1/C41)</f>
        <v/>
      </c>
      <c r="E41" s="36">
        <f>IF(C41="","",ROUND(B41/C41,0))</f>
        <v/>
      </c>
    </row>
    <row r="42">
      <c r="A42" s="22">
        <f>IF(Request!F19=1,Request!A19,"")</f>
        <v/>
      </c>
      <c r="B42" s="36">
        <f>IF(Request!F19=1,Request!B19,"")</f>
        <v/>
      </c>
      <c r="C42" s="36">
        <f>IF(OR(A42="",C9="NONE ELIGIBLE",C9="POLICY_BLOCKED",C9="NO REQUEST"),"",INDEX(Region_Catalogue!D5:D18,MATCH(C9,Region_Catalogue!B5:B18,0)))</f>
        <v/>
      </c>
      <c r="D42" s="37">
        <f>IF(C42="","",1/C42)</f>
        <v/>
      </c>
      <c r="E42" s="36">
        <f>IF(C42="","",ROUND(B42/C42,0))</f>
        <v/>
      </c>
    </row>
    <row r="43">
      <c r="A43" s="22">
        <f>IF(Request!F20=1,Request!A20,"")</f>
        <v/>
      </c>
      <c r="B43" s="36">
        <f>IF(Request!F20=1,Request!B20,"")</f>
        <v/>
      </c>
      <c r="C43" s="36">
        <f>IF(OR(A43="",C9="NONE ELIGIBLE",C9="POLICY_BLOCKED",C9="NO REQUEST"),"",INDEX(Region_Catalogue!D5:D18,MATCH(C9,Region_Catalogue!B5:B18,0)))</f>
        <v/>
      </c>
      <c r="D43" s="37">
        <f>IF(C43="","",1/C43)</f>
        <v/>
      </c>
      <c r="E43" s="36">
        <f>IF(C43="","",ROUND(B43/C43,0))</f>
        <v/>
      </c>
    </row>
  </sheetData>
  <mergeCells count="13">
    <mergeCell ref="A31:B31"/>
    <mergeCell ref="A30:B30"/>
    <mergeCell ref="A29:B29"/>
    <mergeCell ref="C19:E19"/>
    <mergeCell ref="C23:E23"/>
    <mergeCell ref="C22:E22"/>
    <mergeCell ref="A28:B28"/>
    <mergeCell ref="C18:E18"/>
    <mergeCell ref="C17:E17"/>
    <mergeCell ref="C21:E21"/>
    <mergeCell ref="C20:E20"/>
    <mergeCell ref="C25:E25"/>
    <mergeCell ref="C24:E24"/>
  </mergeCells>
  <conditionalFormatting sqref="C13">
    <cfRule type="cellIs" priority="1" operator="equal" dxfId="1">
      <formula>"READY"</formula>
    </cfRule>
    <cfRule type="cellIs" priority="2" operator="equal" dxfId="3">
      <formula>"READY_WITH_RISK"</formula>
    </cfRule>
  </conditionalFormatting>
  <conditionalFormatting sqref="F9:F11">
    <cfRule type="expression" priority="3" dxfId="1">
      <formula>LEFT(F9,5)="READY"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P3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4" customWidth="1" min="4" max="4"/>
    <col width="24" customWidth="1" min="5" max="5"/>
    <col width="12" customWidth="1" min="6" max="6"/>
    <col width="18" customWidth="1" min="7" max="7"/>
    <col width="12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12" customWidth="1" min="14" max="14"/>
    <col width="16" customWidth="1" min="15" max="15"/>
    <col width="28" customWidth="1" min="16" max="16"/>
  </cols>
  <sheetData>
    <row r="1">
      <c r="A1" s="1" t="inlineStr">
        <is>
          <t>Capacity after a successful allocation</t>
        </is>
      </c>
    </row>
    <row r="2">
      <c r="A2" s="19">
        <f>IF(Allocation!C14=1,"Applied. Prod and CVAL take the requested cores. DR takes the bootstrap cores.","Not applied. Every Added cell is 0 because the placement is not READY.")</f>
        <v/>
      </c>
    </row>
    <row r="4" ht="32" customHeight="1">
      <c r="A4" s="12" t="inlineStr">
        <is>
          <t>Region</t>
        </is>
      </c>
      <c r="B4" s="12" t="inlineStr">
        <is>
          <t>Region id</t>
        </is>
      </c>
      <c r="C4" s="12" t="inlineStr">
        <is>
          <t>Geography</t>
        </is>
      </c>
      <c r="D4" s="12" t="inlineStr">
        <is>
          <t>Environment</t>
        </is>
      </c>
      <c r="E4" s="12" t="inlineStr">
        <is>
          <t>SKU</t>
        </is>
      </c>
      <c r="F4" s="12" t="inlineStr">
        <is>
          <t>Family</t>
        </is>
      </c>
      <c r="G4" s="12" t="inlineStr">
        <is>
          <t>Allocated before</t>
        </is>
      </c>
      <c r="H4" s="12" t="inlineStr">
        <is>
          <t>Buffer</t>
        </is>
      </c>
      <c r="I4" s="12" t="inlineStr">
        <is>
          <t>Reserved before</t>
        </is>
      </c>
      <c r="J4" s="12" t="inlineStr">
        <is>
          <t>Free before</t>
        </is>
      </c>
      <c r="K4" s="12" t="inlineStr">
        <is>
          <t>Added cores</t>
        </is>
      </c>
      <c r="L4" s="12" t="inlineStr">
        <is>
          <t>Allocated after</t>
        </is>
      </c>
      <c r="M4" s="12" t="inlineStr">
        <is>
          <t>Free after</t>
        </is>
      </c>
      <c r="N4" s="12" t="inlineStr">
        <is>
          <t>Shortfall</t>
        </is>
      </c>
      <c r="O4" s="12" t="inlineStr">
        <is>
          <t>Reserved after</t>
        </is>
      </c>
      <c r="P4" s="12" t="inlineStr">
        <is>
          <t>Note</t>
        </is>
      </c>
    </row>
    <row r="5">
      <c r="A5" s="32">
        <f>Capacity_Reservations!A5</f>
        <v/>
      </c>
      <c r="B5" s="32">
        <f>Capacity_Reservations!B5</f>
        <v/>
      </c>
      <c r="C5" s="33">
        <f>Capacity_Reservations!C5</f>
        <v/>
      </c>
      <c r="D5" s="33">
        <f>Capacity_Reservations!D5</f>
        <v/>
      </c>
      <c r="E5" s="32">
        <f>Capacity_Reservations!E5</f>
        <v/>
      </c>
      <c r="F5" s="33">
        <f>Capacity_Reservations!F5</f>
        <v/>
      </c>
      <c r="G5" s="47">
        <f>Capacity_Reservations!I5</f>
        <v/>
      </c>
      <c r="H5" s="47">
        <f>Capacity_Reservations!J5</f>
        <v/>
      </c>
      <c r="I5" s="47">
        <f>Capacity_Reservations!K5</f>
        <v/>
      </c>
      <c r="J5" s="47">
        <f>Capacity_Reservations!L5</f>
        <v/>
      </c>
      <c r="K5" s="24">
        <f>IF(Allocation!$C$14&lt;&gt;1,0,IF(D5="Prod",IF(B5=Allocation!$C$9,SUMIF(Request!$A$13:$A$20,E5,Request!$D$13:$D$20),0),IF(D5="NonProd",IF(B5=Allocation!$C$10,SUMIF(Request!$A$13:$A$20,E5,Request!$D$13:$D$20),0),IF(AND(D5="DR",B5=Allocation!$C$11),ROUND(SUMIF(Request!$A$13:$A$20,E5,Request!$D$13:$D$20)*Policy!$B$15,0),0))))</f>
        <v/>
      </c>
      <c r="L5" s="24">
        <f>G5+K5</f>
        <v/>
      </c>
      <c r="M5" s="24">
        <f>MAX(0,J5-K5)</f>
        <v/>
      </c>
      <c r="N5" s="24">
        <f>MAX(0,K5-J5)</f>
        <v/>
      </c>
      <c r="O5" s="24">
        <f>L5+H5</f>
        <v/>
      </c>
      <c r="P5" s="25">
        <f>IF(K5=0,"",IF(N5&gt;0,"Request exceeded free cores","Placed"))</f>
        <v/>
      </c>
    </row>
    <row r="6">
      <c r="A6" s="32">
        <f>Capacity_Reservations!A6</f>
        <v/>
      </c>
      <c r="B6" s="32">
        <f>Capacity_Reservations!B6</f>
        <v/>
      </c>
      <c r="C6" s="33">
        <f>Capacity_Reservations!C6</f>
        <v/>
      </c>
      <c r="D6" s="33">
        <f>Capacity_Reservations!D6</f>
        <v/>
      </c>
      <c r="E6" s="32">
        <f>Capacity_Reservations!E6</f>
        <v/>
      </c>
      <c r="F6" s="33">
        <f>Capacity_Reservations!F6</f>
        <v/>
      </c>
      <c r="G6" s="47">
        <f>Capacity_Reservations!I6</f>
        <v/>
      </c>
      <c r="H6" s="47">
        <f>Capacity_Reservations!J6</f>
        <v/>
      </c>
      <c r="I6" s="47">
        <f>Capacity_Reservations!K6</f>
        <v/>
      </c>
      <c r="J6" s="47">
        <f>Capacity_Reservations!L6</f>
        <v/>
      </c>
      <c r="K6" s="24">
        <f>IF(Allocation!$C$14&lt;&gt;1,0,IF(D6="Prod",IF(B6=Allocation!$C$9,SUMIF(Request!$A$13:$A$20,E6,Request!$D$13:$D$20),0),IF(D6="NonProd",IF(B6=Allocation!$C$10,SUMIF(Request!$A$13:$A$20,E6,Request!$D$13:$D$20),0),IF(AND(D6="DR",B6=Allocation!$C$11),ROUND(SUMIF(Request!$A$13:$A$20,E6,Request!$D$13:$D$20)*Policy!$B$15,0),0))))</f>
        <v/>
      </c>
      <c r="L6" s="24">
        <f>G6+K6</f>
        <v/>
      </c>
      <c r="M6" s="24">
        <f>MAX(0,J6-K6)</f>
        <v/>
      </c>
      <c r="N6" s="24">
        <f>MAX(0,K6-J6)</f>
        <v/>
      </c>
      <c r="O6" s="24">
        <f>L6+H6</f>
        <v/>
      </c>
      <c r="P6" s="25">
        <f>IF(K6=0,"",IF(N6&gt;0,"Request exceeded free cores","Placed"))</f>
        <v/>
      </c>
    </row>
    <row r="7">
      <c r="A7" s="32">
        <f>Capacity_Reservations!A7</f>
        <v/>
      </c>
      <c r="B7" s="32">
        <f>Capacity_Reservations!B7</f>
        <v/>
      </c>
      <c r="C7" s="33">
        <f>Capacity_Reservations!C7</f>
        <v/>
      </c>
      <c r="D7" s="33">
        <f>Capacity_Reservations!D7</f>
        <v/>
      </c>
      <c r="E7" s="32">
        <f>Capacity_Reservations!E7</f>
        <v/>
      </c>
      <c r="F7" s="33">
        <f>Capacity_Reservations!F7</f>
        <v/>
      </c>
      <c r="G7" s="47">
        <f>Capacity_Reservations!I7</f>
        <v/>
      </c>
      <c r="H7" s="47">
        <f>Capacity_Reservations!J7</f>
        <v/>
      </c>
      <c r="I7" s="47">
        <f>Capacity_Reservations!K7</f>
        <v/>
      </c>
      <c r="J7" s="47">
        <f>Capacity_Reservations!L7</f>
        <v/>
      </c>
      <c r="K7" s="24">
        <f>IF(Allocation!$C$14&lt;&gt;1,0,IF(D7="Prod",IF(B7=Allocation!$C$9,SUMIF(Request!$A$13:$A$20,E7,Request!$D$13:$D$20),0),IF(D7="NonProd",IF(B7=Allocation!$C$10,SUMIF(Request!$A$13:$A$20,E7,Request!$D$13:$D$20),0),IF(AND(D7="DR",B7=Allocation!$C$11),ROUND(SUMIF(Request!$A$13:$A$20,E7,Request!$D$13:$D$20)*Policy!$B$15,0),0))))</f>
        <v/>
      </c>
      <c r="L7" s="24">
        <f>G7+K7</f>
        <v/>
      </c>
      <c r="M7" s="24">
        <f>MAX(0,J7-K7)</f>
        <v/>
      </c>
      <c r="N7" s="24">
        <f>MAX(0,K7-J7)</f>
        <v/>
      </c>
      <c r="O7" s="24">
        <f>L7+H7</f>
        <v/>
      </c>
      <c r="P7" s="25">
        <f>IF(K7=0,"",IF(N7&gt;0,"Request exceeded free cores","Placed"))</f>
        <v/>
      </c>
    </row>
    <row r="8">
      <c r="A8" s="32">
        <f>Capacity_Reservations!A8</f>
        <v/>
      </c>
      <c r="B8" s="32">
        <f>Capacity_Reservations!B8</f>
        <v/>
      </c>
      <c r="C8" s="33">
        <f>Capacity_Reservations!C8</f>
        <v/>
      </c>
      <c r="D8" s="33">
        <f>Capacity_Reservations!D8</f>
        <v/>
      </c>
      <c r="E8" s="32">
        <f>Capacity_Reservations!E8</f>
        <v/>
      </c>
      <c r="F8" s="33">
        <f>Capacity_Reservations!F8</f>
        <v/>
      </c>
      <c r="G8" s="47">
        <f>Capacity_Reservations!I8</f>
        <v/>
      </c>
      <c r="H8" s="47">
        <f>Capacity_Reservations!J8</f>
        <v/>
      </c>
      <c r="I8" s="47">
        <f>Capacity_Reservations!K8</f>
        <v/>
      </c>
      <c r="J8" s="47">
        <f>Capacity_Reservations!L8</f>
        <v/>
      </c>
      <c r="K8" s="24">
        <f>IF(Allocation!$C$14&lt;&gt;1,0,IF(D8="Prod",IF(B8=Allocation!$C$9,SUMIF(Request!$A$13:$A$20,E8,Request!$D$13:$D$20),0),IF(D8="NonProd",IF(B8=Allocation!$C$10,SUMIF(Request!$A$13:$A$20,E8,Request!$D$13:$D$20),0),IF(AND(D8="DR",B8=Allocation!$C$11),ROUND(SUMIF(Request!$A$13:$A$20,E8,Request!$D$13:$D$20)*Policy!$B$15,0),0))))</f>
        <v/>
      </c>
      <c r="L8" s="24">
        <f>G8+K8</f>
        <v/>
      </c>
      <c r="M8" s="24">
        <f>MAX(0,J8-K8)</f>
        <v/>
      </c>
      <c r="N8" s="24">
        <f>MAX(0,K8-J8)</f>
        <v/>
      </c>
      <c r="O8" s="24">
        <f>L8+H8</f>
        <v/>
      </c>
      <c r="P8" s="25">
        <f>IF(K8=0,"",IF(N8&gt;0,"Request exceeded free cores","Placed"))</f>
        <v/>
      </c>
    </row>
    <row r="9">
      <c r="A9" s="32">
        <f>Capacity_Reservations!A9</f>
        <v/>
      </c>
      <c r="B9" s="32">
        <f>Capacity_Reservations!B9</f>
        <v/>
      </c>
      <c r="C9" s="33">
        <f>Capacity_Reservations!C9</f>
        <v/>
      </c>
      <c r="D9" s="33">
        <f>Capacity_Reservations!D9</f>
        <v/>
      </c>
      <c r="E9" s="32">
        <f>Capacity_Reservations!E9</f>
        <v/>
      </c>
      <c r="F9" s="33">
        <f>Capacity_Reservations!F9</f>
        <v/>
      </c>
      <c r="G9" s="47">
        <f>Capacity_Reservations!I9</f>
        <v/>
      </c>
      <c r="H9" s="47">
        <f>Capacity_Reservations!J9</f>
        <v/>
      </c>
      <c r="I9" s="47">
        <f>Capacity_Reservations!K9</f>
        <v/>
      </c>
      <c r="J9" s="47">
        <f>Capacity_Reservations!L9</f>
        <v/>
      </c>
      <c r="K9" s="24">
        <f>IF(Allocation!$C$14&lt;&gt;1,0,IF(D9="Prod",IF(B9=Allocation!$C$9,SUMIF(Request!$A$13:$A$20,E9,Request!$D$13:$D$20),0),IF(D9="NonProd",IF(B9=Allocation!$C$10,SUMIF(Request!$A$13:$A$20,E9,Request!$D$13:$D$20),0),IF(AND(D9="DR",B9=Allocation!$C$11),ROUND(SUMIF(Request!$A$13:$A$20,E9,Request!$D$13:$D$20)*Policy!$B$15,0),0))))</f>
        <v/>
      </c>
      <c r="L9" s="24">
        <f>G9+K9</f>
        <v/>
      </c>
      <c r="M9" s="24">
        <f>MAX(0,J9-K9)</f>
        <v/>
      </c>
      <c r="N9" s="24">
        <f>MAX(0,K9-J9)</f>
        <v/>
      </c>
      <c r="O9" s="24">
        <f>L9+H9</f>
        <v/>
      </c>
      <c r="P9" s="25">
        <f>IF(K9=0,"",IF(N9&gt;0,"Request exceeded free cores","Placed"))</f>
        <v/>
      </c>
    </row>
    <row r="10">
      <c r="A10" s="32">
        <f>Capacity_Reservations!A10</f>
        <v/>
      </c>
      <c r="B10" s="32">
        <f>Capacity_Reservations!B10</f>
        <v/>
      </c>
      <c r="C10" s="33">
        <f>Capacity_Reservations!C10</f>
        <v/>
      </c>
      <c r="D10" s="33">
        <f>Capacity_Reservations!D10</f>
        <v/>
      </c>
      <c r="E10" s="32">
        <f>Capacity_Reservations!E10</f>
        <v/>
      </c>
      <c r="F10" s="33">
        <f>Capacity_Reservations!F10</f>
        <v/>
      </c>
      <c r="G10" s="47">
        <f>Capacity_Reservations!I10</f>
        <v/>
      </c>
      <c r="H10" s="47">
        <f>Capacity_Reservations!J10</f>
        <v/>
      </c>
      <c r="I10" s="47">
        <f>Capacity_Reservations!K10</f>
        <v/>
      </c>
      <c r="J10" s="47">
        <f>Capacity_Reservations!L10</f>
        <v/>
      </c>
      <c r="K10" s="24">
        <f>IF(Allocation!$C$14&lt;&gt;1,0,IF(D10="Prod",IF(B10=Allocation!$C$9,SUMIF(Request!$A$13:$A$20,E10,Request!$D$13:$D$20),0),IF(D10="NonProd",IF(B10=Allocation!$C$10,SUMIF(Request!$A$13:$A$20,E10,Request!$D$13:$D$20),0),IF(AND(D10="DR",B10=Allocation!$C$11),ROUND(SUMIF(Request!$A$13:$A$20,E10,Request!$D$13:$D$20)*Policy!$B$15,0),0))))</f>
        <v/>
      </c>
      <c r="L10" s="24">
        <f>G10+K10</f>
        <v/>
      </c>
      <c r="M10" s="24">
        <f>MAX(0,J10-K10)</f>
        <v/>
      </c>
      <c r="N10" s="24">
        <f>MAX(0,K10-J10)</f>
        <v/>
      </c>
      <c r="O10" s="24">
        <f>L10+H10</f>
        <v/>
      </c>
      <c r="P10" s="25">
        <f>IF(K10=0,"",IF(N10&gt;0,"Request exceeded free cores","Placed"))</f>
        <v/>
      </c>
    </row>
    <row r="11">
      <c r="A11" s="32">
        <f>Capacity_Reservations!A11</f>
        <v/>
      </c>
      <c r="B11" s="32">
        <f>Capacity_Reservations!B11</f>
        <v/>
      </c>
      <c r="C11" s="33">
        <f>Capacity_Reservations!C11</f>
        <v/>
      </c>
      <c r="D11" s="33">
        <f>Capacity_Reservations!D11</f>
        <v/>
      </c>
      <c r="E11" s="32">
        <f>Capacity_Reservations!E11</f>
        <v/>
      </c>
      <c r="F11" s="33">
        <f>Capacity_Reservations!F11</f>
        <v/>
      </c>
      <c r="G11" s="47">
        <f>Capacity_Reservations!I11</f>
        <v/>
      </c>
      <c r="H11" s="47">
        <f>Capacity_Reservations!J11</f>
        <v/>
      </c>
      <c r="I11" s="47">
        <f>Capacity_Reservations!K11</f>
        <v/>
      </c>
      <c r="J11" s="47">
        <f>Capacity_Reservations!L11</f>
        <v/>
      </c>
      <c r="K11" s="24">
        <f>IF(Allocation!$C$14&lt;&gt;1,0,IF(D11="Prod",IF(B11=Allocation!$C$9,SUMIF(Request!$A$13:$A$20,E11,Request!$D$13:$D$20),0),IF(D11="NonProd",IF(B11=Allocation!$C$10,SUMIF(Request!$A$13:$A$20,E11,Request!$D$13:$D$20),0),IF(AND(D11="DR",B11=Allocation!$C$11),ROUND(SUMIF(Request!$A$13:$A$20,E11,Request!$D$13:$D$20)*Policy!$B$15,0),0))))</f>
        <v/>
      </c>
      <c r="L11" s="24">
        <f>G11+K11</f>
        <v/>
      </c>
      <c r="M11" s="24">
        <f>MAX(0,J11-K11)</f>
        <v/>
      </c>
      <c r="N11" s="24">
        <f>MAX(0,K11-J11)</f>
        <v/>
      </c>
      <c r="O11" s="24">
        <f>L11+H11</f>
        <v/>
      </c>
      <c r="P11" s="25">
        <f>IF(K11=0,"",IF(N11&gt;0,"Request exceeded free cores","Placed"))</f>
        <v/>
      </c>
    </row>
    <row r="12">
      <c r="A12" s="32">
        <f>Capacity_Reservations!A12</f>
        <v/>
      </c>
      <c r="B12" s="32">
        <f>Capacity_Reservations!B12</f>
        <v/>
      </c>
      <c r="C12" s="33">
        <f>Capacity_Reservations!C12</f>
        <v/>
      </c>
      <c r="D12" s="33">
        <f>Capacity_Reservations!D12</f>
        <v/>
      </c>
      <c r="E12" s="32">
        <f>Capacity_Reservations!E12</f>
        <v/>
      </c>
      <c r="F12" s="33">
        <f>Capacity_Reservations!F12</f>
        <v/>
      </c>
      <c r="G12" s="47">
        <f>Capacity_Reservations!I12</f>
        <v/>
      </c>
      <c r="H12" s="47">
        <f>Capacity_Reservations!J12</f>
        <v/>
      </c>
      <c r="I12" s="47">
        <f>Capacity_Reservations!K12</f>
        <v/>
      </c>
      <c r="J12" s="47">
        <f>Capacity_Reservations!L12</f>
        <v/>
      </c>
      <c r="K12" s="24">
        <f>IF(Allocation!$C$14&lt;&gt;1,0,IF(D12="Prod",IF(B12=Allocation!$C$9,SUMIF(Request!$A$13:$A$20,E12,Request!$D$13:$D$20),0),IF(D12="NonProd",IF(B12=Allocation!$C$10,SUMIF(Request!$A$13:$A$20,E12,Request!$D$13:$D$20),0),IF(AND(D12="DR",B12=Allocation!$C$11),ROUND(SUMIF(Request!$A$13:$A$20,E12,Request!$D$13:$D$20)*Policy!$B$15,0),0))))</f>
        <v/>
      </c>
      <c r="L12" s="24">
        <f>G12+K12</f>
        <v/>
      </c>
      <c r="M12" s="24">
        <f>MAX(0,J12-K12)</f>
        <v/>
      </c>
      <c r="N12" s="24">
        <f>MAX(0,K12-J12)</f>
        <v/>
      </c>
      <c r="O12" s="24">
        <f>L12+H12</f>
        <v/>
      </c>
      <c r="P12" s="25">
        <f>IF(K12=0,"",IF(N12&gt;0,"Request exceeded free cores","Placed"))</f>
        <v/>
      </c>
    </row>
    <row r="13">
      <c r="A13" s="32">
        <f>Capacity_Reservations!A13</f>
        <v/>
      </c>
      <c r="B13" s="32">
        <f>Capacity_Reservations!B13</f>
        <v/>
      </c>
      <c r="C13" s="33">
        <f>Capacity_Reservations!C13</f>
        <v/>
      </c>
      <c r="D13" s="33">
        <f>Capacity_Reservations!D13</f>
        <v/>
      </c>
      <c r="E13" s="32">
        <f>Capacity_Reservations!E13</f>
        <v/>
      </c>
      <c r="F13" s="33">
        <f>Capacity_Reservations!F13</f>
        <v/>
      </c>
      <c r="G13" s="47">
        <f>Capacity_Reservations!I13</f>
        <v/>
      </c>
      <c r="H13" s="47">
        <f>Capacity_Reservations!J13</f>
        <v/>
      </c>
      <c r="I13" s="47">
        <f>Capacity_Reservations!K13</f>
        <v/>
      </c>
      <c r="J13" s="47">
        <f>Capacity_Reservations!L13</f>
        <v/>
      </c>
      <c r="K13" s="24">
        <f>IF(Allocation!$C$14&lt;&gt;1,0,IF(D13="Prod",IF(B13=Allocation!$C$9,SUMIF(Request!$A$13:$A$20,E13,Request!$D$13:$D$20),0),IF(D13="NonProd",IF(B13=Allocation!$C$10,SUMIF(Request!$A$13:$A$20,E13,Request!$D$13:$D$20),0),IF(AND(D13="DR",B13=Allocation!$C$11),ROUND(SUMIF(Request!$A$13:$A$20,E13,Request!$D$13:$D$20)*Policy!$B$15,0),0))))</f>
        <v/>
      </c>
      <c r="L13" s="24">
        <f>G13+K13</f>
        <v/>
      </c>
      <c r="M13" s="24">
        <f>MAX(0,J13-K13)</f>
        <v/>
      </c>
      <c r="N13" s="24">
        <f>MAX(0,K13-J13)</f>
        <v/>
      </c>
      <c r="O13" s="24">
        <f>L13+H13</f>
        <v/>
      </c>
      <c r="P13" s="25">
        <f>IF(K13=0,"",IF(N13&gt;0,"Request exceeded free cores","Placed"))</f>
        <v/>
      </c>
    </row>
    <row r="14">
      <c r="A14" s="32">
        <f>Capacity_Reservations!A14</f>
        <v/>
      </c>
      <c r="B14" s="32">
        <f>Capacity_Reservations!B14</f>
        <v/>
      </c>
      <c r="C14" s="33">
        <f>Capacity_Reservations!C14</f>
        <v/>
      </c>
      <c r="D14" s="33">
        <f>Capacity_Reservations!D14</f>
        <v/>
      </c>
      <c r="E14" s="32">
        <f>Capacity_Reservations!E14</f>
        <v/>
      </c>
      <c r="F14" s="33">
        <f>Capacity_Reservations!F14</f>
        <v/>
      </c>
      <c r="G14" s="47">
        <f>Capacity_Reservations!I14</f>
        <v/>
      </c>
      <c r="H14" s="47">
        <f>Capacity_Reservations!J14</f>
        <v/>
      </c>
      <c r="I14" s="47">
        <f>Capacity_Reservations!K14</f>
        <v/>
      </c>
      <c r="J14" s="47">
        <f>Capacity_Reservations!L14</f>
        <v/>
      </c>
      <c r="K14" s="24">
        <f>IF(Allocation!$C$14&lt;&gt;1,0,IF(D14="Prod",IF(B14=Allocation!$C$9,SUMIF(Request!$A$13:$A$20,E14,Request!$D$13:$D$20),0),IF(D14="NonProd",IF(B14=Allocation!$C$10,SUMIF(Request!$A$13:$A$20,E14,Request!$D$13:$D$20),0),IF(AND(D14="DR",B14=Allocation!$C$11),ROUND(SUMIF(Request!$A$13:$A$20,E14,Request!$D$13:$D$20)*Policy!$B$15,0),0))))</f>
        <v/>
      </c>
      <c r="L14" s="24">
        <f>G14+K14</f>
        <v/>
      </c>
      <c r="M14" s="24">
        <f>MAX(0,J14-K14)</f>
        <v/>
      </c>
      <c r="N14" s="24">
        <f>MAX(0,K14-J14)</f>
        <v/>
      </c>
      <c r="O14" s="24">
        <f>L14+H14</f>
        <v/>
      </c>
      <c r="P14" s="25">
        <f>IF(K14=0,"",IF(N14&gt;0,"Request exceeded free cores","Placed"))</f>
        <v/>
      </c>
    </row>
    <row r="15">
      <c r="A15" s="32">
        <f>Capacity_Reservations!A15</f>
        <v/>
      </c>
      <c r="B15" s="32">
        <f>Capacity_Reservations!B15</f>
        <v/>
      </c>
      <c r="C15" s="33">
        <f>Capacity_Reservations!C15</f>
        <v/>
      </c>
      <c r="D15" s="33">
        <f>Capacity_Reservations!D15</f>
        <v/>
      </c>
      <c r="E15" s="32">
        <f>Capacity_Reservations!E15</f>
        <v/>
      </c>
      <c r="F15" s="33">
        <f>Capacity_Reservations!F15</f>
        <v/>
      </c>
      <c r="G15" s="47">
        <f>Capacity_Reservations!I15</f>
        <v/>
      </c>
      <c r="H15" s="47">
        <f>Capacity_Reservations!J15</f>
        <v/>
      </c>
      <c r="I15" s="47">
        <f>Capacity_Reservations!K15</f>
        <v/>
      </c>
      <c r="J15" s="47">
        <f>Capacity_Reservations!L15</f>
        <v/>
      </c>
      <c r="K15" s="24">
        <f>IF(Allocation!$C$14&lt;&gt;1,0,IF(D15="Prod",IF(B15=Allocation!$C$9,SUMIF(Request!$A$13:$A$20,E15,Request!$D$13:$D$20),0),IF(D15="NonProd",IF(B15=Allocation!$C$10,SUMIF(Request!$A$13:$A$20,E15,Request!$D$13:$D$20),0),IF(AND(D15="DR",B15=Allocation!$C$11),ROUND(SUMIF(Request!$A$13:$A$20,E15,Request!$D$13:$D$20)*Policy!$B$15,0),0))))</f>
        <v/>
      </c>
      <c r="L15" s="24">
        <f>G15+K15</f>
        <v/>
      </c>
      <c r="M15" s="24">
        <f>MAX(0,J15-K15)</f>
        <v/>
      </c>
      <c r="N15" s="24">
        <f>MAX(0,K15-J15)</f>
        <v/>
      </c>
      <c r="O15" s="24">
        <f>L15+H15</f>
        <v/>
      </c>
      <c r="P15" s="25">
        <f>IF(K15=0,"",IF(N15&gt;0,"Request exceeded free cores","Placed"))</f>
        <v/>
      </c>
    </row>
    <row r="16">
      <c r="A16" s="32">
        <f>Capacity_Reservations!A16</f>
        <v/>
      </c>
      <c r="B16" s="32">
        <f>Capacity_Reservations!B16</f>
        <v/>
      </c>
      <c r="C16" s="33">
        <f>Capacity_Reservations!C16</f>
        <v/>
      </c>
      <c r="D16" s="33">
        <f>Capacity_Reservations!D16</f>
        <v/>
      </c>
      <c r="E16" s="32">
        <f>Capacity_Reservations!E16</f>
        <v/>
      </c>
      <c r="F16" s="33">
        <f>Capacity_Reservations!F16</f>
        <v/>
      </c>
      <c r="G16" s="47">
        <f>Capacity_Reservations!I16</f>
        <v/>
      </c>
      <c r="H16" s="47">
        <f>Capacity_Reservations!J16</f>
        <v/>
      </c>
      <c r="I16" s="47">
        <f>Capacity_Reservations!K16</f>
        <v/>
      </c>
      <c r="J16" s="47">
        <f>Capacity_Reservations!L16</f>
        <v/>
      </c>
      <c r="K16" s="24">
        <f>IF(Allocation!$C$14&lt;&gt;1,0,IF(D16="Prod",IF(B16=Allocation!$C$9,SUMIF(Request!$A$13:$A$20,E16,Request!$D$13:$D$20),0),IF(D16="NonProd",IF(B16=Allocation!$C$10,SUMIF(Request!$A$13:$A$20,E16,Request!$D$13:$D$20),0),IF(AND(D16="DR",B16=Allocation!$C$11),ROUND(SUMIF(Request!$A$13:$A$20,E16,Request!$D$13:$D$20)*Policy!$B$15,0),0))))</f>
        <v/>
      </c>
      <c r="L16" s="24">
        <f>G16+K16</f>
        <v/>
      </c>
      <c r="M16" s="24">
        <f>MAX(0,J16-K16)</f>
        <v/>
      </c>
      <c r="N16" s="24">
        <f>MAX(0,K16-J16)</f>
        <v/>
      </c>
      <c r="O16" s="24">
        <f>L16+H16</f>
        <v/>
      </c>
      <c r="P16" s="25">
        <f>IF(K16=0,"",IF(N16&gt;0,"Request exceeded free cores","Placed"))</f>
        <v/>
      </c>
    </row>
    <row r="17">
      <c r="A17" s="32">
        <f>Capacity_Reservations!A17</f>
        <v/>
      </c>
      <c r="B17" s="32">
        <f>Capacity_Reservations!B17</f>
        <v/>
      </c>
      <c r="C17" s="33">
        <f>Capacity_Reservations!C17</f>
        <v/>
      </c>
      <c r="D17" s="33">
        <f>Capacity_Reservations!D17</f>
        <v/>
      </c>
      <c r="E17" s="32">
        <f>Capacity_Reservations!E17</f>
        <v/>
      </c>
      <c r="F17" s="33">
        <f>Capacity_Reservations!F17</f>
        <v/>
      </c>
      <c r="G17" s="47">
        <f>Capacity_Reservations!I17</f>
        <v/>
      </c>
      <c r="H17" s="47">
        <f>Capacity_Reservations!J17</f>
        <v/>
      </c>
      <c r="I17" s="47">
        <f>Capacity_Reservations!K17</f>
        <v/>
      </c>
      <c r="J17" s="47">
        <f>Capacity_Reservations!L17</f>
        <v/>
      </c>
      <c r="K17" s="24">
        <f>IF(Allocation!$C$14&lt;&gt;1,0,IF(D17="Prod",IF(B17=Allocation!$C$9,SUMIF(Request!$A$13:$A$20,E17,Request!$D$13:$D$20),0),IF(D17="NonProd",IF(B17=Allocation!$C$10,SUMIF(Request!$A$13:$A$20,E17,Request!$D$13:$D$20),0),IF(AND(D17="DR",B17=Allocation!$C$11),ROUND(SUMIF(Request!$A$13:$A$20,E17,Request!$D$13:$D$20)*Policy!$B$15,0),0))))</f>
        <v/>
      </c>
      <c r="L17" s="24">
        <f>G17+K17</f>
        <v/>
      </c>
      <c r="M17" s="24">
        <f>MAX(0,J17-K17)</f>
        <v/>
      </c>
      <c r="N17" s="24">
        <f>MAX(0,K17-J17)</f>
        <v/>
      </c>
      <c r="O17" s="24">
        <f>L17+H17</f>
        <v/>
      </c>
      <c r="P17" s="25">
        <f>IF(K17=0,"",IF(N17&gt;0,"Request exceeded free cores","Placed"))</f>
        <v/>
      </c>
    </row>
    <row r="18">
      <c r="A18" s="32">
        <f>Capacity_Reservations!A18</f>
        <v/>
      </c>
      <c r="B18" s="32">
        <f>Capacity_Reservations!B18</f>
        <v/>
      </c>
      <c r="C18" s="33">
        <f>Capacity_Reservations!C18</f>
        <v/>
      </c>
      <c r="D18" s="33">
        <f>Capacity_Reservations!D18</f>
        <v/>
      </c>
      <c r="E18" s="32">
        <f>Capacity_Reservations!E18</f>
        <v/>
      </c>
      <c r="F18" s="33">
        <f>Capacity_Reservations!F18</f>
        <v/>
      </c>
      <c r="G18" s="47">
        <f>Capacity_Reservations!I18</f>
        <v/>
      </c>
      <c r="H18" s="47">
        <f>Capacity_Reservations!J18</f>
        <v/>
      </c>
      <c r="I18" s="47">
        <f>Capacity_Reservations!K18</f>
        <v/>
      </c>
      <c r="J18" s="47">
        <f>Capacity_Reservations!L18</f>
        <v/>
      </c>
      <c r="K18" s="24">
        <f>IF(Allocation!$C$14&lt;&gt;1,0,IF(D18="Prod",IF(B18=Allocation!$C$9,SUMIF(Request!$A$13:$A$20,E18,Request!$D$13:$D$20),0),IF(D18="NonProd",IF(B18=Allocation!$C$10,SUMIF(Request!$A$13:$A$20,E18,Request!$D$13:$D$20),0),IF(AND(D18="DR",B18=Allocation!$C$11),ROUND(SUMIF(Request!$A$13:$A$20,E18,Request!$D$13:$D$20)*Policy!$B$15,0),0))))</f>
        <v/>
      </c>
      <c r="L18" s="24">
        <f>G18+K18</f>
        <v/>
      </c>
      <c r="M18" s="24">
        <f>MAX(0,J18-K18)</f>
        <v/>
      </c>
      <c r="N18" s="24">
        <f>MAX(0,K18-J18)</f>
        <v/>
      </c>
      <c r="O18" s="24">
        <f>L18+H18</f>
        <v/>
      </c>
      <c r="P18" s="25">
        <f>IF(K18=0,"",IF(N18&gt;0,"Request exceeded free cores","Placed"))</f>
        <v/>
      </c>
    </row>
    <row r="19">
      <c r="A19" s="32">
        <f>Capacity_Reservations!A19</f>
        <v/>
      </c>
      <c r="B19" s="32">
        <f>Capacity_Reservations!B19</f>
        <v/>
      </c>
      <c r="C19" s="33">
        <f>Capacity_Reservations!C19</f>
        <v/>
      </c>
      <c r="D19" s="33">
        <f>Capacity_Reservations!D19</f>
        <v/>
      </c>
      <c r="E19" s="32">
        <f>Capacity_Reservations!E19</f>
        <v/>
      </c>
      <c r="F19" s="33">
        <f>Capacity_Reservations!F19</f>
        <v/>
      </c>
      <c r="G19" s="47">
        <f>Capacity_Reservations!I19</f>
        <v/>
      </c>
      <c r="H19" s="47">
        <f>Capacity_Reservations!J19</f>
        <v/>
      </c>
      <c r="I19" s="47">
        <f>Capacity_Reservations!K19</f>
        <v/>
      </c>
      <c r="J19" s="47">
        <f>Capacity_Reservations!L19</f>
        <v/>
      </c>
      <c r="K19" s="24">
        <f>IF(Allocation!$C$14&lt;&gt;1,0,IF(D19="Prod",IF(B19=Allocation!$C$9,SUMIF(Request!$A$13:$A$20,E19,Request!$D$13:$D$20),0),IF(D19="NonProd",IF(B19=Allocation!$C$10,SUMIF(Request!$A$13:$A$20,E19,Request!$D$13:$D$20),0),IF(AND(D19="DR",B19=Allocation!$C$11),ROUND(SUMIF(Request!$A$13:$A$20,E19,Request!$D$13:$D$20)*Policy!$B$15,0),0))))</f>
        <v/>
      </c>
      <c r="L19" s="24">
        <f>G19+K19</f>
        <v/>
      </c>
      <c r="M19" s="24">
        <f>MAX(0,J19-K19)</f>
        <v/>
      </c>
      <c r="N19" s="24">
        <f>MAX(0,K19-J19)</f>
        <v/>
      </c>
      <c r="O19" s="24">
        <f>L19+H19</f>
        <v/>
      </c>
      <c r="P19" s="25">
        <f>IF(K19=0,"",IF(N19&gt;0,"Request exceeded free cores","Placed"))</f>
        <v/>
      </c>
    </row>
    <row r="20">
      <c r="A20" s="32">
        <f>Capacity_Reservations!A20</f>
        <v/>
      </c>
      <c r="B20" s="32">
        <f>Capacity_Reservations!B20</f>
        <v/>
      </c>
      <c r="C20" s="33">
        <f>Capacity_Reservations!C20</f>
        <v/>
      </c>
      <c r="D20" s="33">
        <f>Capacity_Reservations!D20</f>
        <v/>
      </c>
      <c r="E20" s="32">
        <f>Capacity_Reservations!E20</f>
        <v/>
      </c>
      <c r="F20" s="33">
        <f>Capacity_Reservations!F20</f>
        <v/>
      </c>
      <c r="G20" s="47">
        <f>Capacity_Reservations!I20</f>
        <v/>
      </c>
      <c r="H20" s="47">
        <f>Capacity_Reservations!J20</f>
        <v/>
      </c>
      <c r="I20" s="47">
        <f>Capacity_Reservations!K20</f>
        <v/>
      </c>
      <c r="J20" s="47">
        <f>Capacity_Reservations!L20</f>
        <v/>
      </c>
      <c r="K20" s="24">
        <f>IF(Allocation!$C$14&lt;&gt;1,0,IF(D20="Prod",IF(B20=Allocation!$C$9,SUMIF(Request!$A$13:$A$20,E20,Request!$D$13:$D$20),0),IF(D20="NonProd",IF(B20=Allocation!$C$10,SUMIF(Request!$A$13:$A$20,E20,Request!$D$13:$D$20),0),IF(AND(D20="DR",B20=Allocation!$C$11),ROUND(SUMIF(Request!$A$13:$A$20,E20,Request!$D$13:$D$20)*Policy!$B$15,0),0))))</f>
        <v/>
      </c>
      <c r="L20" s="24">
        <f>G20+K20</f>
        <v/>
      </c>
      <c r="M20" s="24">
        <f>MAX(0,J20-K20)</f>
        <v/>
      </c>
      <c r="N20" s="24">
        <f>MAX(0,K20-J20)</f>
        <v/>
      </c>
      <c r="O20" s="24">
        <f>L20+H20</f>
        <v/>
      </c>
      <c r="P20" s="25">
        <f>IF(K20=0,"",IF(N20&gt;0,"Request exceeded free cores","Placed"))</f>
        <v/>
      </c>
    </row>
    <row r="21">
      <c r="A21" s="32">
        <f>Capacity_Reservations!A21</f>
        <v/>
      </c>
      <c r="B21" s="32">
        <f>Capacity_Reservations!B21</f>
        <v/>
      </c>
      <c r="C21" s="33">
        <f>Capacity_Reservations!C21</f>
        <v/>
      </c>
      <c r="D21" s="33">
        <f>Capacity_Reservations!D21</f>
        <v/>
      </c>
      <c r="E21" s="32">
        <f>Capacity_Reservations!E21</f>
        <v/>
      </c>
      <c r="F21" s="33">
        <f>Capacity_Reservations!F21</f>
        <v/>
      </c>
      <c r="G21" s="47">
        <f>Capacity_Reservations!I21</f>
        <v/>
      </c>
      <c r="H21" s="47">
        <f>Capacity_Reservations!J21</f>
        <v/>
      </c>
      <c r="I21" s="47">
        <f>Capacity_Reservations!K21</f>
        <v/>
      </c>
      <c r="J21" s="47">
        <f>Capacity_Reservations!L21</f>
        <v/>
      </c>
      <c r="K21" s="24">
        <f>IF(Allocation!$C$14&lt;&gt;1,0,IF(D21="Prod",IF(B21=Allocation!$C$9,SUMIF(Request!$A$13:$A$20,E21,Request!$D$13:$D$20),0),IF(D21="NonProd",IF(B21=Allocation!$C$10,SUMIF(Request!$A$13:$A$20,E21,Request!$D$13:$D$20),0),IF(AND(D21="DR",B21=Allocation!$C$11),ROUND(SUMIF(Request!$A$13:$A$20,E21,Request!$D$13:$D$20)*Policy!$B$15,0),0))))</f>
        <v/>
      </c>
      <c r="L21" s="24">
        <f>G21+K21</f>
        <v/>
      </c>
      <c r="M21" s="24">
        <f>MAX(0,J21-K21)</f>
        <v/>
      </c>
      <c r="N21" s="24">
        <f>MAX(0,K21-J21)</f>
        <v/>
      </c>
      <c r="O21" s="24">
        <f>L21+H21</f>
        <v/>
      </c>
      <c r="P21" s="25">
        <f>IF(K21=0,"",IF(N21&gt;0,"Request exceeded free cores","Placed"))</f>
        <v/>
      </c>
    </row>
    <row r="22">
      <c r="A22" s="32">
        <f>Capacity_Reservations!A22</f>
        <v/>
      </c>
      <c r="B22" s="32">
        <f>Capacity_Reservations!B22</f>
        <v/>
      </c>
      <c r="C22" s="33">
        <f>Capacity_Reservations!C22</f>
        <v/>
      </c>
      <c r="D22" s="33">
        <f>Capacity_Reservations!D22</f>
        <v/>
      </c>
      <c r="E22" s="32">
        <f>Capacity_Reservations!E22</f>
        <v/>
      </c>
      <c r="F22" s="33">
        <f>Capacity_Reservations!F22</f>
        <v/>
      </c>
      <c r="G22" s="47">
        <f>Capacity_Reservations!I22</f>
        <v/>
      </c>
      <c r="H22" s="47">
        <f>Capacity_Reservations!J22</f>
        <v/>
      </c>
      <c r="I22" s="47">
        <f>Capacity_Reservations!K22</f>
        <v/>
      </c>
      <c r="J22" s="47">
        <f>Capacity_Reservations!L22</f>
        <v/>
      </c>
      <c r="K22" s="24">
        <f>IF(Allocation!$C$14&lt;&gt;1,0,IF(D22="Prod",IF(B22=Allocation!$C$9,SUMIF(Request!$A$13:$A$20,E22,Request!$D$13:$D$20),0),IF(D22="NonProd",IF(B22=Allocation!$C$10,SUMIF(Request!$A$13:$A$20,E22,Request!$D$13:$D$20),0),IF(AND(D22="DR",B22=Allocation!$C$11),ROUND(SUMIF(Request!$A$13:$A$20,E22,Request!$D$13:$D$20)*Policy!$B$15,0),0))))</f>
        <v/>
      </c>
      <c r="L22" s="24">
        <f>G22+K22</f>
        <v/>
      </c>
      <c r="M22" s="24">
        <f>MAX(0,J22-K22)</f>
        <v/>
      </c>
      <c r="N22" s="24">
        <f>MAX(0,K22-J22)</f>
        <v/>
      </c>
      <c r="O22" s="24">
        <f>L22+H22</f>
        <v/>
      </c>
      <c r="P22" s="25">
        <f>IF(K22=0,"",IF(N22&gt;0,"Request exceeded free cores","Placed"))</f>
        <v/>
      </c>
    </row>
    <row r="23">
      <c r="A23" s="32">
        <f>Capacity_Reservations!A23</f>
        <v/>
      </c>
      <c r="B23" s="32">
        <f>Capacity_Reservations!B23</f>
        <v/>
      </c>
      <c r="C23" s="33">
        <f>Capacity_Reservations!C23</f>
        <v/>
      </c>
      <c r="D23" s="33">
        <f>Capacity_Reservations!D23</f>
        <v/>
      </c>
      <c r="E23" s="32">
        <f>Capacity_Reservations!E23</f>
        <v/>
      </c>
      <c r="F23" s="33">
        <f>Capacity_Reservations!F23</f>
        <v/>
      </c>
      <c r="G23" s="47">
        <f>Capacity_Reservations!I23</f>
        <v/>
      </c>
      <c r="H23" s="47">
        <f>Capacity_Reservations!J23</f>
        <v/>
      </c>
      <c r="I23" s="47">
        <f>Capacity_Reservations!K23</f>
        <v/>
      </c>
      <c r="J23" s="47">
        <f>Capacity_Reservations!L23</f>
        <v/>
      </c>
      <c r="K23" s="24">
        <f>IF(Allocation!$C$14&lt;&gt;1,0,IF(D23="Prod",IF(B23=Allocation!$C$9,SUMIF(Request!$A$13:$A$20,E23,Request!$D$13:$D$20),0),IF(D23="NonProd",IF(B23=Allocation!$C$10,SUMIF(Request!$A$13:$A$20,E23,Request!$D$13:$D$20),0),IF(AND(D23="DR",B23=Allocation!$C$11),ROUND(SUMIF(Request!$A$13:$A$20,E23,Request!$D$13:$D$20)*Policy!$B$15,0),0))))</f>
        <v/>
      </c>
      <c r="L23" s="24">
        <f>G23+K23</f>
        <v/>
      </c>
      <c r="M23" s="24">
        <f>MAX(0,J23-K23)</f>
        <v/>
      </c>
      <c r="N23" s="24">
        <f>MAX(0,K23-J23)</f>
        <v/>
      </c>
      <c r="O23" s="24">
        <f>L23+H23</f>
        <v/>
      </c>
      <c r="P23" s="25">
        <f>IF(K23=0,"",IF(N23&gt;0,"Request exceeded free cores","Placed"))</f>
        <v/>
      </c>
    </row>
    <row r="24">
      <c r="A24" s="32">
        <f>Capacity_Reservations!A24</f>
        <v/>
      </c>
      <c r="B24" s="32">
        <f>Capacity_Reservations!B24</f>
        <v/>
      </c>
      <c r="C24" s="33">
        <f>Capacity_Reservations!C24</f>
        <v/>
      </c>
      <c r="D24" s="33">
        <f>Capacity_Reservations!D24</f>
        <v/>
      </c>
      <c r="E24" s="32">
        <f>Capacity_Reservations!E24</f>
        <v/>
      </c>
      <c r="F24" s="33">
        <f>Capacity_Reservations!F24</f>
        <v/>
      </c>
      <c r="G24" s="47">
        <f>Capacity_Reservations!I24</f>
        <v/>
      </c>
      <c r="H24" s="47">
        <f>Capacity_Reservations!J24</f>
        <v/>
      </c>
      <c r="I24" s="47">
        <f>Capacity_Reservations!K24</f>
        <v/>
      </c>
      <c r="J24" s="47">
        <f>Capacity_Reservations!L24</f>
        <v/>
      </c>
      <c r="K24" s="24">
        <f>IF(Allocation!$C$14&lt;&gt;1,0,IF(D24="Prod",IF(B24=Allocation!$C$9,SUMIF(Request!$A$13:$A$20,E24,Request!$D$13:$D$20),0),IF(D24="NonProd",IF(B24=Allocation!$C$10,SUMIF(Request!$A$13:$A$20,E24,Request!$D$13:$D$20),0),IF(AND(D24="DR",B24=Allocation!$C$11),ROUND(SUMIF(Request!$A$13:$A$20,E24,Request!$D$13:$D$20)*Policy!$B$15,0),0))))</f>
        <v/>
      </c>
      <c r="L24" s="24">
        <f>G24+K24</f>
        <v/>
      </c>
      <c r="M24" s="24">
        <f>MAX(0,J24-K24)</f>
        <v/>
      </c>
      <c r="N24" s="24">
        <f>MAX(0,K24-J24)</f>
        <v/>
      </c>
      <c r="O24" s="24">
        <f>L24+H24</f>
        <v/>
      </c>
      <c r="P24" s="25">
        <f>IF(K24=0,"",IF(N24&gt;0,"Request exceeded free cores","Placed"))</f>
        <v/>
      </c>
    </row>
    <row r="25">
      <c r="A25" s="32">
        <f>Capacity_Reservations!A25</f>
        <v/>
      </c>
      <c r="B25" s="32">
        <f>Capacity_Reservations!B25</f>
        <v/>
      </c>
      <c r="C25" s="33">
        <f>Capacity_Reservations!C25</f>
        <v/>
      </c>
      <c r="D25" s="33">
        <f>Capacity_Reservations!D25</f>
        <v/>
      </c>
      <c r="E25" s="32">
        <f>Capacity_Reservations!E25</f>
        <v/>
      </c>
      <c r="F25" s="33">
        <f>Capacity_Reservations!F25</f>
        <v/>
      </c>
      <c r="G25" s="47">
        <f>Capacity_Reservations!I25</f>
        <v/>
      </c>
      <c r="H25" s="47">
        <f>Capacity_Reservations!J25</f>
        <v/>
      </c>
      <c r="I25" s="47">
        <f>Capacity_Reservations!K25</f>
        <v/>
      </c>
      <c r="J25" s="47">
        <f>Capacity_Reservations!L25</f>
        <v/>
      </c>
      <c r="K25" s="24">
        <f>IF(Allocation!$C$14&lt;&gt;1,0,IF(D25="Prod",IF(B25=Allocation!$C$9,SUMIF(Request!$A$13:$A$20,E25,Request!$D$13:$D$20),0),IF(D25="NonProd",IF(B25=Allocation!$C$10,SUMIF(Request!$A$13:$A$20,E25,Request!$D$13:$D$20),0),IF(AND(D25="DR",B25=Allocation!$C$11),ROUND(SUMIF(Request!$A$13:$A$20,E25,Request!$D$13:$D$20)*Policy!$B$15,0),0))))</f>
        <v/>
      </c>
      <c r="L25" s="24">
        <f>G25+K25</f>
        <v/>
      </c>
      <c r="M25" s="24">
        <f>MAX(0,J25-K25)</f>
        <v/>
      </c>
      <c r="N25" s="24">
        <f>MAX(0,K25-J25)</f>
        <v/>
      </c>
      <c r="O25" s="24">
        <f>L25+H25</f>
        <v/>
      </c>
      <c r="P25" s="25">
        <f>IF(K25=0,"",IF(N25&gt;0,"Request exceeded free cores","Placed"))</f>
        <v/>
      </c>
    </row>
    <row r="26">
      <c r="A26" s="32">
        <f>Capacity_Reservations!A26</f>
        <v/>
      </c>
      <c r="B26" s="32">
        <f>Capacity_Reservations!B26</f>
        <v/>
      </c>
      <c r="C26" s="33">
        <f>Capacity_Reservations!C26</f>
        <v/>
      </c>
      <c r="D26" s="33">
        <f>Capacity_Reservations!D26</f>
        <v/>
      </c>
      <c r="E26" s="32">
        <f>Capacity_Reservations!E26</f>
        <v/>
      </c>
      <c r="F26" s="33">
        <f>Capacity_Reservations!F26</f>
        <v/>
      </c>
      <c r="G26" s="47">
        <f>Capacity_Reservations!I26</f>
        <v/>
      </c>
      <c r="H26" s="47">
        <f>Capacity_Reservations!J26</f>
        <v/>
      </c>
      <c r="I26" s="47">
        <f>Capacity_Reservations!K26</f>
        <v/>
      </c>
      <c r="J26" s="47">
        <f>Capacity_Reservations!L26</f>
        <v/>
      </c>
      <c r="K26" s="24">
        <f>IF(Allocation!$C$14&lt;&gt;1,0,IF(D26="Prod",IF(B26=Allocation!$C$9,SUMIF(Request!$A$13:$A$20,E26,Request!$D$13:$D$20),0),IF(D26="NonProd",IF(B26=Allocation!$C$10,SUMIF(Request!$A$13:$A$20,E26,Request!$D$13:$D$20),0),IF(AND(D26="DR",B26=Allocation!$C$11),ROUND(SUMIF(Request!$A$13:$A$20,E26,Request!$D$13:$D$20)*Policy!$B$15,0),0))))</f>
        <v/>
      </c>
      <c r="L26" s="24">
        <f>G26+K26</f>
        <v/>
      </c>
      <c r="M26" s="24">
        <f>MAX(0,J26-K26)</f>
        <v/>
      </c>
      <c r="N26" s="24">
        <f>MAX(0,K26-J26)</f>
        <v/>
      </c>
      <c r="O26" s="24">
        <f>L26+H26</f>
        <v/>
      </c>
      <c r="P26" s="25">
        <f>IF(K26=0,"",IF(N26&gt;0,"Request exceeded free cores","Placed"))</f>
        <v/>
      </c>
    </row>
    <row r="27">
      <c r="A27" s="32">
        <f>Capacity_Reservations!A27</f>
        <v/>
      </c>
      <c r="B27" s="32">
        <f>Capacity_Reservations!B27</f>
        <v/>
      </c>
      <c r="C27" s="33">
        <f>Capacity_Reservations!C27</f>
        <v/>
      </c>
      <c r="D27" s="33">
        <f>Capacity_Reservations!D27</f>
        <v/>
      </c>
      <c r="E27" s="32">
        <f>Capacity_Reservations!E27</f>
        <v/>
      </c>
      <c r="F27" s="33">
        <f>Capacity_Reservations!F27</f>
        <v/>
      </c>
      <c r="G27" s="47">
        <f>Capacity_Reservations!I27</f>
        <v/>
      </c>
      <c r="H27" s="47">
        <f>Capacity_Reservations!J27</f>
        <v/>
      </c>
      <c r="I27" s="47">
        <f>Capacity_Reservations!K27</f>
        <v/>
      </c>
      <c r="J27" s="47">
        <f>Capacity_Reservations!L27</f>
        <v/>
      </c>
      <c r="K27" s="24">
        <f>IF(Allocation!$C$14&lt;&gt;1,0,IF(D27="Prod",IF(B27=Allocation!$C$9,SUMIF(Request!$A$13:$A$20,E27,Request!$D$13:$D$20),0),IF(D27="NonProd",IF(B27=Allocation!$C$10,SUMIF(Request!$A$13:$A$20,E27,Request!$D$13:$D$20),0),IF(AND(D27="DR",B27=Allocation!$C$11),ROUND(SUMIF(Request!$A$13:$A$20,E27,Request!$D$13:$D$20)*Policy!$B$15,0),0))))</f>
        <v/>
      </c>
      <c r="L27" s="24">
        <f>G27+K27</f>
        <v/>
      </c>
      <c r="M27" s="24">
        <f>MAX(0,J27-K27)</f>
        <v/>
      </c>
      <c r="N27" s="24">
        <f>MAX(0,K27-J27)</f>
        <v/>
      </c>
      <c r="O27" s="24">
        <f>L27+H27</f>
        <v/>
      </c>
      <c r="P27" s="25">
        <f>IF(K27=0,"",IF(N27&gt;0,"Request exceeded free cores","Placed"))</f>
        <v/>
      </c>
    </row>
    <row r="28">
      <c r="A28" s="32">
        <f>Capacity_Reservations!A28</f>
        <v/>
      </c>
      <c r="B28" s="32">
        <f>Capacity_Reservations!B28</f>
        <v/>
      </c>
      <c r="C28" s="33">
        <f>Capacity_Reservations!C28</f>
        <v/>
      </c>
      <c r="D28" s="33">
        <f>Capacity_Reservations!D28</f>
        <v/>
      </c>
      <c r="E28" s="32">
        <f>Capacity_Reservations!E28</f>
        <v/>
      </c>
      <c r="F28" s="33">
        <f>Capacity_Reservations!F28</f>
        <v/>
      </c>
      <c r="G28" s="47">
        <f>Capacity_Reservations!I28</f>
        <v/>
      </c>
      <c r="H28" s="47">
        <f>Capacity_Reservations!J28</f>
        <v/>
      </c>
      <c r="I28" s="47">
        <f>Capacity_Reservations!K28</f>
        <v/>
      </c>
      <c r="J28" s="47">
        <f>Capacity_Reservations!L28</f>
        <v/>
      </c>
      <c r="K28" s="24">
        <f>IF(Allocation!$C$14&lt;&gt;1,0,IF(D28="Prod",IF(B28=Allocation!$C$9,SUMIF(Request!$A$13:$A$20,E28,Request!$D$13:$D$20),0),IF(D28="NonProd",IF(B28=Allocation!$C$10,SUMIF(Request!$A$13:$A$20,E28,Request!$D$13:$D$20),0),IF(AND(D28="DR",B28=Allocation!$C$11),ROUND(SUMIF(Request!$A$13:$A$20,E28,Request!$D$13:$D$20)*Policy!$B$15,0),0))))</f>
        <v/>
      </c>
      <c r="L28" s="24">
        <f>G28+K28</f>
        <v/>
      </c>
      <c r="M28" s="24">
        <f>MAX(0,J28-K28)</f>
        <v/>
      </c>
      <c r="N28" s="24">
        <f>MAX(0,K28-J28)</f>
        <v/>
      </c>
      <c r="O28" s="24">
        <f>L28+H28</f>
        <v/>
      </c>
      <c r="P28" s="25">
        <f>IF(K28=0,"",IF(N28&gt;0,"Request exceeded free cores","Placed"))</f>
        <v/>
      </c>
    </row>
    <row r="29">
      <c r="A29" s="32">
        <f>Capacity_Reservations!A29</f>
        <v/>
      </c>
      <c r="B29" s="32">
        <f>Capacity_Reservations!B29</f>
        <v/>
      </c>
      <c r="C29" s="33">
        <f>Capacity_Reservations!C29</f>
        <v/>
      </c>
      <c r="D29" s="33">
        <f>Capacity_Reservations!D29</f>
        <v/>
      </c>
      <c r="E29" s="32">
        <f>Capacity_Reservations!E29</f>
        <v/>
      </c>
      <c r="F29" s="33">
        <f>Capacity_Reservations!F29</f>
        <v/>
      </c>
      <c r="G29" s="47">
        <f>Capacity_Reservations!I29</f>
        <v/>
      </c>
      <c r="H29" s="47">
        <f>Capacity_Reservations!J29</f>
        <v/>
      </c>
      <c r="I29" s="47">
        <f>Capacity_Reservations!K29</f>
        <v/>
      </c>
      <c r="J29" s="47">
        <f>Capacity_Reservations!L29</f>
        <v/>
      </c>
      <c r="K29" s="24">
        <f>IF(Allocation!$C$14&lt;&gt;1,0,IF(D29="Prod",IF(B29=Allocation!$C$9,SUMIF(Request!$A$13:$A$20,E29,Request!$D$13:$D$20),0),IF(D29="NonProd",IF(B29=Allocation!$C$10,SUMIF(Request!$A$13:$A$20,E29,Request!$D$13:$D$20),0),IF(AND(D29="DR",B29=Allocation!$C$11),ROUND(SUMIF(Request!$A$13:$A$20,E29,Request!$D$13:$D$20)*Policy!$B$15,0),0))))</f>
        <v/>
      </c>
      <c r="L29" s="24">
        <f>G29+K29</f>
        <v/>
      </c>
      <c r="M29" s="24">
        <f>MAX(0,J29-K29)</f>
        <v/>
      </c>
      <c r="N29" s="24">
        <f>MAX(0,K29-J29)</f>
        <v/>
      </c>
      <c r="O29" s="24">
        <f>L29+H29</f>
        <v/>
      </c>
      <c r="P29" s="25">
        <f>IF(K29=0,"",IF(N29&gt;0,"Request exceeded free cores","Placed"))</f>
        <v/>
      </c>
    </row>
    <row r="30">
      <c r="A30" s="32">
        <f>Capacity_Reservations!A30</f>
        <v/>
      </c>
      <c r="B30" s="32">
        <f>Capacity_Reservations!B30</f>
        <v/>
      </c>
      <c r="C30" s="33">
        <f>Capacity_Reservations!C30</f>
        <v/>
      </c>
      <c r="D30" s="33">
        <f>Capacity_Reservations!D30</f>
        <v/>
      </c>
      <c r="E30" s="32">
        <f>Capacity_Reservations!E30</f>
        <v/>
      </c>
      <c r="F30" s="33">
        <f>Capacity_Reservations!F30</f>
        <v/>
      </c>
      <c r="G30" s="47">
        <f>Capacity_Reservations!I30</f>
        <v/>
      </c>
      <c r="H30" s="47">
        <f>Capacity_Reservations!J30</f>
        <v/>
      </c>
      <c r="I30" s="47">
        <f>Capacity_Reservations!K30</f>
        <v/>
      </c>
      <c r="J30" s="47">
        <f>Capacity_Reservations!L30</f>
        <v/>
      </c>
      <c r="K30" s="24">
        <f>IF(Allocation!$C$14&lt;&gt;1,0,IF(D30="Prod",IF(B30=Allocation!$C$9,SUMIF(Request!$A$13:$A$20,E30,Request!$D$13:$D$20),0),IF(D30="NonProd",IF(B30=Allocation!$C$10,SUMIF(Request!$A$13:$A$20,E30,Request!$D$13:$D$20),0),IF(AND(D30="DR",B30=Allocation!$C$11),ROUND(SUMIF(Request!$A$13:$A$20,E30,Request!$D$13:$D$20)*Policy!$B$15,0),0))))</f>
        <v/>
      </c>
      <c r="L30" s="24">
        <f>G30+K30</f>
        <v/>
      </c>
      <c r="M30" s="24">
        <f>MAX(0,J30-K30)</f>
        <v/>
      </c>
      <c r="N30" s="24">
        <f>MAX(0,K30-J30)</f>
        <v/>
      </c>
      <c r="O30" s="24">
        <f>L30+H30</f>
        <v/>
      </c>
      <c r="P30" s="25">
        <f>IF(K30=0,"",IF(N30&gt;0,"Request exceeded free cores","Placed"))</f>
        <v/>
      </c>
    </row>
    <row r="31">
      <c r="A31" s="32">
        <f>Capacity_Reservations!A31</f>
        <v/>
      </c>
      <c r="B31" s="32">
        <f>Capacity_Reservations!B31</f>
        <v/>
      </c>
      <c r="C31" s="33">
        <f>Capacity_Reservations!C31</f>
        <v/>
      </c>
      <c r="D31" s="33">
        <f>Capacity_Reservations!D31</f>
        <v/>
      </c>
      <c r="E31" s="32">
        <f>Capacity_Reservations!E31</f>
        <v/>
      </c>
      <c r="F31" s="33">
        <f>Capacity_Reservations!F31</f>
        <v/>
      </c>
      <c r="G31" s="47">
        <f>Capacity_Reservations!I31</f>
        <v/>
      </c>
      <c r="H31" s="47">
        <f>Capacity_Reservations!J31</f>
        <v/>
      </c>
      <c r="I31" s="47">
        <f>Capacity_Reservations!K31</f>
        <v/>
      </c>
      <c r="J31" s="47">
        <f>Capacity_Reservations!L31</f>
        <v/>
      </c>
      <c r="K31" s="24">
        <f>IF(Allocation!$C$14&lt;&gt;1,0,IF(D31="Prod",IF(B31=Allocation!$C$9,SUMIF(Request!$A$13:$A$20,E31,Request!$D$13:$D$20),0),IF(D31="NonProd",IF(B31=Allocation!$C$10,SUMIF(Request!$A$13:$A$20,E31,Request!$D$13:$D$20),0),IF(AND(D31="DR",B31=Allocation!$C$11),ROUND(SUMIF(Request!$A$13:$A$20,E31,Request!$D$13:$D$20)*Policy!$B$15,0),0))))</f>
        <v/>
      </c>
      <c r="L31" s="24">
        <f>G31+K31</f>
        <v/>
      </c>
      <c r="M31" s="24">
        <f>MAX(0,J31-K31)</f>
        <v/>
      </c>
      <c r="N31" s="24">
        <f>MAX(0,K31-J31)</f>
        <v/>
      </c>
      <c r="O31" s="24">
        <f>L31+H31</f>
        <v/>
      </c>
      <c r="P31" s="25">
        <f>IF(K31=0,"",IF(N31&gt;0,"Request exceeded free cores","Placed"))</f>
        <v/>
      </c>
    </row>
    <row r="32">
      <c r="A32" s="32">
        <f>Capacity_Reservations!A32</f>
        <v/>
      </c>
      <c r="B32" s="32">
        <f>Capacity_Reservations!B32</f>
        <v/>
      </c>
      <c r="C32" s="33">
        <f>Capacity_Reservations!C32</f>
        <v/>
      </c>
      <c r="D32" s="33">
        <f>Capacity_Reservations!D32</f>
        <v/>
      </c>
      <c r="E32" s="32">
        <f>Capacity_Reservations!E32</f>
        <v/>
      </c>
      <c r="F32" s="33">
        <f>Capacity_Reservations!F32</f>
        <v/>
      </c>
      <c r="G32" s="47">
        <f>Capacity_Reservations!I32</f>
        <v/>
      </c>
      <c r="H32" s="47">
        <f>Capacity_Reservations!J32</f>
        <v/>
      </c>
      <c r="I32" s="47">
        <f>Capacity_Reservations!K32</f>
        <v/>
      </c>
      <c r="J32" s="47">
        <f>Capacity_Reservations!L32</f>
        <v/>
      </c>
      <c r="K32" s="24">
        <f>IF(Allocation!$C$14&lt;&gt;1,0,IF(D32="Prod",IF(B32=Allocation!$C$9,SUMIF(Request!$A$13:$A$20,E32,Request!$D$13:$D$20),0),IF(D32="NonProd",IF(B32=Allocation!$C$10,SUMIF(Request!$A$13:$A$20,E32,Request!$D$13:$D$20),0),IF(AND(D32="DR",B32=Allocation!$C$11),ROUND(SUMIF(Request!$A$13:$A$20,E32,Request!$D$13:$D$20)*Policy!$B$15,0),0))))</f>
        <v/>
      </c>
      <c r="L32" s="24">
        <f>G32+K32</f>
        <v/>
      </c>
      <c r="M32" s="24">
        <f>MAX(0,J32-K32)</f>
        <v/>
      </c>
      <c r="N32" s="24">
        <f>MAX(0,K32-J32)</f>
        <v/>
      </c>
      <c r="O32" s="24">
        <f>L32+H32</f>
        <v/>
      </c>
      <c r="P32" s="25">
        <f>IF(K32=0,"",IF(N32&gt;0,"Request exceeded free cores","Placed"))</f>
        <v/>
      </c>
    </row>
    <row r="33">
      <c r="A33" s="32">
        <f>Capacity_Reservations!A33</f>
        <v/>
      </c>
      <c r="B33" s="32">
        <f>Capacity_Reservations!B33</f>
        <v/>
      </c>
      <c r="C33" s="33">
        <f>Capacity_Reservations!C33</f>
        <v/>
      </c>
      <c r="D33" s="33">
        <f>Capacity_Reservations!D33</f>
        <v/>
      </c>
      <c r="E33" s="32">
        <f>Capacity_Reservations!E33</f>
        <v/>
      </c>
      <c r="F33" s="33">
        <f>Capacity_Reservations!F33</f>
        <v/>
      </c>
      <c r="G33" s="47">
        <f>Capacity_Reservations!I33</f>
        <v/>
      </c>
      <c r="H33" s="47">
        <f>Capacity_Reservations!J33</f>
        <v/>
      </c>
      <c r="I33" s="47">
        <f>Capacity_Reservations!K33</f>
        <v/>
      </c>
      <c r="J33" s="47">
        <f>Capacity_Reservations!L33</f>
        <v/>
      </c>
      <c r="K33" s="24">
        <f>IF(Allocation!$C$14&lt;&gt;1,0,IF(D33="Prod",IF(B33=Allocation!$C$9,SUMIF(Request!$A$13:$A$20,E33,Request!$D$13:$D$20),0),IF(D33="NonProd",IF(B33=Allocation!$C$10,SUMIF(Request!$A$13:$A$20,E33,Request!$D$13:$D$20),0),IF(AND(D33="DR",B33=Allocation!$C$11),ROUND(SUMIF(Request!$A$13:$A$20,E33,Request!$D$13:$D$20)*Policy!$B$15,0),0))))</f>
        <v/>
      </c>
      <c r="L33" s="24">
        <f>G33+K33</f>
        <v/>
      </c>
      <c r="M33" s="24">
        <f>MAX(0,J33-K33)</f>
        <v/>
      </c>
      <c r="N33" s="24">
        <f>MAX(0,K33-J33)</f>
        <v/>
      </c>
      <c r="O33" s="24">
        <f>L33+H33</f>
        <v/>
      </c>
      <c r="P33" s="25">
        <f>IF(K33=0,"",IF(N33&gt;0,"Request exceeded free cores","Placed"))</f>
        <v/>
      </c>
    </row>
    <row r="34">
      <c r="A34" s="32">
        <f>Capacity_Reservations!A34</f>
        <v/>
      </c>
      <c r="B34" s="32">
        <f>Capacity_Reservations!B34</f>
        <v/>
      </c>
      <c r="C34" s="33">
        <f>Capacity_Reservations!C34</f>
        <v/>
      </c>
      <c r="D34" s="33">
        <f>Capacity_Reservations!D34</f>
        <v/>
      </c>
      <c r="E34" s="32">
        <f>Capacity_Reservations!E34</f>
        <v/>
      </c>
      <c r="F34" s="33">
        <f>Capacity_Reservations!F34</f>
        <v/>
      </c>
      <c r="G34" s="47">
        <f>Capacity_Reservations!I34</f>
        <v/>
      </c>
      <c r="H34" s="47">
        <f>Capacity_Reservations!J34</f>
        <v/>
      </c>
      <c r="I34" s="47">
        <f>Capacity_Reservations!K34</f>
        <v/>
      </c>
      <c r="J34" s="47">
        <f>Capacity_Reservations!L34</f>
        <v/>
      </c>
      <c r="K34" s="24">
        <f>IF(Allocation!$C$14&lt;&gt;1,0,IF(D34="Prod",IF(B34=Allocation!$C$9,SUMIF(Request!$A$13:$A$20,E34,Request!$D$13:$D$20),0),IF(D34="NonProd",IF(B34=Allocation!$C$10,SUMIF(Request!$A$13:$A$20,E34,Request!$D$13:$D$20),0),IF(AND(D34="DR",B34=Allocation!$C$11),ROUND(SUMIF(Request!$A$13:$A$20,E34,Request!$D$13:$D$20)*Policy!$B$15,0),0))))</f>
        <v/>
      </c>
      <c r="L34" s="24">
        <f>G34+K34</f>
        <v/>
      </c>
      <c r="M34" s="24">
        <f>MAX(0,J34-K34)</f>
        <v/>
      </c>
      <c r="N34" s="24">
        <f>MAX(0,K34-J34)</f>
        <v/>
      </c>
      <c r="O34" s="24">
        <f>L34+H34</f>
        <v/>
      </c>
      <c r="P34" s="25">
        <f>IF(K34=0,"",IF(N34&gt;0,"Request exceeded free cores","Placed"))</f>
        <v/>
      </c>
    </row>
    <row r="35">
      <c r="A35" s="32">
        <f>Capacity_Reservations!A35</f>
        <v/>
      </c>
      <c r="B35" s="32">
        <f>Capacity_Reservations!B35</f>
        <v/>
      </c>
      <c r="C35" s="33">
        <f>Capacity_Reservations!C35</f>
        <v/>
      </c>
      <c r="D35" s="33">
        <f>Capacity_Reservations!D35</f>
        <v/>
      </c>
      <c r="E35" s="32">
        <f>Capacity_Reservations!E35</f>
        <v/>
      </c>
      <c r="F35" s="33">
        <f>Capacity_Reservations!F35</f>
        <v/>
      </c>
      <c r="G35" s="47">
        <f>Capacity_Reservations!I35</f>
        <v/>
      </c>
      <c r="H35" s="47">
        <f>Capacity_Reservations!J35</f>
        <v/>
      </c>
      <c r="I35" s="47">
        <f>Capacity_Reservations!K35</f>
        <v/>
      </c>
      <c r="J35" s="47">
        <f>Capacity_Reservations!L35</f>
        <v/>
      </c>
      <c r="K35" s="24">
        <f>IF(Allocation!$C$14&lt;&gt;1,0,IF(D35="Prod",IF(B35=Allocation!$C$9,SUMIF(Request!$A$13:$A$20,E35,Request!$D$13:$D$20),0),IF(D35="NonProd",IF(B35=Allocation!$C$10,SUMIF(Request!$A$13:$A$20,E35,Request!$D$13:$D$20),0),IF(AND(D35="DR",B35=Allocation!$C$11),ROUND(SUMIF(Request!$A$13:$A$20,E35,Request!$D$13:$D$20)*Policy!$B$15,0),0))))</f>
        <v/>
      </c>
      <c r="L35" s="24">
        <f>G35+K35</f>
        <v/>
      </c>
      <c r="M35" s="24">
        <f>MAX(0,J35-K35)</f>
        <v/>
      </c>
      <c r="N35" s="24">
        <f>MAX(0,K35-J35)</f>
        <v/>
      </c>
      <c r="O35" s="24">
        <f>L35+H35</f>
        <v/>
      </c>
      <c r="P35" s="25">
        <f>IF(K35=0,"",IF(N35&gt;0,"Request exceeded free cores","Placed"))</f>
        <v/>
      </c>
    </row>
    <row r="36">
      <c r="A36" s="32">
        <f>Capacity_Reservations!A36</f>
        <v/>
      </c>
      <c r="B36" s="32">
        <f>Capacity_Reservations!B36</f>
        <v/>
      </c>
      <c r="C36" s="33">
        <f>Capacity_Reservations!C36</f>
        <v/>
      </c>
      <c r="D36" s="33">
        <f>Capacity_Reservations!D36</f>
        <v/>
      </c>
      <c r="E36" s="32">
        <f>Capacity_Reservations!E36</f>
        <v/>
      </c>
      <c r="F36" s="33">
        <f>Capacity_Reservations!F36</f>
        <v/>
      </c>
      <c r="G36" s="47">
        <f>Capacity_Reservations!I36</f>
        <v/>
      </c>
      <c r="H36" s="47">
        <f>Capacity_Reservations!J36</f>
        <v/>
      </c>
      <c r="I36" s="47">
        <f>Capacity_Reservations!K36</f>
        <v/>
      </c>
      <c r="J36" s="47">
        <f>Capacity_Reservations!L36</f>
        <v/>
      </c>
      <c r="K36" s="24">
        <f>IF(Allocation!$C$14&lt;&gt;1,0,IF(D36="Prod",IF(B36=Allocation!$C$9,SUMIF(Request!$A$13:$A$20,E36,Request!$D$13:$D$20),0),IF(D36="NonProd",IF(B36=Allocation!$C$10,SUMIF(Request!$A$13:$A$20,E36,Request!$D$13:$D$20),0),IF(AND(D36="DR",B36=Allocation!$C$11),ROUND(SUMIF(Request!$A$13:$A$20,E36,Request!$D$13:$D$20)*Policy!$B$15,0),0))))</f>
        <v/>
      </c>
      <c r="L36" s="24">
        <f>G36+K36</f>
        <v/>
      </c>
      <c r="M36" s="24">
        <f>MAX(0,J36-K36)</f>
        <v/>
      </c>
      <c r="N36" s="24">
        <f>MAX(0,K36-J36)</f>
        <v/>
      </c>
      <c r="O36" s="24">
        <f>L36+H36</f>
        <v/>
      </c>
      <c r="P36" s="25">
        <f>IF(K36=0,"",IF(N36&gt;0,"Request exceeded free cores","Placed"))</f>
        <v/>
      </c>
    </row>
    <row r="37">
      <c r="A37" s="32">
        <f>Capacity_Reservations!A37</f>
        <v/>
      </c>
      <c r="B37" s="32">
        <f>Capacity_Reservations!B37</f>
        <v/>
      </c>
      <c r="C37" s="33">
        <f>Capacity_Reservations!C37</f>
        <v/>
      </c>
      <c r="D37" s="33">
        <f>Capacity_Reservations!D37</f>
        <v/>
      </c>
      <c r="E37" s="32">
        <f>Capacity_Reservations!E37</f>
        <v/>
      </c>
      <c r="F37" s="33">
        <f>Capacity_Reservations!F37</f>
        <v/>
      </c>
      <c r="G37" s="47">
        <f>Capacity_Reservations!I37</f>
        <v/>
      </c>
      <c r="H37" s="47">
        <f>Capacity_Reservations!J37</f>
        <v/>
      </c>
      <c r="I37" s="47">
        <f>Capacity_Reservations!K37</f>
        <v/>
      </c>
      <c r="J37" s="47">
        <f>Capacity_Reservations!L37</f>
        <v/>
      </c>
      <c r="K37" s="24">
        <f>IF(Allocation!$C$14&lt;&gt;1,0,IF(D37="Prod",IF(B37=Allocation!$C$9,SUMIF(Request!$A$13:$A$20,E37,Request!$D$13:$D$20),0),IF(D37="NonProd",IF(B37=Allocation!$C$10,SUMIF(Request!$A$13:$A$20,E37,Request!$D$13:$D$20),0),IF(AND(D37="DR",B37=Allocation!$C$11),ROUND(SUMIF(Request!$A$13:$A$20,E37,Request!$D$13:$D$20)*Policy!$B$15,0),0))))</f>
        <v/>
      </c>
      <c r="L37" s="24">
        <f>G37+K37</f>
        <v/>
      </c>
      <c r="M37" s="24">
        <f>MAX(0,J37-K37)</f>
        <v/>
      </c>
      <c r="N37" s="24">
        <f>MAX(0,K37-J37)</f>
        <v/>
      </c>
      <c r="O37" s="24">
        <f>L37+H37</f>
        <v/>
      </c>
      <c r="P37" s="25">
        <f>IF(K37=0,"",IF(N37&gt;0,"Request exceeded free cores","Placed"))</f>
        <v/>
      </c>
    </row>
    <row r="38">
      <c r="A38" s="32">
        <f>Capacity_Reservations!A38</f>
        <v/>
      </c>
      <c r="B38" s="32">
        <f>Capacity_Reservations!B38</f>
        <v/>
      </c>
      <c r="C38" s="33">
        <f>Capacity_Reservations!C38</f>
        <v/>
      </c>
      <c r="D38" s="33">
        <f>Capacity_Reservations!D38</f>
        <v/>
      </c>
      <c r="E38" s="32">
        <f>Capacity_Reservations!E38</f>
        <v/>
      </c>
      <c r="F38" s="33">
        <f>Capacity_Reservations!F38</f>
        <v/>
      </c>
      <c r="G38" s="47">
        <f>Capacity_Reservations!I38</f>
        <v/>
      </c>
      <c r="H38" s="47">
        <f>Capacity_Reservations!J38</f>
        <v/>
      </c>
      <c r="I38" s="47">
        <f>Capacity_Reservations!K38</f>
        <v/>
      </c>
      <c r="J38" s="47">
        <f>Capacity_Reservations!L38</f>
        <v/>
      </c>
      <c r="K38" s="24">
        <f>IF(Allocation!$C$14&lt;&gt;1,0,IF(D38="Prod",IF(B38=Allocation!$C$9,SUMIF(Request!$A$13:$A$20,E38,Request!$D$13:$D$20),0),IF(D38="NonProd",IF(B38=Allocation!$C$10,SUMIF(Request!$A$13:$A$20,E38,Request!$D$13:$D$20),0),IF(AND(D38="DR",B38=Allocation!$C$11),ROUND(SUMIF(Request!$A$13:$A$20,E38,Request!$D$13:$D$20)*Policy!$B$15,0),0))))</f>
        <v/>
      </c>
      <c r="L38" s="24">
        <f>G38+K38</f>
        <v/>
      </c>
      <c r="M38" s="24">
        <f>MAX(0,J38-K38)</f>
        <v/>
      </c>
      <c r="N38" s="24">
        <f>MAX(0,K38-J38)</f>
        <v/>
      </c>
      <c r="O38" s="24">
        <f>L38+H38</f>
        <v/>
      </c>
      <c r="P38" s="25">
        <f>IF(K38=0,"",IF(N38&gt;0,"Request exceeded free cores","Placed"))</f>
        <v/>
      </c>
    </row>
    <row r="39">
      <c r="A39" s="32">
        <f>Capacity_Reservations!A39</f>
        <v/>
      </c>
      <c r="B39" s="32">
        <f>Capacity_Reservations!B39</f>
        <v/>
      </c>
      <c r="C39" s="33">
        <f>Capacity_Reservations!C39</f>
        <v/>
      </c>
      <c r="D39" s="33">
        <f>Capacity_Reservations!D39</f>
        <v/>
      </c>
      <c r="E39" s="32">
        <f>Capacity_Reservations!E39</f>
        <v/>
      </c>
      <c r="F39" s="33">
        <f>Capacity_Reservations!F39</f>
        <v/>
      </c>
      <c r="G39" s="47">
        <f>Capacity_Reservations!I39</f>
        <v/>
      </c>
      <c r="H39" s="47">
        <f>Capacity_Reservations!J39</f>
        <v/>
      </c>
      <c r="I39" s="47">
        <f>Capacity_Reservations!K39</f>
        <v/>
      </c>
      <c r="J39" s="47">
        <f>Capacity_Reservations!L39</f>
        <v/>
      </c>
      <c r="K39" s="24">
        <f>IF(Allocation!$C$14&lt;&gt;1,0,IF(D39="Prod",IF(B39=Allocation!$C$9,SUMIF(Request!$A$13:$A$20,E39,Request!$D$13:$D$20),0),IF(D39="NonProd",IF(B39=Allocation!$C$10,SUMIF(Request!$A$13:$A$20,E39,Request!$D$13:$D$20),0),IF(AND(D39="DR",B39=Allocation!$C$11),ROUND(SUMIF(Request!$A$13:$A$20,E39,Request!$D$13:$D$20)*Policy!$B$15,0),0))))</f>
        <v/>
      </c>
      <c r="L39" s="24">
        <f>G39+K39</f>
        <v/>
      </c>
      <c r="M39" s="24">
        <f>MAX(0,J39-K39)</f>
        <v/>
      </c>
      <c r="N39" s="24">
        <f>MAX(0,K39-J39)</f>
        <v/>
      </c>
      <c r="O39" s="24">
        <f>L39+H39</f>
        <v/>
      </c>
      <c r="P39" s="25">
        <f>IF(K39=0,"",IF(N39&gt;0,"Request exceeded free cores","Placed"))</f>
        <v/>
      </c>
    </row>
    <row r="40">
      <c r="A40" s="32">
        <f>Capacity_Reservations!A40</f>
        <v/>
      </c>
      <c r="B40" s="32">
        <f>Capacity_Reservations!B40</f>
        <v/>
      </c>
      <c r="C40" s="33">
        <f>Capacity_Reservations!C40</f>
        <v/>
      </c>
      <c r="D40" s="33">
        <f>Capacity_Reservations!D40</f>
        <v/>
      </c>
      <c r="E40" s="32">
        <f>Capacity_Reservations!E40</f>
        <v/>
      </c>
      <c r="F40" s="33">
        <f>Capacity_Reservations!F40</f>
        <v/>
      </c>
      <c r="G40" s="47">
        <f>Capacity_Reservations!I40</f>
        <v/>
      </c>
      <c r="H40" s="47">
        <f>Capacity_Reservations!J40</f>
        <v/>
      </c>
      <c r="I40" s="47">
        <f>Capacity_Reservations!K40</f>
        <v/>
      </c>
      <c r="J40" s="47">
        <f>Capacity_Reservations!L40</f>
        <v/>
      </c>
      <c r="K40" s="24">
        <f>IF(Allocation!$C$14&lt;&gt;1,0,IF(D40="Prod",IF(B40=Allocation!$C$9,SUMIF(Request!$A$13:$A$20,E40,Request!$D$13:$D$20),0),IF(D40="NonProd",IF(B40=Allocation!$C$10,SUMIF(Request!$A$13:$A$20,E40,Request!$D$13:$D$20),0),IF(AND(D40="DR",B40=Allocation!$C$11),ROUND(SUMIF(Request!$A$13:$A$20,E40,Request!$D$13:$D$20)*Policy!$B$15,0),0))))</f>
        <v/>
      </c>
      <c r="L40" s="24">
        <f>G40+K40</f>
        <v/>
      </c>
      <c r="M40" s="24">
        <f>MAX(0,J40-K40)</f>
        <v/>
      </c>
      <c r="N40" s="24">
        <f>MAX(0,K40-J40)</f>
        <v/>
      </c>
      <c r="O40" s="24">
        <f>L40+H40</f>
        <v/>
      </c>
      <c r="P40" s="25">
        <f>IF(K40=0,"",IF(N40&gt;0,"Request exceeded free cores","Placed"))</f>
        <v/>
      </c>
    </row>
    <row r="41">
      <c r="A41" s="32">
        <f>Capacity_Reservations!A41</f>
        <v/>
      </c>
      <c r="B41" s="32">
        <f>Capacity_Reservations!B41</f>
        <v/>
      </c>
      <c r="C41" s="33">
        <f>Capacity_Reservations!C41</f>
        <v/>
      </c>
      <c r="D41" s="33">
        <f>Capacity_Reservations!D41</f>
        <v/>
      </c>
      <c r="E41" s="32">
        <f>Capacity_Reservations!E41</f>
        <v/>
      </c>
      <c r="F41" s="33">
        <f>Capacity_Reservations!F41</f>
        <v/>
      </c>
      <c r="G41" s="47">
        <f>Capacity_Reservations!I41</f>
        <v/>
      </c>
      <c r="H41" s="47">
        <f>Capacity_Reservations!J41</f>
        <v/>
      </c>
      <c r="I41" s="47">
        <f>Capacity_Reservations!K41</f>
        <v/>
      </c>
      <c r="J41" s="47">
        <f>Capacity_Reservations!L41</f>
        <v/>
      </c>
      <c r="K41" s="24">
        <f>IF(Allocation!$C$14&lt;&gt;1,0,IF(D41="Prod",IF(B41=Allocation!$C$9,SUMIF(Request!$A$13:$A$20,E41,Request!$D$13:$D$20),0),IF(D41="NonProd",IF(B41=Allocation!$C$10,SUMIF(Request!$A$13:$A$20,E41,Request!$D$13:$D$20),0),IF(AND(D41="DR",B41=Allocation!$C$11),ROUND(SUMIF(Request!$A$13:$A$20,E41,Request!$D$13:$D$20)*Policy!$B$15,0),0))))</f>
        <v/>
      </c>
      <c r="L41" s="24">
        <f>G41+K41</f>
        <v/>
      </c>
      <c r="M41" s="24">
        <f>MAX(0,J41-K41)</f>
        <v/>
      </c>
      <c r="N41" s="24">
        <f>MAX(0,K41-J41)</f>
        <v/>
      </c>
      <c r="O41" s="24">
        <f>L41+H41</f>
        <v/>
      </c>
      <c r="P41" s="25">
        <f>IF(K41=0,"",IF(N41&gt;0,"Request exceeded free cores","Placed"))</f>
        <v/>
      </c>
    </row>
    <row r="42">
      <c r="A42" s="32">
        <f>Capacity_Reservations!A42</f>
        <v/>
      </c>
      <c r="B42" s="32">
        <f>Capacity_Reservations!B42</f>
        <v/>
      </c>
      <c r="C42" s="33">
        <f>Capacity_Reservations!C42</f>
        <v/>
      </c>
      <c r="D42" s="33">
        <f>Capacity_Reservations!D42</f>
        <v/>
      </c>
      <c r="E42" s="32">
        <f>Capacity_Reservations!E42</f>
        <v/>
      </c>
      <c r="F42" s="33">
        <f>Capacity_Reservations!F42</f>
        <v/>
      </c>
      <c r="G42" s="47">
        <f>Capacity_Reservations!I42</f>
        <v/>
      </c>
      <c r="H42" s="47">
        <f>Capacity_Reservations!J42</f>
        <v/>
      </c>
      <c r="I42" s="47">
        <f>Capacity_Reservations!K42</f>
        <v/>
      </c>
      <c r="J42" s="47">
        <f>Capacity_Reservations!L42</f>
        <v/>
      </c>
      <c r="K42" s="24">
        <f>IF(Allocation!$C$14&lt;&gt;1,0,IF(D42="Prod",IF(B42=Allocation!$C$9,SUMIF(Request!$A$13:$A$20,E42,Request!$D$13:$D$20),0),IF(D42="NonProd",IF(B42=Allocation!$C$10,SUMIF(Request!$A$13:$A$20,E42,Request!$D$13:$D$20),0),IF(AND(D42="DR",B42=Allocation!$C$11),ROUND(SUMIF(Request!$A$13:$A$20,E42,Request!$D$13:$D$20)*Policy!$B$15,0),0))))</f>
        <v/>
      </c>
      <c r="L42" s="24">
        <f>G42+K42</f>
        <v/>
      </c>
      <c r="M42" s="24">
        <f>MAX(0,J42-K42)</f>
        <v/>
      </c>
      <c r="N42" s="24">
        <f>MAX(0,K42-J42)</f>
        <v/>
      </c>
      <c r="O42" s="24">
        <f>L42+H42</f>
        <v/>
      </c>
      <c r="P42" s="25">
        <f>IF(K42=0,"",IF(N42&gt;0,"Request exceeded free cores","Placed"))</f>
        <v/>
      </c>
    </row>
    <row r="43">
      <c r="A43" s="32">
        <f>Capacity_Reservations!A43</f>
        <v/>
      </c>
      <c r="B43" s="32">
        <f>Capacity_Reservations!B43</f>
        <v/>
      </c>
      <c r="C43" s="33">
        <f>Capacity_Reservations!C43</f>
        <v/>
      </c>
      <c r="D43" s="33">
        <f>Capacity_Reservations!D43</f>
        <v/>
      </c>
      <c r="E43" s="32">
        <f>Capacity_Reservations!E43</f>
        <v/>
      </c>
      <c r="F43" s="33">
        <f>Capacity_Reservations!F43</f>
        <v/>
      </c>
      <c r="G43" s="47">
        <f>Capacity_Reservations!I43</f>
        <v/>
      </c>
      <c r="H43" s="47">
        <f>Capacity_Reservations!J43</f>
        <v/>
      </c>
      <c r="I43" s="47">
        <f>Capacity_Reservations!K43</f>
        <v/>
      </c>
      <c r="J43" s="47">
        <f>Capacity_Reservations!L43</f>
        <v/>
      </c>
      <c r="K43" s="24">
        <f>IF(Allocation!$C$14&lt;&gt;1,0,IF(D43="Prod",IF(B43=Allocation!$C$9,SUMIF(Request!$A$13:$A$20,E43,Request!$D$13:$D$20),0),IF(D43="NonProd",IF(B43=Allocation!$C$10,SUMIF(Request!$A$13:$A$20,E43,Request!$D$13:$D$20),0),IF(AND(D43="DR",B43=Allocation!$C$11),ROUND(SUMIF(Request!$A$13:$A$20,E43,Request!$D$13:$D$20)*Policy!$B$15,0),0))))</f>
        <v/>
      </c>
      <c r="L43" s="24">
        <f>G43+K43</f>
        <v/>
      </c>
      <c r="M43" s="24">
        <f>MAX(0,J43-K43)</f>
        <v/>
      </c>
      <c r="N43" s="24">
        <f>MAX(0,K43-J43)</f>
        <v/>
      </c>
      <c r="O43" s="24">
        <f>L43+H43</f>
        <v/>
      </c>
      <c r="P43" s="25">
        <f>IF(K43=0,"",IF(N43&gt;0,"Request exceeded free cores","Placed"))</f>
        <v/>
      </c>
    </row>
    <row r="44">
      <c r="A44" s="32">
        <f>Capacity_Reservations!A44</f>
        <v/>
      </c>
      <c r="B44" s="32">
        <f>Capacity_Reservations!B44</f>
        <v/>
      </c>
      <c r="C44" s="33">
        <f>Capacity_Reservations!C44</f>
        <v/>
      </c>
      <c r="D44" s="33">
        <f>Capacity_Reservations!D44</f>
        <v/>
      </c>
      <c r="E44" s="32">
        <f>Capacity_Reservations!E44</f>
        <v/>
      </c>
      <c r="F44" s="33">
        <f>Capacity_Reservations!F44</f>
        <v/>
      </c>
      <c r="G44" s="47">
        <f>Capacity_Reservations!I44</f>
        <v/>
      </c>
      <c r="H44" s="47">
        <f>Capacity_Reservations!J44</f>
        <v/>
      </c>
      <c r="I44" s="47">
        <f>Capacity_Reservations!K44</f>
        <v/>
      </c>
      <c r="J44" s="47">
        <f>Capacity_Reservations!L44</f>
        <v/>
      </c>
      <c r="K44" s="24">
        <f>IF(Allocation!$C$14&lt;&gt;1,0,IF(D44="Prod",IF(B44=Allocation!$C$9,SUMIF(Request!$A$13:$A$20,E44,Request!$D$13:$D$20),0),IF(D44="NonProd",IF(B44=Allocation!$C$10,SUMIF(Request!$A$13:$A$20,E44,Request!$D$13:$D$20),0),IF(AND(D44="DR",B44=Allocation!$C$11),ROUND(SUMIF(Request!$A$13:$A$20,E44,Request!$D$13:$D$20)*Policy!$B$15,0),0))))</f>
        <v/>
      </c>
      <c r="L44" s="24">
        <f>G44+K44</f>
        <v/>
      </c>
      <c r="M44" s="24">
        <f>MAX(0,J44-K44)</f>
        <v/>
      </c>
      <c r="N44" s="24">
        <f>MAX(0,K44-J44)</f>
        <v/>
      </c>
      <c r="O44" s="24">
        <f>L44+H44</f>
        <v/>
      </c>
      <c r="P44" s="25">
        <f>IF(K44=0,"",IF(N44&gt;0,"Request exceeded free cores","Placed"))</f>
        <v/>
      </c>
    </row>
    <row r="45">
      <c r="A45" s="32">
        <f>Capacity_Reservations!A45</f>
        <v/>
      </c>
      <c r="B45" s="32">
        <f>Capacity_Reservations!B45</f>
        <v/>
      </c>
      <c r="C45" s="33">
        <f>Capacity_Reservations!C45</f>
        <v/>
      </c>
      <c r="D45" s="33">
        <f>Capacity_Reservations!D45</f>
        <v/>
      </c>
      <c r="E45" s="32">
        <f>Capacity_Reservations!E45</f>
        <v/>
      </c>
      <c r="F45" s="33">
        <f>Capacity_Reservations!F45</f>
        <v/>
      </c>
      <c r="G45" s="47">
        <f>Capacity_Reservations!I45</f>
        <v/>
      </c>
      <c r="H45" s="47">
        <f>Capacity_Reservations!J45</f>
        <v/>
      </c>
      <c r="I45" s="47">
        <f>Capacity_Reservations!K45</f>
        <v/>
      </c>
      <c r="J45" s="47">
        <f>Capacity_Reservations!L45</f>
        <v/>
      </c>
      <c r="K45" s="24">
        <f>IF(Allocation!$C$14&lt;&gt;1,0,IF(D45="Prod",IF(B45=Allocation!$C$9,SUMIF(Request!$A$13:$A$20,E45,Request!$D$13:$D$20),0),IF(D45="NonProd",IF(B45=Allocation!$C$10,SUMIF(Request!$A$13:$A$20,E45,Request!$D$13:$D$20),0),IF(AND(D45="DR",B45=Allocation!$C$11),ROUND(SUMIF(Request!$A$13:$A$20,E45,Request!$D$13:$D$20)*Policy!$B$15,0),0))))</f>
        <v/>
      </c>
      <c r="L45" s="24">
        <f>G45+K45</f>
        <v/>
      </c>
      <c r="M45" s="24">
        <f>MAX(0,J45-K45)</f>
        <v/>
      </c>
      <c r="N45" s="24">
        <f>MAX(0,K45-J45)</f>
        <v/>
      </c>
      <c r="O45" s="24">
        <f>L45+H45</f>
        <v/>
      </c>
      <c r="P45" s="25">
        <f>IF(K45=0,"",IF(N45&gt;0,"Request exceeded free cores","Placed"))</f>
        <v/>
      </c>
    </row>
    <row r="46">
      <c r="A46" s="32">
        <f>Capacity_Reservations!A46</f>
        <v/>
      </c>
      <c r="B46" s="32">
        <f>Capacity_Reservations!B46</f>
        <v/>
      </c>
      <c r="C46" s="33">
        <f>Capacity_Reservations!C46</f>
        <v/>
      </c>
      <c r="D46" s="33">
        <f>Capacity_Reservations!D46</f>
        <v/>
      </c>
      <c r="E46" s="32">
        <f>Capacity_Reservations!E46</f>
        <v/>
      </c>
      <c r="F46" s="33">
        <f>Capacity_Reservations!F46</f>
        <v/>
      </c>
      <c r="G46" s="47">
        <f>Capacity_Reservations!I46</f>
        <v/>
      </c>
      <c r="H46" s="47">
        <f>Capacity_Reservations!J46</f>
        <v/>
      </c>
      <c r="I46" s="47">
        <f>Capacity_Reservations!K46</f>
        <v/>
      </c>
      <c r="J46" s="47">
        <f>Capacity_Reservations!L46</f>
        <v/>
      </c>
      <c r="K46" s="24">
        <f>IF(Allocation!$C$14&lt;&gt;1,0,IF(D46="Prod",IF(B46=Allocation!$C$9,SUMIF(Request!$A$13:$A$20,E46,Request!$D$13:$D$20),0),IF(D46="NonProd",IF(B46=Allocation!$C$10,SUMIF(Request!$A$13:$A$20,E46,Request!$D$13:$D$20),0),IF(AND(D46="DR",B46=Allocation!$C$11),ROUND(SUMIF(Request!$A$13:$A$20,E46,Request!$D$13:$D$20)*Policy!$B$15,0),0))))</f>
        <v/>
      </c>
      <c r="L46" s="24">
        <f>G46+K46</f>
        <v/>
      </c>
      <c r="M46" s="24">
        <f>MAX(0,J46-K46)</f>
        <v/>
      </c>
      <c r="N46" s="24">
        <f>MAX(0,K46-J46)</f>
        <v/>
      </c>
      <c r="O46" s="24">
        <f>L46+H46</f>
        <v/>
      </c>
      <c r="P46" s="25">
        <f>IF(K46=0,"",IF(N46&gt;0,"Request exceeded free cores","Placed"))</f>
        <v/>
      </c>
    </row>
    <row r="47">
      <c r="A47" s="32">
        <f>Capacity_Reservations!A47</f>
        <v/>
      </c>
      <c r="B47" s="32">
        <f>Capacity_Reservations!B47</f>
        <v/>
      </c>
      <c r="C47" s="33">
        <f>Capacity_Reservations!C47</f>
        <v/>
      </c>
      <c r="D47" s="33">
        <f>Capacity_Reservations!D47</f>
        <v/>
      </c>
      <c r="E47" s="32">
        <f>Capacity_Reservations!E47</f>
        <v/>
      </c>
      <c r="F47" s="33">
        <f>Capacity_Reservations!F47</f>
        <v/>
      </c>
      <c r="G47" s="47">
        <f>Capacity_Reservations!I47</f>
        <v/>
      </c>
      <c r="H47" s="47">
        <f>Capacity_Reservations!J47</f>
        <v/>
      </c>
      <c r="I47" s="47">
        <f>Capacity_Reservations!K47</f>
        <v/>
      </c>
      <c r="J47" s="47">
        <f>Capacity_Reservations!L47</f>
        <v/>
      </c>
      <c r="K47" s="24">
        <f>IF(Allocation!$C$14&lt;&gt;1,0,IF(D47="Prod",IF(B47=Allocation!$C$9,SUMIF(Request!$A$13:$A$20,E47,Request!$D$13:$D$20),0),IF(D47="NonProd",IF(B47=Allocation!$C$10,SUMIF(Request!$A$13:$A$20,E47,Request!$D$13:$D$20),0),IF(AND(D47="DR",B47=Allocation!$C$11),ROUND(SUMIF(Request!$A$13:$A$20,E47,Request!$D$13:$D$20)*Policy!$B$15,0),0))))</f>
        <v/>
      </c>
      <c r="L47" s="24">
        <f>G47+K47</f>
        <v/>
      </c>
      <c r="M47" s="24">
        <f>MAX(0,J47-K47)</f>
        <v/>
      </c>
      <c r="N47" s="24">
        <f>MAX(0,K47-J47)</f>
        <v/>
      </c>
      <c r="O47" s="24">
        <f>L47+H47</f>
        <v/>
      </c>
      <c r="P47" s="25">
        <f>IF(K47=0,"",IF(N47&gt;0,"Request exceeded free cores","Placed"))</f>
        <v/>
      </c>
    </row>
    <row r="48">
      <c r="A48" s="32">
        <f>Capacity_Reservations!A48</f>
        <v/>
      </c>
      <c r="B48" s="32">
        <f>Capacity_Reservations!B48</f>
        <v/>
      </c>
      <c r="C48" s="33">
        <f>Capacity_Reservations!C48</f>
        <v/>
      </c>
      <c r="D48" s="33">
        <f>Capacity_Reservations!D48</f>
        <v/>
      </c>
      <c r="E48" s="32">
        <f>Capacity_Reservations!E48</f>
        <v/>
      </c>
      <c r="F48" s="33">
        <f>Capacity_Reservations!F48</f>
        <v/>
      </c>
      <c r="G48" s="47">
        <f>Capacity_Reservations!I48</f>
        <v/>
      </c>
      <c r="H48" s="47">
        <f>Capacity_Reservations!J48</f>
        <v/>
      </c>
      <c r="I48" s="47">
        <f>Capacity_Reservations!K48</f>
        <v/>
      </c>
      <c r="J48" s="47">
        <f>Capacity_Reservations!L48</f>
        <v/>
      </c>
      <c r="K48" s="24">
        <f>IF(Allocation!$C$14&lt;&gt;1,0,IF(D48="Prod",IF(B48=Allocation!$C$9,SUMIF(Request!$A$13:$A$20,E48,Request!$D$13:$D$20),0),IF(D48="NonProd",IF(B48=Allocation!$C$10,SUMIF(Request!$A$13:$A$20,E48,Request!$D$13:$D$20),0),IF(AND(D48="DR",B48=Allocation!$C$11),ROUND(SUMIF(Request!$A$13:$A$20,E48,Request!$D$13:$D$20)*Policy!$B$15,0),0))))</f>
        <v/>
      </c>
      <c r="L48" s="24">
        <f>G48+K48</f>
        <v/>
      </c>
      <c r="M48" s="24">
        <f>MAX(0,J48-K48)</f>
        <v/>
      </c>
      <c r="N48" s="24">
        <f>MAX(0,K48-J48)</f>
        <v/>
      </c>
      <c r="O48" s="24">
        <f>L48+H48</f>
        <v/>
      </c>
      <c r="P48" s="25">
        <f>IF(K48=0,"",IF(N48&gt;0,"Request exceeded free cores","Placed"))</f>
        <v/>
      </c>
    </row>
    <row r="49">
      <c r="A49" s="32">
        <f>Capacity_Reservations!A49</f>
        <v/>
      </c>
      <c r="B49" s="32">
        <f>Capacity_Reservations!B49</f>
        <v/>
      </c>
      <c r="C49" s="33">
        <f>Capacity_Reservations!C49</f>
        <v/>
      </c>
      <c r="D49" s="33">
        <f>Capacity_Reservations!D49</f>
        <v/>
      </c>
      <c r="E49" s="32">
        <f>Capacity_Reservations!E49</f>
        <v/>
      </c>
      <c r="F49" s="33">
        <f>Capacity_Reservations!F49</f>
        <v/>
      </c>
      <c r="G49" s="47">
        <f>Capacity_Reservations!I49</f>
        <v/>
      </c>
      <c r="H49" s="47">
        <f>Capacity_Reservations!J49</f>
        <v/>
      </c>
      <c r="I49" s="47">
        <f>Capacity_Reservations!K49</f>
        <v/>
      </c>
      <c r="J49" s="47">
        <f>Capacity_Reservations!L49</f>
        <v/>
      </c>
      <c r="K49" s="24">
        <f>IF(Allocation!$C$14&lt;&gt;1,0,IF(D49="Prod",IF(B49=Allocation!$C$9,SUMIF(Request!$A$13:$A$20,E49,Request!$D$13:$D$20),0),IF(D49="NonProd",IF(B49=Allocation!$C$10,SUMIF(Request!$A$13:$A$20,E49,Request!$D$13:$D$20),0),IF(AND(D49="DR",B49=Allocation!$C$11),ROUND(SUMIF(Request!$A$13:$A$20,E49,Request!$D$13:$D$20)*Policy!$B$15,0),0))))</f>
        <v/>
      </c>
      <c r="L49" s="24">
        <f>G49+K49</f>
        <v/>
      </c>
      <c r="M49" s="24">
        <f>MAX(0,J49-K49)</f>
        <v/>
      </c>
      <c r="N49" s="24">
        <f>MAX(0,K49-J49)</f>
        <v/>
      </c>
      <c r="O49" s="24">
        <f>L49+H49</f>
        <v/>
      </c>
      <c r="P49" s="25">
        <f>IF(K49=0,"",IF(N49&gt;0,"Request exceeded free cores","Placed"))</f>
        <v/>
      </c>
    </row>
    <row r="50">
      <c r="A50" s="32">
        <f>Capacity_Reservations!A50</f>
        <v/>
      </c>
      <c r="B50" s="32">
        <f>Capacity_Reservations!B50</f>
        <v/>
      </c>
      <c r="C50" s="33">
        <f>Capacity_Reservations!C50</f>
        <v/>
      </c>
      <c r="D50" s="33">
        <f>Capacity_Reservations!D50</f>
        <v/>
      </c>
      <c r="E50" s="32">
        <f>Capacity_Reservations!E50</f>
        <v/>
      </c>
      <c r="F50" s="33">
        <f>Capacity_Reservations!F50</f>
        <v/>
      </c>
      <c r="G50" s="47">
        <f>Capacity_Reservations!I50</f>
        <v/>
      </c>
      <c r="H50" s="47">
        <f>Capacity_Reservations!J50</f>
        <v/>
      </c>
      <c r="I50" s="47">
        <f>Capacity_Reservations!K50</f>
        <v/>
      </c>
      <c r="J50" s="47">
        <f>Capacity_Reservations!L50</f>
        <v/>
      </c>
      <c r="K50" s="24">
        <f>IF(Allocation!$C$14&lt;&gt;1,0,IF(D50="Prod",IF(B50=Allocation!$C$9,SUMIF(Request!$A$13:$A$20,E50,Request!$D$13:$D$20),0),IF(D50="NonProd",IF(B50=Allocation!$C$10,SUMIF(Request!$A$13:$A$20,E50,Request!$D$13:$D$20),0),IF(AND(D50="DR",B50=Allocation!$C$11),ROUND(SUMIF(Request!$A$13:$A$20,E50,Request!$D$13:$D$20)*Policy!$B$15,0),0))))</f>
        <v/>
      </c>
      <c r="L50" s="24">
        <f>G50+K50</f>
        <v/>
      </c>
      <c r="M50" s="24">
        <f>MAX(0,J50-K50)</f>
        <v/>
      </c>
      <c r="N50" s="24">
        <f>MAX(0,K50-J50)</f>
        <v/>
      </c>
      <c r="O50" s="24">
        <f>L50+H50</f>
        <v/>
      </c>
      <c r="P50" s="25">
        <f>IF(K50=0,"",IF(N50&gt;0,"Request exceeded free cores","Placed"))</f>
        <v/>
      </c>
    </row>
    <row r="51">
      <c r="A51" s="32">
        <f>Capacity_Reservations!A51</f>
        <v/>
      </c>
      <c r="B51" s="32">
        <f>Capacity_Reservations!B51</f>
        <v/>
      </c>
      <c r="C51" s="33">
        <f>Capacity_Reservations!C51</f>
        <v/>
      </c>
      <c r="D51" s="33">
        <f>Capacity_Reservations!D51</f>
        <v/>
      </c>
      <c r="E51" s="32">
        <f>Capacity_Reservations!E51</f>
        <v/>
      </c>
      <c r="F51" s="33">
        <f>Capacity_Reservations!F51</f>
        <v/>
      </c>
      <c r="G51" s="47">
        <f>Capacity_Reservations!I51</f>
        <v/>
      </c>
      <c r="H51" s="47">
        <f>Capacity_Reservations!J51</f>
        <v/>
      </c>
      <c r="I51" s="47">
        <f>Capacity_Reservations!K51</f>
        <v/>
      </c>
      <c r="J51" s="47">
        <f>Capacity_Reservations!L51</f>
        <v/>
      </c>
      <c r="K51" s="24">
        <f>IF(Allocation!$C$14&lt;&gt;1,0,IF(D51="Prod",IF(B51=Allocation!$C$9,SUMIF(Request!$A$13:$A$20,E51,Request!$D$13:$D$20),0),IF(D51="NonProd",IF(B51=Allocation!$C$10,SUMIF(Request!$A$13:$A$20,E51,Request!$D$13:$D$20),0),IF(AND(D51="DR",B51=Allocation!$C$11),ROUND(SUMIF(Request!$A$13:$A$20,E51,Request!$D$13:$D$20)*Policy!$B$15,0),0))))</f>
        <v/>
      </c>
      <c r="L51" s="24">
        <f>G51+K51</f>
        <v/>
      </c>
      <c r="M51" s="24">
        <f>MAX(0,J51-K51)</f>
        <v/>
      </c>
      <c r="N51" s="24">
        <f>MAX(0,K51-J51)</f>
        <v/>
      </c>
      <c r="O51" s="24">
        <f>L51+H51</f>
        <v/>
      </c>
      <c r="P51" s="25">
        <f>IF(K51=0,"",IF(N51&gt;0,"Request exceeded free cores","Placed"))</f>
        <v/>
      </c>
    </row>
    <row r="52">
      <c r="A52" s="32">
        <f>Capacity_Reservations!A52</f>
        <v/>
      </c>
      <c r="B52" s="32">
        <f>Capacity_Reservations!B52</f>
        <v/>
      </c>
      <c r="C52" s="33">
        <f>Capacity_Reservations!C52</f>
        <v/>
      </c>
      <c r="D52" s="33">
        <f>Capacity_Reservations!D52</f>
        <v/>
      </c>
      <c r="E52" s="32">
        <f>Capacity_Reservations!E52</f>
        <v/>
      </c>
      <c r="F52" s="33">
        <f>Capacity_Reservations!F52</f>
        <v/>
      </c>
      <c r="G52" s="47">
        <f>Capacity_Reservations!I52</f>
        <v/>
      </c>
      <c r="H52" s="47">
        <f>Capacity_Reservations!J52</f>
        <v/>
      </c>
      <c r="I52" s="47">
        <f>Capacity_Reservations!K52</f>
        <v/>
      </c>
      <c r="J52" s="47">
        <f>Capacity_Reservations!L52</f>
        <v/>
      </c>
      <c r="K52" s="24">
        <f>IF(Allocation!$C$14&lt;&gt;1,0,IF(D52="Prod",IF(B52=Allocation!$C$9,SUMIF(Request!$A$13:$A$20,E52,Request!$D$13:$D$20),0),IF(D52="NonProd",IF(B52=Allocation!$C$10,SUMIF(Request!$A$13:$A$20,E52,Request!$D$13:$D$20),0),IF(AND(D52="DR",B52=Allocation!$C$11),ROUND(SUMIF(Request!$A$13:$A$20,E52,Request!$D$13:$D$20)*Policy!$B$15,0),0))))</f>
        <v/>
      </c>
      <c r="L52" s="24">
        <f>G52+K52</f>
        <v/>
      </c>
      <c r="M52" s="24">
        <f>MAX(0,J52-K52)</f>
        <v/>
      </c>
      <c r="N52" s="24">
        <f>MAX(0,K52-J52)</f>
        <v/>
      </c>
      <c r="O52" s="24">
        <f>L52+H52</f>
        <v/>
      </c>
      <c r="P52" s="25">
        <f>IF(K52=0,"",IF(N52&gt;0,"Request exceeded free cores","Placed"))</f>
        <v/>
      </c>
    </row>
    <row r="53">
      <c r="A53" s="32">
        <f>Capacity_Reservations!A53</f>
        <v/>
      </c>
      <c r="B53" s="32">
        <f>Capacity_Reservations!B53</f>
        <v/>
      </c>
      <c r="C53" s="33">
        <f>Capacity_Reservations!C53</f>
        <v/>
      </c>
      <c r="D53" s="33">
        <f>Capacity_Reservations!D53</f>
        <v/>
      </c>
      <c r="E53" s="32">
        <f>Capacity_Reservations!E53</f>
        <v/>
      </c>
      <c r="F53" s="33">
        <f>Capacity_Reservations!F53</f>
        <v/>
      </c>
      <c r="G53" s="47">
        <f>Capacity_Reservations!I53</f>
        <v/>
      </c>
      <c r="H53" s="47">
        <f>Capacity_Reservations!J53</f>
        <v/>
      </c>
      <c r="I53" s="47">
        <f>Capacity_Reservations!K53</f>
        <v/>
      </c>
      <c r="J53" s="47">
        <f>Capacity_Reservations!L53</f>
        <v/>
      </c>
      <c r="K53" s="24">
        <f>IF(Allocation!$C$14&lt;&gt;1,0,IF(D53="Prod",IF(B53=Allocation!$C$9,SUMIF(Request!$A$13:$A$20,E53,Request!$D$13:$D$20),0),IF(D53="NonProd",IF(B53=Allocation!$C$10,SUMIF(Request!$A$13:$A$20,E53,Request!$D$13:$D$20),0),IF(AND(D53="DR",B53=Allocation!$C$11),ROUND(SUMIF(Request!$A$13:$A$20,E53,Request!$D$13:$D$20)*Policy!$B$15,0),0))))</f>
        <v/>
      </c>
      <c r="L53" s="24">
        <f>G53+K53</f>
        <v/>
      </c>
      <c r="M53" s="24">
        <f>MAX(0,J53-K53)</f>
        <v/>
      </c>
      <c r="N53" s="24">
        <f>MAX(0,K53-J53)</f>
        <v/>
      </c>
      <c r="O53" s="24">
        <f>L53+H53</f>
        <v/>
      </c>
      <c r="P53" s="25">
        <f>IF(K53=0,"",IF(N53&gt;0,"Request exceeded free cores","Placed"))</f>
        <v/>
      </c>
    </row>
    <row r="54">
      <c r="A54" s="32">
        <f>Capacity_Reservations!A54</f>
        <v/>
      </c>
      <c r="B54" s="32">
        <f>Capacity_Reservations!B54</f>
        <v/>
      </c>
      <c r="C54" s="33">
        <f>Capacity_Reservations!C54</f>
        <v/>
      </c>
      <c r="D54" s="33">
        <f>Capacity_Reservations!D54</f>
        <v/>
      </c>
      <c r="E54" s="32">
        <f>Capacity_Reservations!E54</f>
        <v/>
      </c>
      <c r="F54" s="33">
        <f>Capacity_Reservations!F54</f>
        <v/>
      </c>
      <c r="G54" s="47">
        <f>Capacity_Reservations!I54</f>
        <v/>
      </c>
      <c r="H54" s="47">
        <f>Capacity_Reservations!J54</f>
        <v/>
      </c>
      <c r="I54" s="47">
        <f>Capacity_Reservations!K54</f>
        <v/>
      </c>
      <c r="J54" s="47">
        <f>Capacity_Reservations!L54</f>
        <v/>
      </c>
      <c r="K54" s="24">
        <f>IF(Allocation!$C$14&lt;&gt;1,0,IF(D54="Prod",IF(B54=Allocation!$C$9,SUMIF(Request!$A$13:$A$20,E54,Request!$D$13:$D$20),0),IF(D54="NonProd",IF(B54=Allocation!$C$10,SUMIF(Request!$A$13:$A$20,E54,Request!$D$13:$D$20),0),IF(AND(D54="DR",B54=Allocation!$C$11),ROUND(SUMIF(Request!$A$13:$A$20,E54,Request!$D$13:$D$20)*Policy!$B$15,0),0))))</f>
        <v/>
      </c>
      <c r="L54" s="24">
        <f>G54+K54</f>
        <v/>
      </c>
      <c r="M54" s="24">
        <f>MAX(0,J54-K54)</f>
        <v/>
      </c>
      <c r="N54" s="24">
        <f>MAX(0,K54-J54)</f>
        <v/>
      </c>
      <c r="O54" s="24">
        <f>L54+H54</f>
        <v/>
      </c>
      <c r="P54" s="25">
        <f>IF(K54=0,"",IF(N54&gt;0,"Request exceeded free cores","Placed"))</f>
        <v/>
      </c>
    </row>
    <row r="55">
      <c r="A55" s="32">
        <f>Capacity_Reservations!A55</f>
        <v/>
      </c>
      <c r="B55" s="32">
        <f>Capacity_Reservations!B55</f>
        <v/>
      </c>
      <c r="C55" s="33">
        <f>Capacity_Reservations!C55</f>
        <v/>
      </c>
      <c r="D55" s="33">
        <f>Capacity_Reservations!D55</f>
        <v/>
      </c>
      <c r="E55" s="32">
        <f>Capacity_Reservations!E55</f>
        <v/>
      </c>
      <c r="F55" s="33">
        <f>Capacity_Reservations!F55</f>
        <v/>
      </c>
      <c r="G55" s="47">
        <f>Capacity_Reservations!I55</f>
        <v/>
      </c>
      <c r="H55" s="47">
        <f>Capacity_Reservations!J55</f>
        <v/>
      </c>
      <c r="I55" s="47">
        <f>Capacity_Reservations!K55</f>
        <v/>
      </c>
      <c r="J55" s="47">
        <f>Capacity_Reservations!L55</f>
        <v/>
      </c>
      <c r="K55" s="24">
        <f>IF(Allocation!$C$14&lt;&gt;1,0,IF(D55="Prod",IF(B55=Allocation!$C$9,SUMIF(Request!$A$13:$A$20,E55,Request!$D$13:$D$20),0),IF(D55="NonProd",IF(B55=Allocation!$C$10,SUMIF(Request!$A$13:$A$20,E55,Request!$D$13:$D$20),0),IF(AND(D55="DR",B55=Allocation!$C$11),ROUND(SUMIF(Request!$A$13:$A$20,E55,Request!$D$13:$D$20)*Policy!$B$15,0),0))))</f>
        <v/>
      </c>
      <c r="L55" s="24">
        <f>G55+K55</f>
        <v/>
      </c>
      <c r="M55" s="24">
        <f>MAX(0,J55-K55)</f>
        <v/>
      </c>
      <c r="N55" s="24">
        <f>MAX(0,K55-J55)</f>
        <v/>
      </c>
      <c r="O55" s="24">
        <f>L55+H55</f>
        <v/>
      </c>
      <c r="P55" s="25">
        <f>IF(K55=0,"",IF(N55&gt;0,"Request exceeded free cores","Placed"))</f>
        <v/>
      </c>
    </row>
    <row r="56">
      <c r="A56" s="32">
        <f>Capacity_Reservations!A56</f>
        <v/>
      </c>
      <c r="B56" s="32">
        <f>Capacity_Reservations!B56</f>
        <v/>
      </c>
      <c r="C56" s="33">
        <f>Capacity_Reservations!C56</f>
        <v/>
      </c>
      <c r="D56" s="33">
        <f>Capacity_Reservations!D56</f>
        <v/>
      </c>
      <c r="E56" s="32">
        <f>Capacity_Reservations!E56</f>
        <v/>
      </c>
      <c r="F56" s="33">
        <f>Capacity_Reservations!F56</f>
        <v/>
      </c>
      <c r="G56" s="47">
        <f>Capacity_Reservations!I56</f>
        <v/>
      </c>
      <c r="H56" s="47">
        <f>Capacity_Reservations!J56</f>
        <v/>
      </c>
      <c r="I56" s="47">
        <f>Capacity_Reservations!K56</f>
        <v/>
      </c>
      <c r="J56" s="47">
        <f>Capacity_Reservations!L56</f>
        <v/>
      </c>
      <c r="K56" s="24">
        <f>IF(Allocation!$C$14&lt;&gt;1,0,IF(D56="Prod",IF(B56=Allocation!$C$9,SUMIF(Request!$A$13:$A$20,E56,Request!$D$13:$D$20),0),IF(D56="NonProd",IF(B56=Allocation!$C$10,SUMIF(Request!$A$13:$A$20,E56,Request!$D$13:$D$20),0),IF(AND(D56="DR",B56=Allocation!$C$11),ROUND(SUMIF(Request!$A$13:$A$20,E56,Request!$D$13:$D$20)*Policy!$B$15,0),0))))</f>
        <v/>
      </c>
      <c r="L56" s="24">
        <f>G56+K56</f>
        <v/>
      </c>
      <c r="M56" s="24">
        <f>MAX(0,J56-K56)</f>
        <v/>
      </c>
      <c r="N56" s="24">
        <f>MAX(0,K56-J56)</f>
        <v/>
      </c>
      <c r="O56" s="24">
        <f>L56+H56</f>
        <v/>
      </c>
      <c r="P56" s="25">
        <f>IF(K56=0,"",IF(N56&gt;0,"Request exceeded free cores","Placed"))</f>
        <v/>
      </c>
    </row>
    <row r="57">
      <c r="A57" s="32">
        <f>Capacity_Reservations!A57</f>
        <v/>
      </c>
      <c r="B57" s="32">
        <f>Capacity_Reservations!B57</f>
        <v/>
      </c>
      <c r="C57" s="33">
        <f>Capacity_Reservations!C57</f>
        <v/>
      </c>
      <c r="D57" s="33">
        <f>Capacity_Reservations!D57</f>
        <v/>
      </c>
      <c r="E57" s="32">
        <f>Capacity_Reservations!E57</f>
        <v/>
      </c>
      <c r="F57" s="33">
        <f>Capacity_Reservations!F57</f>
        <v/>
      </c>
      <c r="G57" s="47">
        <f>Capacity_Reservations!I57</f>
        <v/>
      </c>
      <c r="H57" s="47">
        <f>Capacity_Reservations!J57</f>
        <v/>
      </c>
      <c r="I57" s="47">
        <f>Capacity_Reservations!K57</f>
        <v/>
      </c>
      <c r="J57" s="47">
        <f>Capacity_Reservations!L57</f>
        <v/>
      </c>
      <c r="K57" s="24">
        <f>IF(Allocation!$C$14&lt;&gt;1,0,IF(D57="Prod",IF(B57=Allocation!$C$9,SUMIF(Request!$A$13:$A$20,E57,Request!$D$13:$D$20),0),IF(D57="NonProd",IF(B57=Allocation!$C$10,SUMIF(Request!$A$13:$A$20,E57,Request!$D$13:$D$20),0),IF(AND(D57="DR",B57=Allocation!$C$11),ROUND(SUMIF(Request!$A$13:$A$20,E57,Request!$D$13:$D$20)*Policy!$B$15,0),0))))</f>
        <v/>
      </c>
      <c r="L57" s="24">
        <f>G57+K57</f>
        <v/>
      </c>
      <c r="M57" s="24">
        <f>MAX(0,J57-K57)</f>
        <v/>
      </c>
      <c r="N57" s="24">
        <f>MAX(0,K57-J57)</f>
        <v/>
      </c>
      <c r="O57" s="24">
        <f>L57+H57</f>
        <v/>
      </c>
      <c r="P57" s="25">
        <f>IF(K57=0,"",IF(N57&gt;0,"Request exceeded free cores","Placed"))</f>
        <v/>
      </c>
    </row>
    <row r="58">
      <c r="A58" s="32">
        <f>Capacity_Reservations!A58</f>
        <v/>
      </c>
      <c r="B58" s="32">
        <f>Capacity_Reservations!B58</f>
        <v/>
      </c>
      <c r="C58" s="33">
        <f>Capacity_Reservations!C58</f>
        <v/>
      </c>
      <c r="D58" s="33">
        <f>Capacity_Reservations!D58</f>
        <v/>
      </c>
      <c r="E58" s="32">
        <f>Capacity_Reservations!E58</f>
        <v/>
      </c>
      <c r="F58" s="33">
        <f>Capacity_Reservations!F58</f>
        <v/>
      </c>
      <c r="G58" s="47">
        <f>Capacity_Reservations!I58</f>
        <v/>
      </c>
      <c r="H58" s="47">
        <f>Capacity_Reservations!J58</f>
        <v/>
      </c>
      <c r="I58" s="47">
        <f>Capacity_Reservations!K58</f>
        <v/>
      </c>
      <c r="J58" s="47">
        <f>Capacity_Reservations!L58</f>
        <v/>
      </c>
      <c r="K58" s="24">
        <f>IF(Allocation!$C$14&lt;&gt;1,0,IF(D58="Prod",IF(B58=Allocation!$C$9,SUMIF(Request!$A$13:$A$20,E58,Request!$D$13:$D$20),0),IF(D58="NonProd",IF(B58=Allocation!$C$10,SUMIF(Request!$A$13:$A$20,E58,Request!$D$13:$D$20),0),IF(AND(D58="DR",B58=Allocation!$C$11),ROUND(SUMIF(Request!$A$13:$A$20,E58,Request!$D$13:$D$20)*Policy!$B$15,0),0))))</f>
        <v/>
      </c>
      <c r="L58" s="24">
        <f>G58+K58</f>
        <v/>
      </c>
      <c r="M58" s="24">
        <f>MAX(0,J58-K58)</f>
        <v/>
      </c>
      <c r="N58" s="24">
        <f>MAX(0,K58-J58)</f>
        <v/>
      </c>
      <c r="O58" s="24">
        <f>L58+H58</f>
        <v/>
      </c>
      <c r="P58" s="25">
        <f>IF(K58=0,"",IF(N58&gt;0,"Request exceeded free cores","Placed"))</f>
        <v/>
      </c>
    </row>
    <row r="59">
      <c r="A59" s="32">
        <f>Capacity_Reservations!A59</f>
        <v/>
      </c>
      <c r="B59" s="32">
        <f>Capacity_Reservations!B59</f>
        <v/>
      </c>
      <c r="C59" s="33">
        <f>Capacity_Reservations!C59</f>
        <v/>
      </c>
      <c r="D59" s="33">
        <f>Capacity_Reservations!D59</f>
        <v/>
      </c>
      <c r="E59" s="32">
        <f>Capacity_Reservations!E59</f>
        <v/>
      </c>
      <c r="F59" s="33">
        <f>Capacity_Reservations!F59</f>
        <v/>
      </c>
      <c r="G59" s="47">
        <f>Capacity_Reservations!I59</f>
        <v/>
      </c>
      <c r="H59" s="47">
        <f>Capacity_Reservations!J59</f>
        <v/>
      </c>
      <c r="I59" s="47">
        <f>Capacity_Reservations!K59</f>
        <v/>
      </c>
      <c r="J59" s="47">
        <f>Capacity_Reservations!L59</f>
        <v/>
      </c>
      <c r="K59" s="24">
        <f>IF(Allocation!$C$14&lt;&gt;1,0,IF(D59="Prod",IF(B59=Allocation!$C$9,SUMIF(Request!$A$13:$A$20,E59,Request!$D$13:$D$20),0),IF(D59="NonProd",IF(B59=Allocation!$C$10,SUMIF(Request!$A$13:$A$20,E59,Request!$D$13:$D$20),0),IF(AND(D59="DR",B59=Allocation!$C$11),ROUND(SUMIF(Request!$A$13:$A$20,E59,Request!$D$13:$D$20)*Policy!$B$15,0),0))))</f>
        <v/>
      </c>
      <c r="L59" s="24">
        <f>G59+K59</f>
        <v/>
      </c>
      <c r="M59" s="24">
        <f>MAX(0,J59-K59)</f>
        <v/>
      </c>
      <c r="N59" s="24">
        <f>MAX(0,K59-J59)</f>
        <v/>
      </c>
      <c r="O59" s="24">
        <f>L59+H59</f>
        <v/>
      </c>
      <c r="P59" s="25">
        <f>IF(K59=0,"",IF(N59&gt;0,"Request exceeded free cores","Placed"))</f>
        <v/>
      </c>
    </row>
    <row r="60">
      <c r="A60" s="32">
        <f>Capacity_Reservations!A60</f>
        <v/>
      </c>
      <c r="B60" s="32">
        <f>Capacity_Reservations!B60</f>
        <v/>
      </c>
      <c r="C60" s="33">
        <f>Capacity_Reservations!C60</f>
        <v/>
      </c>
      <c r="D60" s="33">
        <f>Capacity_Reservations!D60</f>
        <v/>
      </c>
      <c r="E60" s="32">
        <f>Capacity_Reservations!E60</f>
        <v/>
      </c>
      <c r="F60" s="33">
        <f>Capacity_Reservations!F60</f>
        <v/>
      </c>
      <c r="G60" s="47">
        <f>Capacity_Reservations!I60</f>
        <v/>
      </c>
      <c r="H60" s="47">
        <f>Capacity_Reservations!J60</f>
        <v/>
      </c>
      <c r="I60" s="47">
        <f>Capacity_Reservations!K60</f>
        <v/>
      </c>
      <c r="J60" s="47">
        <f>Capacity_Reservations!L60</f>
        <v/>
      </c>
      <c r="K60" s="24">
        <f>IF(Allocation!$C$14&lt;&gt;1,0,IF(D60="Prod",IF(B60=Allocation!$C$9,SUMIF(Request!$A$13:$A$20,E60,Request!$D$13:$D$20),0),IF(D60="NonProd",IF(B60=Allocation!$C$10,SUMIF(Request!$A$13:$A$20,E60,Request!$D$13:$D$20),0),IF(AND(D60="DR",B60=Allocation!$C$11),ROUND(SUMIF(Request!$A$13:$A$20,E60,Request!$D$13:$D$20)*Policy!$B$15,0),0))))</f>
        <v/>
      </c>
      <c r="L60" s="24">
        <f>G60+K60</f>
        <v/>
      </c>
      <c r="M60" s="24">
        <f>MAX(0,J60-K60)</f>
        <v/>
      </c>
      <c r="N60" s="24">
        <f>MAX(0,K60-J60)</f>
        <v/>
      </c>
      <c r="O60" s="24">
        <f>L60+H60</f>
        <v/>
      </c>
      <c r="P60" s="25">
        <f>IF(K60=0,"",IF(N60&gt;0,"Request exceeded free cores","Placed"))</f>
        <v/>
      </c>
    </row>
    <row r="61">
      <c r="A61" s="32">
        <f>Capacity_Reservations!A61</f>
        <v/>
      </c>
      <c r="B61" s="32">
        <f>Capacity_Reservations!B61</f>
        <v/>
      </c>
      <c r="C61" s="33">
        <f>Capacity_Reservations!C61</f>
        <v/>
      </c>
      <c r="D61" s="33">
        <f>Capacity_Reservations!D61</f>
        <v/>
      </c>
      <c r="E61" s="32">
        <f>Capacity_Reservations!E61</f>
        <v/>
      </c>
      <c r="F61" s="33">
        <f>Capacity_Reservations!F61</f>
        <v/>
      </c>
      <c r="G61" s="47">
        <f>Capacity_Reservations!I61</f>
        <v/>
      </c>
      <c r="H61" s="47">
        <f>Capacity_Reservations!J61</f>
        <v/>
      </c>
      <c r="I61" s="47">
        <f>Capacity_Reservations!K61</f>
        <v/>
      </c>
      <c r="J61" s="47">
        <f>Capacity_Reservations!L61</f>
        <v/>
      </c>
      <c r="K61" s="24">
        <f>IF(Allocation!$C$14&lt;&gt;1,0,IF(D61="Prod",IF(B61=Allocation!$C$9,SUMIF(Request!$A$13:$A$20,E61,Request!$D$13:$D$20),0),IF(D61="NonProd",IF(B61=Allocation!$C$10,SUMIF(Request!$A$13:$A$20,E61,Request!$D$13:$D$20),0),IF(AND(D61="DR",B61=Allocation!$C$11),ROUND(SUMIF(Request!$A$13:$A$20,E61,Request!$D$13:$D$20)*Policy!$B$15,0),0))))</f>
        <v/>
      </c>
      <c r="L61" s="24">
        <f>G61+K61</f>
        <v/>
      </c>
      <c r="M61" s="24">
        <f>MAX(0,J61-K61)</f>
        <v/>
      </c>
      <c r="N61" s="24">
        <f>MAX(0,K61-J61)</f>
        <v/>
      </c>
      <c r="O61" s="24">
        <f>L61+H61</f>
        <v/>
      </c>
      <c r="P61" s="25">
        <f>IF(K61=0,"",IF(N61&gt;0,"Request exceeded free cores","Placed"))</f>
        <v/>
      </c>
    </row>
    <row r="62">
      <c r="A62" s="32">
        <f>Capacity_Reservations!A62</f>
        <v/>
      </c>
      <c r="B62" s="32">
        <f>Capacity_Reservations!B62</f>
        <v/>
      </c>
      <c r="C62" s="33">
        <f>Capacity_Reservations!C62</f>
        <v/>
      </c>
      <c r="D62" s="33">
        <f>Capacity_Reservations!D62</f>
        <v/>
      </c>
      <c r="E62" s="32">
        <f>Capacity_Reservations!E62</f>
        <v/>
      </c>
      <c r="F62" s="33">
        <f>Capacity_Reservations!F62</f>
        <v/>
      </c>
      <c r="G62" s="47">
        <f>Capacity_Reservations!I62</f>
        <v/>
      </c>
      <c r="H62" s="47">
        <f>Capacity_Reservations!J62</f>
        <v/>
      </c>
      <c r="I62" s="47">
        <f>Capacity_Reservations!K62</f>
        <v/>
      </c>
      <c r="J62" s="47">
        <f>Capacity_Reservations!L62</f>
        <v/>
      </c>
      <c r="K62" s="24">
        <f>IF(Allocation!$C$14&lt;&gt;1,0,IF(D62="Prod",IF(B62=Allocation!$C$9,SUMIF(Request!$A$13:$A$20,E62,Request!$D$13:$D$20),0),IF(D62="NonProd",IF(B62=Allocation!$C$10,SUMIF(Request!$A$13:$A$20,E62,Request!$D$13:$D$20),0),IF(AND(D62="DR",B62=Allocation!$C$11),ROUND(SUMIF(Request!$A$13:$A$20,E62,Request!$D$13:$D$20)*Policy!$B$15,0),0))))</f>
        <v/>
      </c>
      <c r="L62" s="24">
        <f>G62+K62</f>
        <v/>
      </c>
      <c r="M62" s="24">
        <f>MAX(0,J62-K62)</f>
        <v/>
      </c>
      <c r="N62" s="24">
        <f>MAX(0,K62-J62)</f>
        <v/>
      </c>
      <c r="O62" s="24">
        <f>L62+H62</f>
        <v/>
      </c>
      <c r="P62" s="25">
        <f>IF(K62=0,"",IF(N62&gt;0,"Request exceeded free cores","Placed"))</f>
        <v/>
      </c>
    </row>
    <row r="63">
      <c r="A63" s="32">
        <f>Capacity_Reservations!A63</f>
        <v/>
      </c>
      <c r="B63" s="32">
        <f>Capacity_Reservations!B63</f>
        <v/>
      </c>
      <c r="C63" s="33">
        <f>Capacity_Reservations!C63</f>
        <v/>
      </c>
      <c r="D63" s="33">
        <f>Capacity_Reservations!D63</f>
        <v/>
      </c>
      <c r="E63" s="32">
        <f>Capacity_Reservations!E63</f>
        <v/>
      </c>
      <c r="F63" s="33">
        <f>Capacity_Reservations!F63</f>
        <v/>
      </c>
      <c r="G63" s="47">
        <f>Capacity_Reservations!I63</f>
        <v/>
      </c>
      <c r="H63" s="47">
        <f>Capacity_Reservations!J63</f>
        <v/>
      </c>
      <c r="I63" s="47">
        <f>Capacity_Reservations!K63</f>
        <v/>
      </c>
      <c r="J63" s="47">
        <f>Capacity_Reservations!L63</f>
        <v/>
      </c>
      <c r="K63" s="24">
        <f>IF(Allocation!$C$14&lt;&gt;1,0,IF(D63="Prod",IF(B63=Allocation!$C$9,SUMIF(Request!$A$13:$A$20,E63,Request!$D$13:$D$20),0),IF(D63="NonProd",IF(B63=Allocation!$C$10,SUMIF(Request!$A$13:$A$20,E63,Request!$D$13:$D$20),0),IF(AND(D63="DR",B63=Allocation!$C$11),ROUND(SUMIF(Request!$A$13:$A$20,E63,Request!$D$13:$D$20)*Policy!$B$15,0),0))))</f>
        <v/>
      </c>
      <c r="L63" s="24">
        <f>G63+K63</f>
        <v/>
      </c>
      <c r="M63" s="24">
        <f>MAX(0,J63-K63)</f>
        <v/>
      </c>
      <c r="N63" s="24">
        <f>MAX(0,K63-J63)</f>
        <v/>
      </c>
      <c r="O63" s="24">
        <f>L63+H63</f>
        <v/>
      </c>
      <c r="P63" s="25">
        <f>IF(K63=0,"",IF(N63&gt;0,"Request exceeded free cores","Placed"))</f>
        <v/>
      </c>
    </row>
    <row r="64">
      <c r="A64" s="32">
        <f>Capacity_Reservations!A64</f>
        <v/>
      </c>
      <c r="B64" s="32">
        <f>Capacity_Reservations!B64</f>
        <v/>
      </c>
      <c r="C64" s="33">
        <f>Capacity_Reservations!C64</f>
        <v/>
      </c>
      <c r="D64" s="33">
        <f>Capacity_Reservations!D64</f>
        <v/>
      </c>
      <c r="E64" s="32">
        <f>Capacity_Reservations!E64</f>
        <v/>
      </c>
      <c r="F64" s="33">
        <f>Capacity_Reservations!F64</f>
        <v/>
      </c>
      <c r="G64" s="47">
        <f>Capacity_Reservations!I64</f>
        <v/>
      </c>
      <c r="H64" s="47">
        <f>Capacity_Reservations!J64</f>
        <v/>
      </c>
      <c r="I64" s="47">
        <f>Capacity_Reservations!K64</f>
        <v/>
      </c>
      <c r="J64" s="47">
        <f>Capacity_Reservations!L64</f>
        <v/>
      </c>
      <c r="K64" s="24">
        <f>IF(Allocation!$C$14&lt;&gt;1,0,IF(D64="Prod",IF(B64=Allocation!$C$9,SUMIF(Request!$A$13:$A$20,E64,Request!$D$13:$D$20),0),IF(D64="NonProd",IF(B64=Allocation!$C$10,SUMIF(Request!$A$13:$A$20,E64,Request!$D$13:$D$20),0),IF(AND(D64="DR",B64=Allocation!$C$11),ROUND(SUMIF(Request!$A$13:$A$20,E64,Request!$D$13:$D$20)*Policy!$B$15,0),0))))</f>
        <v/>
      </c>
      <c r="L64" s="24">
        <f>G64+K64</f>
        <v/>
      </c>
      <c r="M64" s="24">
        <f>MAX(0,J64-K64)</f>
        <v/>
      </c>
      <c r="N64" s="24">
        <f>MAX(0,K64-J64)</f>
        <v/>
      </c>
      <c r="O64" s="24">
        <f>L64+H64</f>
        <v/>
      </c>
      <c r="P64" s="25">
        <f>IF(K64=0,"",IF(N64&gt;0,"Request exceeded free cores","Placed"))</f>
        <v/>
      </c>
    </row>
    <row r="65">
      <c r="A65" s="32">
        <f>Capacity_Reservations!A65</f>
        <v/>
      </c>
      <c r="B65" s="32">
        <f>Capacity_Reservations!B65</f>
        <v/>
      </c>
      <c r="C65" s="33">
        <f>Capacity_Reservations!C65</f>
        <v/>
      </c>
      <c r="D65" s="33">
        <f>Capacity_Reservations!D65</f>
        <v/>
      </c>
      <c r="E65" s="32">
        <f>Capacity_Reservations!E65</f>
        <v/>
      </c>
      <c r="F65" s="33">
        <f>Capacity_Reservations!F65</f>
        <v/>
      </c>
      <c r="G65" s="47">
        <f>Capacity_Reservations!I65</f>
        <v/>
      </c>
      <c r="H65" s="47">
        <f>Capacity_Reservations!J65</f>
        <v/>
      </c>
      <c r="I65" s="47">
        <f>Capacity_Reservations!K65</f>
        <v/>
      </c>
      <c r="J65" s="47">
        <f>Capacity_Reservations!L65</f>
        <v/>
      </c>
      <c r="K65" s="24">
        <f>IF(Allocation!$C$14&lt;&gt;1,0,IF(D65="Prod",IF(B65=Allocation!$C$9,SUMIF(Request!$A$13:$A$20,E65,Request!$D$13:$D$20),0),IF(D65="NonProd",IF(B65=Allocation!$C$10,SUMIF(Request!$A$13:$A$20,E65,Request!$D$13:$D$20),0),IF(AND(D65="DR",B65=Allocation!$C$11),ROUND(SUMIF(Request!$A$13:$A$20,E65,Request!$D$13:$D$20)*Policy!$B$15,0),0))))</f>
        <v/>
      </c>
      <c r="L65" s="24">
        <f>G65+K65</f>
        <v/>
      </c>
      <c r="M65" s="24">
        <f>MAX(0,J65-K65)</f>
        <v/>
      </c>
      <c r="N65" s="24">
        <f>MAX(0,K65-J65)</f>
        <v/>
      </c>
      <c r="O65" s="24">
        <f>L65+H65</f>
        <v/>
      </c>
      <c r="P65" s="25">
        <f>IF(K65=0,"",IF(N65&gt;0,"Request exceeded free cores","Placed"))</f>
        <v/>
      </c>
    </row>
    <row r="66">
      <c r="A66" s="32">
        <f>Capacity_Reservations!A66</f>
        <v/>
      </c>
      <c r="B66" s="32">
        <f>Capacity_Reservations!B66</f>
        <v/>
      </c>
      <c r="C66" s="33">
        <f>Capacity_Reservations!C66</f>
        <v/>
      </c>
      <c r="D66" s="33">
        <f>Capacity_Reservations!D66</f>
        <v/>
      </c>
      <c r="E66" s="32">
        <f>Capacity_Reservations!E66</f>
        <v/>
      </c>
      <c r="F66" s="33">
        <f>Capacity_Reservations!F66</f>
        <v/>
      </c>
      <c r="G66" s="47">
        <f>Capacity_Reservations!I66</f>
        <v/>
      </c>
      <c r="H66" s="47">
        <f>Capacity_Reservations!J66</f>
        <v/>
      </c>
      <c r="I66" s="47">
        <f>Capacity_Reservations!K66</f>
        <v/>
      </c>
      <c r="J66" s="47">
        <f>Capacity_Reservations!L66</f>
        <v/>
      </c>
      <c r="K66" s="24">
        <f>IF(Allocation!$C$14&lt;&gt;1,0,IF(D66="Prod",IF(B66=Allocation!$C$9,SUMIF(Request!$A$13:$A$20,E66,Request!$D$13:$D$20),0),IF(D66="NonProd",IF(B66=Allocation!$C$10,SUMIF(Request!$A$13:$A$20,E66,Request!$D$13:$D$20),0),IF(AND(D66="DR",B66=Allocation!$C$11),ROUND(SUMIF(Request!$A$13:$A$20,E66,Request!$D$13:$D$20)*Policy!$B$15,0),0))))</f>
        <v/>
      </c>
      <c r="L66" s="24">
        <f>G66+K66</f>
        <v/>
      </c>
      <c r="M66" s="24">
        <f>MAX(0,J66-K66)</f>
        <v/>
      </c>
      <c r="N66" s="24">
        <f>MAX(0,K66-J66)</f>
        <v/>
      </c>
      <c r="O66" s="24">
        <f>L66+H66</f>
        <v/>
      </c>
      <c r="P66" s="25">
        <f>IF(K66=0,"",IF(N66&gt;0,"Request exceeded free cores","Placed"))</f>
        <v/>
      </c>
    </row>
    <row r="67">
      <c r="A67" s="32">
        <f>Capacity_Reservations!A67</f>
        <v/>
      </c>
      <c r="B67" s="32">
        <f>Capacity_Reservations!B67</f>
        <v/>
      </c>
      <c r="C67" s="33">
        <f>Capacity_Reservations!C67</f>
        <v/>
      </c>
      <c r="D67" s="33">
        <f>Capacity_Reservations!D67</f>
        <v/>
      </c>
      <c r="E67" s="32">
        <f>Capacity_Reservations!E67</f>
        <v/>
      </c>
      <c r="F67" s="33">
        <f>Capacity_Reservations!F67</f>
        <v/>
      </c>
      <c r="G67" s="47">
        <f>Capacity_Reservations!I67</f>
        <v/>
      </c>
      <c r="H67" s="47">
        <f>Capacity_Reservations!J67</f>
        <v/>
      </c>
      <c r="I67" s="47">
        <f>Capacity_Reservations!K67</f>
        <v/>
      </c>
      <c r="J67" s="47">
        <f>Capacity_Reservations!L67</f>
        <v/>
      </c>
      <c r="K67" s="24">
        <f>IF(Allocation!$C$14&lt;&gt;1,0,IF(D67="Prod",IF(B67=Allocation!$C$9,SUMIF(Request!$A$13:$A$20,E67,Request!$D$13:$D$20),0),IF(D67="NonProd",IF(B67=Allocation!$C$10,SUMIF(Request!$A$13:$A$20,E67,Request!$D$13:$D$20),0),IF(AND(D67="DR",B67=Allocation!$C$11),ROUND(SUMIF(Request!$A$13:$A$20,E67,Request!$D$13:$D$20)*Policy!$B$15,0),0))))</f>
        <v/>
      </c>
      <c r="L67" s="24">
        <f>G67+K67</f>
        <v/>
      </c>
      <c r="M67" s="24">
        <f>MAX(0,J67-K67)</f>
        <v/>
      </c>
      <c r="N67" s="24">
        <f>MAX(0,K67-J67)</f>
        <v/>
      </c>
      <c r="O67" s="24">
        <f>L67+H67</f>
        <v/>
      </c>
      <c r="P67" s="25">
        <f>IF(K67=0,"",IF(N67&gt;0,"Request exceeded free cores","Placed"))</f>
        <v/>
      </c>
    </row>
    <row r="68">
      <c r="A68" s="32">
        <f>Capacity_Reservations!A68</f>
        <v/>
      </c>
      <c r="B68" s="32">
        <f>Capacity_Reservations!B68</f>
        <v/>
      </c>
      <c r="C68" s="33">
        <f>Capacity_Reservations!C68</f>
        <v/>
      </c>
      <c r="D68" s="33">
        <f>Capacity_Reservations!D68</f>
        <v/>
      </c>
      <c r="E68" s="32">
        <f>Capacity_Reservations!E68</f>
        <v/>
      </c>
      <c r="F68" s="33">
        <f>Capacity_Reservations!F68</f>
        <v/>
      </c>
      <c r="G68" s="47">
        <f>Capacity_Reservations!I68</f>
        <v/>
      </c>
      <c r="H68" s="47">
        <f>Capacity_Reservations!J68</f>
        <v/>
      </c>
      <c r="I68" s="47">
        <f>Capacity_Reservations!K68</f>
        <v/>
      </c>
      <c r="J68" s="47">
        <f>Capacity_Reservations!L68</f>
        <v/>
      </c>
      <c r="K68" s="24">
        <f>IF(Allocation!$C$14&lt;&gt;1,0,IF(D68="Prod",IF(B68=Allocation!$C$9,SUMIF(Request!$A$13:$A$20,E68,Request!$D$13:$D$20),0),IF(D68="NonProd",IF(B68=Allocation!$C$10,SUMIF(Request!$A$13:$A$20,E68,Request!$D$13:$D$20),0),IF(AND(D68="DR",B68=Allocation!$C$11),ROUND(SUMIF(Request!$A$13:$A$20,E68,Request!$D$13:$D$20)*Policy!$B$15,0),0))))</f>
        <v/>
      </c>
      <c r="L68" s="24">
        <f>G68+K68</f>
        <v/>
      </c>
      <c r="M68" s="24">
        <f>MAX(0,J68-K68)</f>
        <v/>
      </c>
      <c r="N68" s="24">
        <f>MAX(0,K68-J68)</f>
        <v/>
      </c>
      <c r="O68" s="24">
        <f>L68+H68</f>
        <v/>
      </c>
      <c r="P68" s="25">
        <f>IF(K68=0,"",IF(N68&gt;0,"Request exceeded free cores","Placed"))</f>
        <v/>
      </c>
    </row>
    <row r="69">
      <c r="A69" s="32">
        <f>Capacity_Reservations!A69</f>
        <v/>
      </c>
      <c r="B69" s="32">
        <f>Capacity_Reservations!B69</f>
        <v/>
      </c>
      <c r="C69" s="33">
        <f>Capacity_Reservations!C69</f>
        <v/>
      </c>
      <c r="D69" s="33">
        <f>Capacity_Reservations!D69</f>
        <v/>
      </c>
      <c r="E69" s="32">
        <f>Capacity_Reservations!E69</f>
        <v/>
      </c>
      <c r="F69" s="33">
        <f>Capacity_Reservations!F69</f>
        <v/>
      </c>
      <c r="G69" s="47">
        <f>Capacity_Reservations!I69</f>
        <v/>
      </c>
      <c r="H69" s="47">
        <f>Capacity_Reservations!J69</f>
        <v/>
      </c>
      <c r="I69" s="47">
        <f>Capacity_Reservations!K69</f>
        <v/>
      </c>
      <c r="J69" s="47">
        <f>Capacity_Reservations!L69</f>
        <v/>
      </c>
      <c r="K69" s="24">
        <f>IF(Allocation!$C$14&lt;&gt;1,0,IF(D69="Prod",IF(B69=Allocation!$C$9,SUMIF(Request!$A$13:$A$20,E69,Request!$D$13:$D$20),0),IF(D69="NonProd",IF(B69=Allocation!$C$10,SUMIF(Request!$A$13:$A$20,E69,Request!$D$13:$D$20),0),IF(AND(D69="DR",B69=Allocation!$C$11),ROUND(SUMIF(Request!$A$13:$A$20,E69,Request!$D$13:$D$20)*Policy!$B$15,0),0))))</f>
        <v/>
      </c>
      <c r="L69" s="24">
        <f>G69+K69</f>
        <v/>
      </c>
      <c r="M69" s="24">
        <f>MAX(0,J69-K69)</f>
        <v/>
      </c>
      <c r="N69" s="24">
        <f>MAX(0,K69-J69)</f>
        <v/>
      </c>
      <c r="O69" s="24">
        <f>L69+H69</f>
        <v/>
      </c>
      <c r="P69" s="25">
        <f>IF(K69=0,"",IF(N69&gt;0,"Request exceeded free cores","Placed"))</f>
        <v/>
      </c>
    </row>
    <row r="70">
      <c r="A70" s="32">
        <f>Capacity_Reservations!A70</f>
        <v/>
      </c>
      <c r="B70" s="32">
        <f>Capacity_Reservations!B70</f>
        <v/>
      </c>
      <c r="C70" s="33">
        <f>Capacity_Reservations!C70</f>
        <v/>
      </c>
      <c r="D70" s="33">
        <f>Capacity_Reservations!D70</f>
        <v/>
      </c>
      <c r="E70" s="32">
        <f>Capacity_Reservations!E70</f>
        <v/>
      </c>
      <c r="F70" s="33">
        <f>Capacity_Reservations!F70</f>
        <v/>
      </c>
      <c r="G70" s="47">
        <f>Capacity_Reservations!I70</f>
        <v/>
      </c>
      <c r="H70" s="47">
        <f>Capacity_Reservations!J70</f>
        <v/>
      </c>
      <c r="I70" s="47">
        <f>Capacity_Reservations!K70</f>
        <v/>
      </c>
      <c r="J70" s="47">
        <f>Capacity_Reservations!L70</f>
        <v/>
      </c>
      <c r="K70" s="24">
        <f>IF(Allocation!$C$14&lt;&gt;1,0,IF(D70="Prod",IF(B70=Allocation!$C$9,SUMIF(Request!$A$13:$A$20,E70,Request!$D$13:$D$20),0),IF(D70="NonProd",IF(B70=Allocation!$C$10,SUMIF(Request!$A$13:$A$20,E70,Request!$D$13:$D$20),0),IF(AND(D70="DR",B70=Allocation!$C$11),ROUND(SUMIF(Request!$A$13:$A$20,E70,Request!$D$13:$D$20)*Policy!$B$15,0),0))))</f>
        <v/>
      </c>
      <c r="L70" s="24">
        <f>G70+K70</f>
        <v/>
      </c>
      <c r="M70" s="24">
        <f>MAX(0,J70-K70)</f>
        <v/>
      </c>
      <c r="N70" s="24">
        <f>MAX(0,K70-J70)</f>
        <v/>
      </c>
      <c r="O70" s="24">
        <f>L70+H70</f>
        <v/>
      </c>
      <c r="P70" s="25">
        <f>IF(K70=0,"",IF(N70&gt;0,"Request exceeded free cores","Placed"))</f>
        <v/>
      </c>
    </row>
    <row r="71">
      <c r="A71" s="32">
        <f>Capacity_Reservations!A71</f>
        <v/>
      </c>
      <c r="B71" s="32">
        <f>Capacity_Reservations!B71</f>
        <v/>
      </c>
      <c r="C71" s="33">
        <f>Capacity_Reservations!C71</f>
        <v/>
      </c>
      <c r="D71" s="33">
        <f>Capacity_Reservations!D71</f>
        <v/>
      </c>
      <c r="E71" s="32">
        <f>Capacity_Reservations!E71</f>
        <v/>
      </c>
      <c r="F71" s="33">
        <f>Capacity_Reservations!F71</f>
        <v/>
      </c>
      <c r="G71" s="47">
        <f>Capacity_Reservations!I71</f>
        <v/>
      </c>
      <c r="H71" s="47">
        <f>Capacity_Reservations!J71</f>
        <v/>
      </c>
      <c r="I71" s="47">
        <f>Capacity_Reservations!K71</f>
        <v/>
      </c>
      <c r="J71" s="47">
        <f>Capacity_Reservations!L71</f>
        <v/>
      </c>
      <c r="K71" s="24">
        <f>IF(Allocation!$C$14&lt;&gt;1,0,IF(D71="Prod",IF(B71=Allocation!$C$9,SUMIF(Request!$A$13:$A$20,E71,Request!$D$13:$D$20),0),IF(D71="NonProd",IF(B71=Allocation!$C$10,SUMIF(Request!$A$13:$A$20,E71,Request!$D$13:$D$20),0),IF(AND(D71="DR",B71=Allocation!$C$11),ROUND(SUMIF(Request!$A$13:$A$20,E71,Request!$D$13:$D$20)*Policy!$B$15,0),0))))</f>
        <v/>
      </c>
      <c r="L71" s="24">
        <f>G71+K71</f>
        <v/>
      </c>
      <c r="M71" s="24">
        <f>MAX(0,J71-K71)</f>
        <v/>
      </c>
      <c r="N71" s="24">
        <f>MAX(0,K71-J71)</f>
        <v/>
      </c>
      <c r="O71" s="24">
        <f>L71+H71</f>
        <v/>
      </c>
      <c r="P71" s="25">
        <f>IF(K71=0,"",IF(N71&gt;0,"Request exceeded free cores","Placed"))</f>
        <v/>
      </c>
    </row>
    <row r="72">
      <c r="A72" s="32">
        <f>Capacity_Reservations!A72</f>
        <v/>
      </c>
      <c r="B72" s="32">
        <f>Capacity_Reservations!B72</f>
        <v/>
      </c>
      <c r="C72" s="33">
        <f>Capacity_Reservations!C72</f>
        <v/>
      </c>
      <c r="D72" s="33">
        <f>Capacity_Reservations!D72</f>
        <v/>
      </c>
      <c r="E72" s="32">
        <f>Capacity_Reservations!E72</f>
        <v/>
      </c>
      <c r="F72" s="33">
        <f>Capacity_Reservations!F72</f>
        <v/>
      </c>
      <c r="G72" s="47">
        <f>Capacity_Reservations!I72</f>
        <v/>
      </c>
      <c r="H72" s="47">
        <f>Capacity_Reservations!J72</f>
        <v/>
      </c>
      <c r="I72" s="47">
        <f>Capacity_Reservations!K72</f>
        <v/>
      </c>
      <c r="J72" s="47">
        <f>Capacity_Reservations!L72</f>
        <v/>
      </c>
      <c r="K72" s="24">
        <f>IF(Allocation!$C$14&lt;&gt;1,0,IF(D72="Prod",IF(B72=Allocation!$C$9,SUMIF(Request!$A$13:$A$20,E72,Request!$D$13:$D$20),0),IF(D72="NonProd",IF(B72=Allocation!$C$10,SUMIF(Request!$A$13:$A$20,E72,Request!$D$13:$D$20),0),IF(AND(D72="DR",B72=Allocation!$C$11),ROUND(SUMIF(Request!$A$13:$A$20,E72,Request!$D$13:$D$20)*Policy!$B$15,0),0))))</f>
        <v/>
      </c>
      <c r="L72" s="24">
        <f>G72+K72</f>
        <v/>
      </c>
      <c r="M72" s="24">
        <f>MAX(0,J72-K72)</f>
        <v/>
      </c>
      <c r="N72" s="24">
        <f>MAX(0,K72-J72)</f>
        <v/>
      </c>
      <c r="O72" s="24">
        <f>L72+H72</f>
        <v/>
      </c>
      <c r="P72" s="25">
        <f>IF(K72=0,"",IF(N72&gt;0,"Request exceeded free cores","Placed"))</f>
        <v/>
      </c>
    </row>
    <row r="73">
      <c r="A73" s="32">
        <f>Capacity_Reservations!A73</f>
        <v/>
      </c>
      <c r="B73" s="32">
        <f>Capacity_Reservations!B73</f>
        <v/>
      </c>
      <c r="C73" s="33">
        <f>Capacity_Reservations!C73</f>
        <v/>
      </c>
      <c r="D73" s="33">
        <f>Capacity_Reservations!D73</f>
        <v/>
      </c>
      <c r="E73" s="32">
        <f>Capacity_Reservations!E73</f>
        <v/>
      </c>
      <c r="F73" s="33">
        <f>Capacity_Reservations!F73</f>
        <v/>
      </c>
      <c r="G73" s="47">
        <f>Capacity_Reservations!I73</f>
        <v/>
      </c>
      <c r="H73" s="47">
        <f>Capacity_Reservations!J73</f>
        <v/>
      </c>
      <c r="I73" s="47">
        <f>Capacity_Reservations!K73</f>
        <v/>
      </c>
      <c r="J73" s="47">
        <f>Capacity_Reservations!L73</f>
        <v/>
      </c>
      <c r="K73" s="24">
        <f>IF(Allocation!$C$14&lt;&gt;1,0,IF(D73="Prod",IF(B73=Allocation!$C$9,SUMIF(Request!$A$13:$A$20,E73,Request!$D$13:$D$20),0),IF(D73="NonProd",IF(B73=Allocation!$C$10,SUMIF(Request!$A$13:$A$20,E73,Request!$D$13:$D$20),0),IF(AND(D73="DR",B73=Allocation!$C$11),ROUND(SUMIF(Request!$A$13:$A$20,E73,Request!$D$13:$D$20)*Policy!$B$15,0),0))))</f>
        <v/>
      </c>
      <c r="L73" s="24">
        <f>G73+K73</f>
        <v/>
      </c>
      <c r="M73" s="24">
        <f>MAX(0,J73-K73)</f>
        <v/>
      </c>
      <c r="N73" s="24">
        <f>MAX(0,K73-J73)</f>
        <v/>
      </c>
      <c r="O73" s="24">
        <f>L73+H73</f>
        <v/>
      </c>
      <c r="P73" s="25">
        <f>IF(K73=0,"",IF(N73&gt;0,"Request exceeded free cores","Placed"))</f>
        <v/>
      </c>
    </row>
    <row r="74">
      <c r="A74" s="32">
        <f>Capacity_Reservations!A74</f>
        <v/>
      </c>
      <c r="B74" s="32">
        <f>Capacity_Reservations!B74</f>
        <v/>
      </c>
      <c r="C74" s="33">
        <f>Capacity_Reservations!C74</f>
        <v/>
      </c>
      <c r="D74" s="33">
        <f>Capacity_Reservations!D74</f>
        <v/>
      </c>
      <c r="E74" s="32">
        <f>Capacity_Reservations!E74</f>
        <v/>
      </c>
      <c r="F74" s="33">
        <f>Capacity_Reservations!F74</f>
        <v/>
      </c>
      <c r="G74" s="47">
        <f>Capacity_Reservations!I74</f>
        <v/>
      </c>
      <c r="H74" s="47">
        <f>Capacity_Reservations!J74</f>
        <v/>
      </c>
      <c r="I74" s="47">
        <f>Capacity_Reservations!K74</f>
        <v/>
      </c>
      <c r="J74" s="47">
        <f>Capacity_Reservations!L74</f>
        <v/>
      </c>
      <c r="K74" s="24">
        <f>IF(Allocation!$C$14&lt;&gt;1,0,IF(D74="Prod",IF(B74=Allocation!$C$9,SUMIF(Request!$A$13:$A$20,E74,Request!$D$13:$D$20),0),IF(D74="NonProd",IF(B74=Allocation!$C$10,SUMIF(Request!$A$13:$A$20,E74,Request!$D$13:$D$20),0),IF(AND(D74="DR",B74=Allocation!$C$11),ROUND(SUMIF(Request!$A$13:$A$20,E74,Request!$D$13:$D$20)*Policy!$B$15,0),0))))</f>
        <v/>
      </c>
      <c r="L74" s="24">
        <f>G74+K74</f>
        <v/>
      </c>
      <c r="M74" s="24">
        <f>MAX(0,J74-K74)</f>
        <v/>
      </c>
      <c r="N74" s="24">
        <f>MAX(0,K74-J74)</f>
        <v/>
      </c>
      <c r="O74" s="24">
        <f>L74+H74</f>
        <v/>
      </c>
      <c r="P74" s="25">
        <f>IF(K74=0,"",IF(N74&gt;0,"Request exceeded free cores","Placed"))</f>
        <v/>
      </c>
    </row>
    <row r="75">
      <c r="A75" s="32">
        <f>Capacity_Reservations!A75</f>
        <v/>
      </c>
      <c r="B75" s="32">
        <f>Capacity_Reservations!B75</f>
        <v/>
      </c>
      <c r="C75" s="33">
        <f>Capacity_Reservations!C75</f>
        <v/>
      </c>
      <c r="D75" s="33">
        <f>Capacity_Reservations!D75</f>
        <v/>
      </c>
      <c r="E75" s="32">
        <f>Capacity_Reservations!E75</f>
        <v/>
      </c>
      <c r="F75" s="33">
        <f>Capacity_Reservations!F75</f>
        <v/>
      </c>
      <c r="G75" s="47">
        <f>Capacity_Reservations!I75</f>
        <v/>
      </c>
      <c r="H75" s="47">
        <f>Capacity_Reservations!J75</f>
        <v/>
      </c>
      <c r="I75" s="47">
        <f>Capacity_Reservations!K75</f>
        <v/>
      </c>
      <c r="J75" s="47">
        <f>Capacity_Reservations!L75</f>
        <v/>
      </c>
      <c r="K75" s="24">
        <f>IF(Allocation!$C$14&lt;&gt;1,0,IF(D75="Prod",IF(B75=Allocation!$C$9,SUMIF(Request!$A$13:$A$20,E75,Request!$D$13:$D$20),0),IF(D75="NonProd",IF(B75=Allocation!$C$10,SUMIF(Request!$A$13:$A$20,E75,Request!$D$13:$D$20),0),IF(AND(D75="DR",B75=Allocation!$C$11),ROUND(SUMIF(Request!$A$13:$A$20,E75,Request!$D$13:$D$20)*Policy!$B$15,0),0))))</f>
        <v/>
      </c>
      <c r="L75" s="24">
        <f>G75+K75</f>
        <v/>
      </c>
      <c r="M75" s="24">
        <f>MAX(0,J75-K75)</f>
        <v/>
      </c>
      <c r="N75" s="24">
        <f>MAX(0,K75-J75)</f>
        <v/>
      </c>
      <c r="O75" s="24">
        <f>L75+H75</f>
        <v/>
      </c>
      <c r="P75" s="25">
        <f>IF(K75=0,"",IF(N75&gt;0,"Request exceeded free cores","Placed"))</f>
        <v/>
      </c>
    </row>
    <row r="76">
      <c r="A76" s="32">
        <f>Capacity_Reservations!A76</f>
        <v/>
      </c>
      <c r="B76" s="32">
        <f>Capacity_Reservations!B76</f>
        <v/>
      </c>
      <c r="C76" s="33">
        <f>Capacity_Reservations!C76</f>
        <v/>
      </c>
      <c r="D76" s="33">
        <f>Capacity_Reservations!D76</f>
        <v/>
      </c>
      <c r="E76" s="32">
        <f>Capacity_Reservations!E76</f>
        <v/>
      </c>
      <c r="F76" s="33">
        <f>Capacity_Reservations!F76</f>
        <v/>
      </c>
      <c r="G76" s="47">
        <f>Capacity_Reservations!I76</f>
        <v/>
      </c>
      <c r="H76" s="47">
        <f>Capacity_Reservations!J76</f>
        <v/>
      </c>
      <c r="I76" s="47">
        <f>Capacity_Reservations!K76</f>
        <v/>
      </c>
      <c r="J76" s="47">
        <f>Capacity_Reservations!L76</f>
        <v/>
      </c>
      <c r="K76" s="24">
        <f>IF(Allocation!$C$14&lt;&gt;1,0,IF(D76="Prod",IF(B76=Allocation!$C$9,SUMIF(Request!$A$13:$A$20,E76,Request!$D$13:$D$20),0),IF(D76="NonProd",IF(B76=Allocation!$C$10,SUMIF(Request!$A$13:$A$20,E76,Request!$D$13:$D$20),0),IF(AND(D76="DR",B76=Allocation!$C$11),ROUND(SUMIF(Request!$A$13:$A$20,E76,Request!$D$13:$D$20)*Policy!$B$15,0),0))))</f>
        <v/>
      </c>
      <c r="L76" s="24">
        <f>G76+K76</f>
        <v/>
      </c>
      <c r="M76" s="24">
        <f>MAX(0,J76-K76)</f>
        <v/>
      </c>
      <c r="N76" s="24">
        <f>MAX(0,K76-J76)</f>
        <v/>
      </c>
      <c r="O76" s="24">
        <f>L76+H76</f>
        <v/>
      </c>
      <c r="P76" s="25">
        <f>IF(K76=0,"",IF(N76&gt;0,"Request exceeded free cores","Placed"))</f>
        <v/>
      </c>
    </row>
    <row r="77">
      <c r="A77" s="32">
        <f>Capacity_Reservations!A77</f>
        <v/>
      </c>
      <c r="B77" s="32">
        <f>Capacity_Reservations!B77</f>
        <v/>
      </c>
      <c r="C77" s="33">
        <f>Capacity_Reservations!C77</f>
        <v/>
      </c>
      <c r="D77" s="33">
        <f>Capacity_Reservations!D77</f>
        <v/>
      </c>
      <c r="E77" s="32">
        <f>Capacity_Reservations!E77</f>
        <v/>
      </c>
      <c r="F77" s="33">
        <f>Capacity_Reservations!F77</f>
        <v/>
      </c>
      <c r="G77" s="47">
        <f>Capacity_Reservations!I77</f>
        <v/>
      </c>
      <c r="H77" s="47">
        <f>Capacity_Reservations!J77</f>
        <v/>
      </c>
      <c r="I77" s="47">
        <f>Capacity_Reservations!K77</f>
        <v/>
      </c>
      <c r="J77" s="47">
        <f>Capacity_Reservations!L77</f>
        <v/>
      </c>
      <c r="K77" s="24">
        <f>IF(Allocation!$C$14&lt;&gt;1,0,IF(D77="Prod",IF(B77=Allocation!$C$9,SUMIF(Request!$A$13:$A$20,E77,Request!$D$13:$D$20),0),IF(D77="NonProd",IF(B77=Allocation!$C$10,SUMIF(Request!$A$13:$A$20,E77,Request!$D$13:$D$20),0),IF(AND(D77="DR",B77=Allocation!$C$11),ROUND(SUMIF(Request!$A$13:$A$20,E77,Request!$D$13:$D$20)*Policy!$B$15,0),0))))</f>
        <v/>
      </c>
      <c r="L77" s="24">
        <f>G77+K77</f>
        <v/>
      </c>
      <c r="M77" s="24">
        <f>MAX(0,J77-K77)</f>
        <v/>
      </c>
      <c r="N77" s="24">
        <f>MAX(0,K77-J77)</f>
        <v/>
      </c>
      <c r="O77" s="24">
        <f>L77+H77</f>
        <v/>
      </c>
      <c r="P77" s="25">
        <f>IF(K77=0,"",IF(N77&gt;0,"Request exceeded free cores","Placed"))</f>
        <v/>
      </c>
    </row>
    <row r="78">
      <c r="A78" s="32">
        <f>Capacity_Reservations!A78</f>
        <v/>
      </c>
      <c r="B78" s="32">
        <f>Capacity_Reservations!B78</f>
        <v/>
      </c>
      <c r="C78" s="33">
        <f>Capacity_Reservations!C78</f>
        <v/>
      </c>
      <c r="D78" s="33">
        <f>Capacity_Reservations!D78</f>
        <v/>
      </c>
      <c r="E78" s="32">
        <f>Capacity_Reservations!E78</f>
        <v/>
      </c>
      <c r="F78" s="33">
        <f>Capacity_Reservations!F78</f>
        <v/>
      </c>
      <c r="G78" s="47">
        <f>Capacity_Reservations!I78</f>
        <v/>
      </c>
      <c r="H78" s="47">
        <f>Capacity_Reservations!J78</f>
        <v/>
      </c>
      <c r="I78" s="47">
        <f>Capacity_Reservations!K78</f>
        <v/>
      </c>
      <c r="J78" s="47">
        <f>Capacity_Reservations!L78</f>
        <v/>
      </c>
      <c r="K78" s="24">
        <f>IF(Allocation!$C$14&lt;&gt;1,0,IF(D78="Prod",IF(B78=Allocation!$C$9,SUMIF(Request!$A$13:$A$20,E78,Request!$D$13:$D$20),0),IF(D78="NonProd",IF(B78=Allocation!$C$10,SUMIF(Request!$A$13:$A$20,E78,Request!$D$13:$D$20),0),IF(AND(D78="DR",B78=Allocation!$C$11),ROUND(SUMIF(Request!$A$13:$A$20,E78,Request!$D$13:$D$20)*Policy!$B$15,0),0))))</f>
        <v/>
      </c>
      <c r="L78" s="24">
        <f>G78+K78</f>
        <v/>
      </c>
      <c r="M78" s="24">
        <f>MAX(0,J78-K78)</f>
        <v/>
      </c>
      <c r="N78" s="24">
        <f>MAX(0,K78-J78)</f>
        <v/>
      </c>
      <c r="O78" s="24">
        <f>L78+H78</f>
        <v/>
      </c>
      <c r="P78" s="25">
        <f>IF(K78=0,"",IF(N78&gt;0,"Request exceeded free cores","Placed"))</f>
        <v/>
      </c>
    </row>
    <row r="79">
      <c r="A79" s="32">
        <f>Capacity_Reservations!A79</f>
        <v/>
      </c>
      <c r="B79" s="32">
        <f>Capacity_Reservations!B79</f>
        <v/>
      </c>
      <c r="C79" s="33">
        <f>Capacity_Reservations!C79</f>
        <v/>
      </c>
      <c r="D79" s="33">
        <f>Capacity_Reservations!D79</f>
        <v/>
      </c>
      <c r="E79" s="32">
        <f>Capacity_Reservations!E79</f>
        <v/>
      </c>
      <c r="F79" s="33">
        <f>Capacity_Reservations!F79</f>
        <v/>
      </c>
      <c r="G79" s="47">
        <f>Capacity_Reservations!I79</f>
        <v/>
      </c>
      <c r="H79" s="47">
        <f>Capacity_Reservations!J79</f>
        <v/>
      </c>
      <c r="I79" s="47">
        <f>Capacity_Reservations!K79</f>
        <v/>
      </c>
      <c r="J79" s="47">
        <f>Capacity_Reservations!L79</f>
        <v/>
      </c>
      <c r="K79" s="24">
        <f>IF(Allocation!$C$14&lt;&gt;1,0,IF(D79="Prod",IF(B79=Allocation!$C$9,SUMIF(Request!$A$13:$A$20,E79,Request!$D$13:$D$20),0),IF(D79="NonProd",IF(B79=Allocation!$C$10,SUMIF(Request!$A$13:$A$20,E79,Request!$D$13:$D$20),0),IF(AND(D79="DR",B79=Allocation!$C$11),ROUND(SUMIF(Request!$A$13:$A$20,E79,Request!$D$13:$D$20)*Policy!$B$15,0),0))))</f>
        <v/>
      </c>
      <c r="L79" s="24">
        <f>G79+K79</f>
        <v/>
      </c>
      <c r="M79" s="24">
        <f>MAX(0,J79-K79)</f>
        <v/>
      </c>
      <c r="N79" s="24">
        <f>MAX(0,K79-J79)</f>
        <v/>
      </c>
      <c r="O79" s="24">
        <f>L79+H79</f>
        <v/>
      </c>
      <c r="P79" s="25">
        <f>IF(K79=0,"",IF(N79&gt;0,"Request exceeded free cores","Placed"))</f>
        <v/>
      </c>
    </row>
    <row r="80">
      <c r="A80" s="32">
        <f>Capacity_Reservations!A80</f>
        <v/>
      </c>
      <c r="B80" s="32">
        <f>Capacity_Reservations!B80</f>
        <v/>
      </c>
      <c r="C80" s="33">
        <f>Capacity_Reservations!C80</f>
        <v/>
      </c>
      <c r="D80" s="33">
        <f>Capacity_Reservations!D80</f>
        <v/>
      </c>
      <c r="E80" s="32">
        <f>Capacity_Reservations!E80</f>
        <v/>
      </c>
      <c r="F80" s="33">
        <f>Capacity_Reservations!F80</f>
        <v/>
      </c>
      <c r="G80" s="47">
        <f>Capacity_Reservations!I80</f>
        <v/>
      </c>
      <c r="H80" s="47">
        <f>Capacity_Reservations!J80</f>
        <v/>
      </c>
      <c r="I80" s="47">
        <f>Capacity_Reservations!K80</f>
        <v/>
      </c>
      <c r="J80" s="47">
        <f>Capacity_Reservations!L80</f>
        <v/>
      </c>
      <c r="K80" s="24">
        <f>IF(Allocation!$C$14&lt;&gt;1,0,IF(D80="Prod",IF(B80=Allocation!$C$9,SUMIF(Request!$A$13:$A$20,E80,Request!$D$13:$D$20),0),IF(D80="NonProd",IF(B80=Allocation!$C$10,SUMIF(Request!$A$13:$A$20,E80,Request!$D$13:$D$20),0),IF(AND(D80="DR",B80=Allocation!$C$11),ROUND(SUMIF(Request!$A$13:$A$20,E80,Request!$D$13:$D$20)*Policy!$B$15,0),0))))</f>
        <v/>
      </c>
      <c r="L80" s="24">
        <f>G80+K80</f>
        <v/>
      </c>
      <c r="M80" s="24">
        <f>MAX(0,J80-K80)</f>
        <v/>
      </c>
      <c r="N80" s="24">
        <f>MAX(0,K80-J80)</f>
        <v/>
      </c>
      <c r="O80" s="24">
        <f>L80+H80</f>
        <v/>
      </c>
      <c r="P80" s="25">
        <f>IF(K80=0,"",IF(N80&gt;0,"Request exceeded free cores","Placed"))</f>
        <v/>
      </c>
    </row>
    <row r="81">
      <c r="A81" s="32">
        <f>Capacity_Reservations!A81</f>
        <v/>
      </c>
      <c r="B81" s="32">
        <f>Capacity_Reservations!B81</f>
        <v/>
      </c>
      <c r="C81" s="33">
        <f>Capacity_Reservations!C81</f>
        <v/>
      </c>
      <c r="D81" s="33">
        <f>Capacity_Reservations!D81</f>
        <v/>
      </c>
      <c r="E81" s="32">
        <f>Capacity_Reservations!E81</f>
        <v/>
      </c>
      <c r="F81" s="33">
        <f>Capacity_Reservations!F81</f>
        <v/>
      </c>
      <c r="G81" s="47">
        <f>Capacity_Reservations!I81</f>
        <v/>
      </c>
      <c r="H81" s="47">
        <f>Capacity_Reservations!J81</f>
        <v/>
      </c>
      <c r="I81" s="47">
        <f>Capacity_Reservations!K81</f>
        <v/>
      </c>
      <c r="J81" s="47">
        <f>Capacity_Reservations!L81</f>
        <v/>
      </c>
      <c r="K81" s="24">
        <f>IF(Allocation!$C$14&lt;&gt;1,0,IF(D81="Prod",IF(B81=Allocation!$C$9,SUMIF(Request!$A$13:$A$20,E81,Request!$D$13:$D$20),0),IF(D81="NonProd",IF(B81=Allocation!$C$10,SUMIF(Request!$A$13:$A$20,E81,Request!$D$13:$D$20),0),IF(AND(D81="DR",B81=Allocation!$C$11),ROUND(SUMIF(Request!$A$13:$A$20,E81,Request!$D$13:$D$20)*Policy!$B$15,0),0))))</f>
        <v/>
      </c>
      <c r="L81" s="24">
        <f>G81+K81</f>
        <v/>
      </c>
      <c r="M81" s="24">
        <f>MAX(0,J81-K81)</f>
        <v/>
      </c>
      <c r="N81" s="24">
        <f>MAX(0,K81-J81)</f>
        <v/>
      </c>
      <c r="O81" s="24">
        <f>L81+H81</f>
        <v/>
      </c>
      <c r="P81" s="25">
        <f>IF(K81=0,"",IF(N81&gt;0,"Request exceeded free cores","Placed"))</f>
        <v/>
      </c>
    </row>
    <row r="82">
      <c r="A82" s="32">
        <f>Capacity_Reservations!A82</f>
        <v/>
      </c>
      <c r="B82" s="32">
        <f>Capacity_Reservations!B82</f>
        <v/>
      </c>
      <c r="C82" s="33">
        <f>Capacity_Reservations!C82</f>
        <v/>
      </c>
      <c r="D82" s="33">
        <f>Capacity_Reservations!D82</f>
        <v/>
      </c>
      <c r="E82" s="32">
        <f>Capacity_Reservations!E82</f>
        <v/>
      </c>
      <c r="F82" s="33">
        <f>Capacity_Reservations!F82</f>
        <v/>
      </c>
      <c r="G82" s="47">
        <f>Capacity_Reservations!I82</f>
        <v/>
      </c>
      <c r="H82" s="47">
        <f>Capacity_Reservations!J82</f>
        <v/>
      </c>
      <c r="I82" s="47">
        <f>Capacity_Reservations!K82</f>
        <v/>
      </c>
      <c r="J82" s="47">
        <f>Capacity_Reservations!L82</f>
        <v/>
      </c>
      <c r="K82" s="24">
        <f>IF(Allocation!$C$14&lt;&gt;1,0,IF(D82="Prod",IF(B82=Allocation!$C$9,SUMIF(Request!$A$13:$A$20,E82,Request!$D$13:$D$20),0),IF(D82="NonProd",IF(B82=Allocation!$C$10,SUMIF(Request!$A$13:$A$20,E82,Request!$D$13:$D$20),0),IF(AND(D82="DR",B82=Allocation!$C$11),ROUND(SUMIF(Request!$A$13:$A$20,E82,Request!$D$13:$D$20)*Policy!$B$15,0),0))))</f>
        <v/>
      </c>
      <c r="L82" s="24">
        <f>G82+K82</f>
        <v/>
      </c>
      <c r="M82" s="24">
        <f>MAX(0,J82-K82)</f>
        <v/>
      </c>
      <c r="N82" s="24">
        <f>MAX(0,K82-J82)</f>
        <v/>
      </c>
      <c r="O82" s="24">
        <f>L82+H82</f>
        <v/>
      </c>
      <c r="P82" s="25">
        <f>IF(K82=0,"",IF(N82&gt;0,"Request exceeded free cores","Placed"))</f>
        <v/>
      </c>
    </row>
    <row r="83">
      <c r="A83" s="32">
        <f>Capacity_Reservations!A83</f>
        <v/>
      </c>
      <c r="B83" s="32">
        <f>Capacity_Reservations!B83</f>
        <v/>
      </c>
      <c r="C83" s="33">
        <f>Capacity_Reservations!C83</f>
        <v/>
      </c>
      <c r="D83" s="33">
        <f>Capacity_Reservations!D83</f>
        <v/>
      </c>
      <c r="E83" s="32">
        <f>Capacity_Reservations!E83</f>
        <v/>
      </c>
      <c r="F83" s="33">
        <f>Capacity_Reservations!F83</f>
        <v/>
      </c>
      <c r="G83" s="47">
        <f>Capacity_Reservations!I83</f>
        <v/>
      </c>
      <c r="H83" s="47">
        <f>Capacity_Reservations!J83</f>
        <v/>
      </c>
      <c r="I83" s="47">
        <f>Capacity_Reservations!K83</f>
        <v/>
      </c>
      <c r="J83" s="47">
        <f>Capacity_Reservations!L83</f>
        <v/>
      </c>
      <c r="K83" s="24">
        <f>IF(Allocation!$C$14&lt;&gt;1,0,IF(D83="Prod",IF(B83=Allocation!$C$9,SUMIF(Request!$A$13:$A$20,E83,Request!$D$13:$D$20),0),IF(D83="NonProd",IF(B83=Allocation!$C$10,SUMIF(Request!$A$13:$A$20,E83,Request!$D$13:$D$20),0),IF(AND(D83="DR",B83=Allocation!$C$11),ROUND(SUMIF(Request!$A$13:$A$20,E83,Request!$D$13:$D$20)*Policy!$B$15,0),0))))</f>
        <v/>
      </c>
      <c r="L83" s="24">
        <f>G83+K83</f>
        <v/>
      </c>
      <c r="M83" s="24">
        <f>MAX(0,J83-K83)</f>
        <v/>
      </c>
      <c r="N83" s="24">
        <f>MAX(0,K83-J83)</f>
        <v/>
      </c>
      <c r="O83" s="24">
        <f>L83+H83</f>
        <v/>
      </c>
      <c r="P83" s="25">
        <f>IF(K83=0,"",IF(N83&gt;0,"Request exceeded free cores","Placed"))</f>
        <v/>
      </c>
    </row>
    <row r="84">
      <c r="A84" s="32">
        <f>Capacity_Reservations!A84</f>
        <v/>
      </c>
      <c r="B84" s="32">
        <f>Capacity_Reservations!B84</f>
        <v/>
      </c>
      <c r="C84" s="33">
        <f>Capacity_Reservations!C84</f>
        <v/>
      </c>
      <c r="D84" s="33">
        <f>Capacity_Reservations!D84</f>
        <v/>
      </c>
      <c r="E84" s="32">
        <f>Capacity_Reservations!E84</f>
        <v/>
      </c>
      <c r="F84" s="33">
        <f>Capacity_Reservations!F84</f>
        <v/>
      </c>
      <c r="G84" s="47">
        <f>Capacity_Reservations!I84</f>
        <v/>
      </c>
      <c r="H84" s="47">
        <f>Capacity_Reservations!J84</f>
        <v/>
      </c>
      <c r="I84" s="47">
        <f>Capacity_Reservations!K84</f>
        <v/>
      </c>
      <c r="J84" s="47">
        <f>Capacity_Reservations!L84</f>
        <v/>
      </c>
      <c r="K84" s="24">
        <f>IF(Allocation!$C$14&lt;&gt;1,0,IF(D84="Prod",IF(B84=Allocation!$C$9,SUMIF(Request!$A$13:$A$20,E84,Request!$D$13:$D$20),0),IF(D84="NonProd",IF(B84=Allocation!$C$10,SUMIF(Request!$A$13:$A$20,E84,Request!$D$13:$D$20),0),IF(AND(D84="DR",B84=Allocation!$C$11),ROUND(SUMIF(Request!$A$13:$A$20,E84,Request!$D$13:$D$20)*Policy!$B$15,0),0))))</f>
        <v/>
      </c>
      <c r="L84" s="24">
        <f>G84+K84</f>
        <v/>
      </c>
      <c r="M84" s="24">
        <f>MAX(0,J84-K84)</f>
        <v/>
      </c>
      <c r="N84" s="24">
        <f>MAX(0,K84-J84)</f>
        <v/>
      </c>
      <c r="O84" s="24">
        <f>L84+H84</f>
        <v/>
      </c>
      <c r="P84" s="25">
        <f>IF(K84=0,"",IF(N84&gt;0,"Request exceeded free cores","Placed"))</f>
        <v/>
      </c>
    </row>
    <row r="85">
      <c r="A85" s="32">
        <f>Capacity_Reservations!A85</f>
        <v/>
      </c>
      <c r="B85" s="32">
        <f>Capacity_Reservations!B85</f>
        <v/>
      </c>
      <c r="C85" s="33">
        <f>Capacity_Reservations!C85</f>
        <v/>
      </c>
      <c r="D85" s="33">
        <f>Capacity_Reservations!D85</f>
        <v/>
      </c>
      <c r="E85" s="32">
        <f>Capacity_Reservations!E85</f>
        <v/>
      </c>
      <c r="F85" s="33">
        <f>Capacity_Reservations!F85</f>
        <v/>
      </c>
      <c r="G85" s="47">
        <f>Capacity_Reservations!I85</f>
        <v/>
      </c>
      <c r="H85" s="47">
        <f>Capacity_Reservations!J85</f>
        <v/>
      </c>
      <c r="I85" s="47">
        <f>Capacity_Reservations!K85</f>
        <v/>
      </c>
      <c r="J85" s="47">
        <f>Capacity_Reservations!L85</f>
        <v/>
      </c>
      <c r="K85" s="24">
        <f>IF(Allocation!$C$14&lt;&gt;1,0,IF(D85="Prod",IF(B85=Allocation!$C$9,SUMIF(Request!$A$13:$A$20,E85,Request!$D$13:$D$20),0),IF(D85="NonProd",IF(B85=Allocation!$C$10,SUMIF(Request!$A$13:$A$20,E85,Request!$D$13:$D$20),0),IF(AND(D85="DR",B85=Allocation!$C$11),ROUND(SUMIF(Request!$A$13:$A$20,E85,Request!$D$13:$D$20)*Policy!$B$15,0),0))))</f>
        <v/>
      </c>
      <c r="L85" s="24">
        <f>G85+K85</f>
        <v/>
      </c>
      <c r="M85" s="24">
        <f>MAX(0,J85-K85)</f>
        <v/>
      </c>
      <c r="N85" s="24">
        <f>MAX(0,K85-J85)</f>
        <v/>
      </c>
      <c r="O85" s="24">
        <f>L85+H85</f>
        <v/>
      </c>
      <c r="P85" s="25">
        <f>IF(K85=0,"",IF(N85&gt;0,"Request exceeded free cores","Placed"))</f>
        <v/>
      </c>
    </row>
    <row r="86">
      <c r="A86" s="32">
        <f>Capacity_Reservations!A86</f>
        <v/>
      </c>
      <c r="B86" s="32">
        <f>Capacity_Reservations!B86</f>
        <v/>
      </c>
      <c r="C86" s="33">
        <f>Capacity_Reservations!C86</f>
        <v/>
      </c>
      <c r="D86" s="33">
        <f>Capacity_Reservations!D86</f>
        <v/>
      </c>
      <c r="E86" s="32">
        <f>Capacity_Reservations!E86</f>
        <v/>
      </c>
      <c r="F86" s="33">
        <f>Capacity_Reservations!F86</f>
        <v/>
      </c>
      <c r="G86" s="47">
        <f>Capacity_Reservations!I86</f>
        <v/>
      </c>
      <c r="H86" s="47">
        <f>Capacity_Reservations!J86</f>
        <v/>
      </c>
      <c r="I86" s="47">
        <f>Capacity_Reservations!K86</f>
        <v/>
      </c>
      <c r="J86" s="47">
        <f>Capacity_Reservations!L86</f>
        <v/>
      </c>
      <c r="K86" s="24">
        <f>IF(Allocation!$C$14&lt;&gt;1,0,IF(D86="Prod",IF(B86=Allocation!$C$9,SUMIF(Request!$A$13:$A$20,E86,Request!$D$13:$D$20),0),IF(D86="NonProd",IF(B86=Allocation!$C$10,SUMIF(Request!$A$13:$A$20,E86,Request!$D$13:$D$20),0),IF(AND(D86="DR",B86=Allocation!$C$11),ROUND(SUMIF(Request!$A$13:$A$20,E86,Request!$D$13:$D$20)*Policy!$B$15,0),0))))</f>
        <v/>
      </c>
      <c r="L86" s="24">
        <f>G86+K86</f>
        <v/>
      </c>
      <c r="M86" s="24">
        <f>MAX(0,J86-K86)</f>
        <v/>
      </c>
      <c r="N86" s="24">
        <f>MAX(0,K86-J86)</f>
        <v/>
      </c>
      <c r="O86" s="24">
        <f>L86+H86</f>
        <v/>
      </c>
      <c r="P86" s="25">
        <f>IF(K86=0,"",IF(N86&gt;0,"Request exceeded free cores","Placed"))</f>
        <v/>
      </c>
    </row>
    <row r="87">
      <c r="A87" s="32">
        <f>Capacity_Reservations!A87</f>
        <v/>
      </c>
      <c r="B87" s="32">
        <f>Capacity_Reservations!B87</f>
        <v/>
      </c>
      <c r="C87" s="33">
        <f>Capacity_Reservations!C87</f>
        <v/>
      </c>
      <c r="D87" s="33">
        <f>Capacity_Reservations!D87</f>
        <v/>
      </c>
      <c r="E87" s="32">
        <f>Capacity_Reservations!E87</f>
        <v/>
      </c>
      <c r="F87" s="33">
        <f>Capacity_Reservations!F87</f>
        <v/>
      </c>
      <c r="G87" s="47">
        <f>Capacity_Reservations!I87</f>
        <v/>
      </c>
      <c r="H87" s="47">
        <f>Capacity_Reservations!J87</f>
        <v/>
      </c>
      <c r="I87" s="47">
        <f>Capacity_Reservations!K87</f>
        <v/>
      </c>
      <c r="J87" s="47">
        <f>Capacity_Reservations!L87</f>
        <v/>
      </c>
      <c r="K87" s="24">
        <f>IF(Allocation!$C$14&lt;&gt;1,0,IF(D87="Prod",IF(B87=Allocation!$C$9,SUMIF(Request!$A$13:$A$20,E87,Request!$D$13:$D$20),0),IF(D87="NonProd",IF(B87=Allocation!$C$10,SUMIF(Request!$A$13:$A$20,E87,Request!$D$13:$D$20),0),IF(AND(D87="DR",B87=Allocation!$C$11),ROUND(SUMIF(Request!$A$13:$A$20,E87,Request!$D$13:$D$20)*Policy!$B$15,0),0))))</f>
        <v/>
      </c>
      <c r="L87" s="24">
        <f>G87+K87</f>
        <v/>
      </c>
      <c r="M87" s="24">
        <f>MAX(0,J87-K87)</f>
        <v/>
      </c>
      <c r="N87" s="24">
        <f>MAX(0,K87-J87)</f>
        <v/>
      </c>
      <c r="O87" s="24">
        <f>L87+H87</f>
        <v/>
      </c>
      <c r="P87" s="25">
        <f>IF(K87=0,"",IF(N87&gt;0,"Request exceeded free cores","Placed"))</f>
        <v/>
      </c>
    </row>
    <row r="88">
      <c r="A88" s="32">
        <f>Capacity_Reservations!A88</f>
        <v/>
      </c>
      <c r="B88" s="32">
        <f>Capacity_Reservations!B88</f>
        <v/>
      </c>
      <c r="C88" s="33">
        <f>Capacity_Reservations!C88</f>
        <v/>
      </c>
      <c r="D88" s="33">
        <f>Capacity_Reservations!D88</f>
        <v/>
      </c>
      <c r="E88" s="32">
        <f>Capacity_Reservations!E88</f>
        <v/>
      </c>
      <c r="F88" s="33">
        <f>Capacity_Reservations!F88</f>
        <v/>
      </c>
      <c r="G88" s="47">
        <f>Capacity_Reservations!I88</f>
        <v/>
      </c>
      <c r="H88" s="47">
        <f>Capacity_Reservations!J88</f>
        <v/>
      </c>
      <c r="I88" s="47">
        <f>Capacity_Reservations!K88</f>
        <v/>
      </c>
      <c r="J88" s="47">
        <f>Capacity_Reservations!L88</f>
        <v/>
      </c>
      <c r="K88" s="24">
        <f>IF(Allocation!$C$14&lt;&gt;1,0,IF(D88="Prod",IF(B88=Allocation!$C$9,SUMIF(Request!$A$13:$A$20,E88,Request!$D$13:$D$20),0),IF(D88="NonProd",IF(B88=Allocation!$C$10,SUMIF(Request!$A$13:$A$20,E88,Request!$D$13:$D$20),0),IF(AND(D88="DR",B88=Allocation!$C$11),ROUND(SUMIF(Request!$A$13:$A$20,E88,Request!$D$13:$D$20)*Policy!$B$15,0),0))))</f>
        <v/>
      </c>
      <c r="L88" s="24">
        <f>G88+K88</f>
        <v/>
      </c>
      <c r="M88" s="24">
        <f>MAX(0,J88-K88)</f>
        <v/>
      </c>
      <c r="N88" s="24">
        <f>MAX(0,K88-J88)</f>
        <v/>
      </c>
      <c r="O88" s="24">
        <f>L88+H88</f>
        <v/>
      </c>
      <c r="P88" s="25">
        <f>IF(K88=0,"",IF(N88&gt;0,"Request exceeded free cores","Placed"))</f>
        <v/>
      </c>
    </row>
    <row r="89">
      <c r="A89" s="32">
        <f>Capacity_Reservations!A89</f>
        <v/>
      </c>
      <c r="B89" s="32">
        <f>Capacity_Reservations!B89</f>
        <v/>
      </c>
      <c r="C89" s="33">
        <f>Capacity_Reservations!C89</f>
        <v/>
      </c>
      <c r="D89" s="33">
        <f>Capacity_Reservations!D89</f>
        <v/>
      </c>
      <c r="E89" s="32">
        <f>Capacity_Reservations!E89</f>
        <v/>
      </c>
      <c r="F89" s="33">
        <f>Capacity_Reservations!F89</f>
        <v/>
      </c>
      <c r="G89" s="47">
        <f>Capacity_Reservations!I89</f>
        <v/>
      </c>
      <c r="H89" s="47">
        <f>Capacity_Reservations!J89</f>
        <v/>
      </c>
      <c r="I89" s="47">
        <f>Capacity_Reservations!K89</f>
        <v/>
      </c>
      <c r="J89" s="47">
        <f>Capacity_Reservations!L89</f>
        <v/>
      </c>
      <c r="K89" s="24">
        <f>IF(Allocation!$C$14&lt;&gt;1,0,IF(D89="Prod",IF(B89=Allocation!$C$9,SUMIF(Request!$A$13:$A$20,E89,Request!$D$13:$D$20),0),IF(D89="NonProd",IF(B89=Allocation!$C$10,SUMIF(Request!$A$13:$A$20,E89,Request!$D$13:$D$20),0),IF(AND(D89="DR",B89=Allocation!$C$11),ROUND(SUMIF(Request!$A$13:$A$20,E89,Request!$D$13:$D$20)*Policy!$B$15,0),0))))</f>
        <v/>
      </c>
      <c r="L89" s="24">
        <f>G89+K89</f>
        <v/>
      </c>
      <c r="M89" s="24">
        <f>MAX(0,J89-K89)</f>
        <v/>
      </c>
      <c r="N89" s="24">
        <f>MAX(0,K89-J89)</f>
        <v/>
      </c>
      <c r="O89" s="24">
        <f>L89+H89</f>
        <v/>
      </c>
      <c r="P89" s="25">
        <f>IF(K89=0,"",IF(N89&gt;0,"Request exceeded free cores","Placed"))</f>
        <v/>
      </c>
    </row>
    <row r="90">
      <c r="A90" s="32">
        <f>Capacity_Reservations!A90</f>
        <v/>
      </c>
      <c r="B90" s="32">
        <f>Capacity_Reservations!B90</f>
        <v/>
      </c>
      <c r="C90" s="33">
        <f>Capacity_Reservations!C90</f>
        <v/>
      </c>
      <c r="D90" s="33">
        <f>Capacity_Reservations!D90</f>
        <v/>
      </c>
      <c r="E90" s="32">
        <f>Capacity_Reservations!E90</f>
        <v/>
      </c>
      <c r="F90" s="33">
        <f>Capacity_Reservations!F90</f>
        <v/>
      </c>
      <c r="G90" s="47">
        <f>Capacity_Reservations!I90</f>
        <v/>
      </c>
      <c r="H90" s="47">
        <f>Capacity_Reservations!J90</f>
        <v/>
      </c>
      <c r="I90" s="47">
        <f>Capacity_Reservations!K90</f>
        <v/>
      </c>
      <c r="J90" s="47">
        <f>Capacity_Reservations!L90</f>
        <v/>
      </c>
      <c r="K90" s="24">
        <f>IF(Allocation!$C$14&lt;&gt;1,0,IF(D90="Prod",IF(B90=Allocation!$C$9,SUMIF(Request!$A$13:$A$20,E90,Request!$D$13:$D$20),0),IF(D90="NonProd",IF(B90=Allocation!$C$10,SUMIF(Request!$A$13:$A$20,E90,Request!$D$13:$D$20),0),IF(AND(D90="DR",B90=Allocation!$C$11),ROUND(SUMIF(Request!$A$13:$A$20,E90,Request!$D$13:$D$20)*Policy!$B$15,0),0))))</f>
        <v/>
      </c>
      <c r="L90" s="24">
        <f>G90+K90</f>
        <v/>
      </c>
      <c r="M90" s="24">
        <f>MAX(0,J90-K90)</f>
        <v/>
      </c>
      <c r="N90" s="24">
        <f>MAX(0,K90-J90)</f>
        <v/>
      </c>
      <c r="O90" s="24">
        <f>L90+H90</f>
        <v/>
      </c>
      <c r="P90" s="25">
        <f>IF(K90=0,"",IF(N90&gt;0,"Request exceeded free cores","Placed"))</f>
        <v/>
      </c>
    </row>
    <row r="91">
      <c r="A91" s="32">
        <f>Capacity_Reservations!A91</f>
        <v/>
      </c>
      <c r="B91" s="32">
        <f>Capacity_Reservations!B91</f>
        <v/>
      </c>
      <c r="C91" s="33">
        <f>Capacity_Reservations!C91</f>
        <v/>
      </c>
      <c r="D91" s="33">
        <f>Capacity_Reservations!D91</f>
        <v/>
      </c>
      <c r="E91" s="32">
        <f>Capacity_Reservations!E91</f>
        <v/>
      </c>
      <c r="F91" s="33">
        <f>Capacity_Reservations!F91</f>
        <v/>
      </c>
      <c r="G91" s="47">
        <f>Capacity_Reservations!I91</f>
        <v/>
      </c>
      <c r="H91" s="47">
        <f>Capacity_Reservations!J91</f>
        <v/>
      </c>
      <c r="I91" s="47">
        <f>Capacity_Reservations!K91</f>
        <v/>
      </c>
      <c r="J91" s="47">
        <f>Capacity_Reservations!L91</f>
        <v/>
      </c>
      <c r="K91" s="24">
        <f>IF(Allocation!$C$14&lt;&gt;1,0,IF(D91="Prod",IF(B91=Allocation!$C$9,SUMIF(Request!$A$13:$A$20,E91,Request!$D$13:$D$20),0),IF(D91="NonProd",IF(B91=Allocation!$C$10,SUMIF(Request!$A$13:$A$20,E91,Request!$D$13:$D$20),0),IF(AND(D91="DR",B91=Allocation!$C$11),ROUND(SUMIF(Request!$A$13:$A$20,E91,Request!$D$13:$D$20)*Policy!$B$15,0),0))))</f>
        <v/>
      </c>
      <c r="L91" s="24">
        <f>G91+K91</f>
        <v/>
      </c>
      <c r="M91" s="24">
        <f>MAX(0,J91-K91)</f>
        <v/>
      </c>
      <c r="N91" s="24">
        <f>MAX(0,K91-J91)</f>
        <v/>
      </c>
      <c r="O91" s="24">
        <f>L91+H91</f>
        <v/>
      </c>
      <c r="P91" s="25">
        <f>IF(K91=0,"",IF(N91&gt;0,"Request exceeded free cores","Placed"))</f>
        <v/>
      </c>
    </row>
    <row r="92">
      <c r="A92" s="32">
        <f>Capacity_Reservations!A92</f>
        <v/>
      </c>
      <c r="B92" s="32">
        <f>Capacity_Reservations!B92</f>
        <v/>
      </c>
      <c r="C92" s="33">
        <f>Capacity_Reservations!C92</f>
        <v/>
      </c>
      <c r="D92" s="33">
        <f>Capacity_Reservations!D92</f>
        <v/>
      </c>
      <c r="E92" s="32">
        <f>Capacity_Reservations!E92</f>
        <v/>
      </c>
      <c r="F92" s="33">
        <f>Capacity_Reservations!F92</f>
        <v/>
      </c>
      <c r="G92" s="47">
        <f>Capacity_Reservations!I92</f>
        <v/>
      </c>
      <c r="H92" s="47">
        <f>Capacity_Reservations!J92</f>
        <v/>
      </c>
      <c r="I92" s="47">
        <f>Capacity_Reservations!K92</f>
        <v/>
      </c>
      <c r="J92" s="47">
        <f>Capacity_Reservations!L92</f>
        <v/>
      </c>
      <c r="K92" s="24">
        <f>IF(Allocation!$C$14&lt;&gt;1,0,IF(D92="Prod",IF(B92=Allocation!$C$9,SUMIF(Request!$A$13:$A$20,E92,Request!$D$13:$D$20),0),IF(D92="NonProd",IF(B92=Allocation!$C$10,SUMIF(Request!$A$13:$A$20,E92,Request!$D$13:$D$20),0),IF(AND(D92="DR",B92=Allocation!$C$11),ROUND(SUMIF(Request!$A$13:$A$20,E92,Request!$D$13:$D$20)*Policy!$B$15,0),0))))</f>
        <v/>
      </c>
      <c r="L92" s="24">
        <f>G92+K92</f>
        <v/>
      </c>
      <c r="M92" s="24">
        <f>MAX(0,J92-K92)</f>
        <v/>
      </c>
      <c r="N92" s="24">
        <f>MAX(0,K92-J92)</f>
        <v/>
      </c>
      <c r="O92" s="24">
        <f>L92+H92</f>
        <v/>
      </c>
      <c r="P92" s="25">
        <f>IF(K92=0,"",IF(N92&gt;0,"Request exceeded free cores","Placed"))</f>
        <v/>
      </c>
    </row>
    <row r="93">
      <c r="A93" s="32">
        <f>Capacity_Reservations!A93</f>
        <v/>
      </c>
      <c r="B93" s="32">
        <f>Capacity_Reservations!B93</f>
        <v/>
      </c>
      <c r="C93" s="33">
        <f>Capacity_Reservations!C93</f>
        <v/>
      </c>
      <c r="D93" s="33">
        <f>Capacity_Reservations!D93</f>
        <v/>
      </c>
      <c r="E93" s="32">
        <f>Capacity_Reservations!E93</f>
        <v/>
      </c>
      <c r="F93" s="33">
        <f>Capacity_Reservations!F93</f>
        <v/>
      </c>
      <c r="G93" s="47">
        <f>Capacity_Reservations!I93</f>
        <v/>
      </c>
      <c r="H93" s="47">
        <f>Capacity_Reservations!J93</f>
        <v/>
      </c>
      <c r="I93" s="47">
        <f>Capacity_Reservations!K93</f>
        <v/>
      </c>
      <c r="J93" s="47">
        <f>Capacity_Reservations!L93</f>
        <v/>
      </c>
      <c r="K93" s="24">
        <f>IF(Allocation!$C$14&lt;&gt;1,0,IF(D93="Prod",IF(B93=Allocation!$C$9,SUMIF(Request!$A$13:$A$20,E93,Request!$D$13:$D$20),0),IF(D93="NonProd",IF(B93=Allocation!$C$10,SUMIF(Request!$A$13:$A$20,E93,Request!$D$13:$D$20),0),IF(AND(D93="DR",B93=Allocation!$C$11),ROUND(SUMIF(Request!$A$13:$A$20,E93,Request!$D$13:$D$20)*Policy!$B$15,0),0))))</f>
        <v/>
      </c>
      <c r="L93" s="24">
        <f>G93+K93</f>
        <v/>
      </c>
      <c r="M93" s="24">
        <f>MAX(0,J93-K93)</f>
        <v/>
      </c>
      <c r="N93" s="24">
        <f>MAX(0,K93-J93)</f>
        <v/>
      </c>
      <c r="O93" s="24">
        <f>L93+H93</f>
        <v/>
      </c>
      <c r="P93" s="25">
        <f>IF(K93=0,"",IF(N93&gt;0,"Request exceeded free cores","Placed"))</f>
        <v/>
      </c>
    </row>
    <row r="94">
      <c r="A94" s="32">
        <f>Capacity_Reservations!A94</f>
        <v/>
      </c>
      <c r="B94" s="32">
        <f>Capacity_Reservations!B94</f>
        <v/>
      </c>
      <c r="C94" s="33">
        <f>Capacity_Reservations!C94</f>
        <v/>
      </c>
      <c r="D94" s="33">
        <f>Capacity_Reservations!D94</f>
        <v/>
      </c>
      <c r="E94" s="32">
        <f>Capacity_Reservations!E94</f>
        <v/>
      </c>
      <c r="F94" s="33">
        <f>Capacity_Reservations!F94</f>
        <v/>
      </c>
      <c r="G94" s="47">
        <f>Capacity_Reservations!I94</f>
        <v/>
      </c>
      <c r="H94" s="47">
        <f>Capacity_Reservations!J94</f>
        <v/>
      </c>
      <c r="I94" s="47">
        <f>Capacity_Reservations!K94</f>
        <v/>
      </c>
      <c r="J94" s="47">
        <f>Capacity_Reservations!L94</f>
        <v/>
      </c>
      <c r="K94" s="24">
        <f>IF(Allocation!$C$14&lt;&gt;1,0,IF(D94="Prod",IF(B94=Allocation!$C$9,SUMIF(Request!$A$13:$A$20,E94,Request!$D$13:$D$20),0),IF(D94="NonProd",IF(B94=Allocation!$C$10,SUMIF(Request!$A$13:$A$20,E94,Request!$D$13:$D$20),0),IF(AND(D94="DR",B94=Allocation!$C$11),ROUND(SUMIF(Request!$A$13:$A$20,E94,Request!$D$13:$D$20)*Policy!$B$15,0),0))))</f>
        <v/>
      </c>
      <c r="L94" s="24">
        <f>G94+K94</f>
        <v/>
      </c>
      <c r="M94" s="24">
        <f>MAX(0,J94-K94)</f>
        <v/>
      </c>
      <c r="N94" s="24">
        <f>MAX(0,K94-J94)</f>
        <v/>
      </c>
      <c r="O94" s="24">
        <f>L94+H94</f>
        <v/>
      </c>
      <c r="P94" s="25">
        <f>IF(K94=0,"",IF(N94&gt;0,"Request exceeded free cores","Placed"))</f>
        <v/>
      </c>
    </row>
    <row r="95">
      <c r="A95" s="32">
        <f>Capacity_Reservations!A95</f>
        <v/>
      </c>
      <c r="B95" s="32">
        <f>Capacity_Reservations!B95</f>
        <v/>
      </c>
      <c r="C95" s="33">
        <f>Capacity_Reservations!C95</f>
        <v/>
      </c>
      <c r="D95" s="33">
        <f>Capacity_Reservations!D95</f>
        <v/>
      </c>
      <c r="E95" s="32">
        <f>Capacity_Reservations!E95</f>
        <v/>
      </c>
      <c r="F95" s="33">
        <f>Capacity_Reservations!F95</f>
        <v/>
      </c>
      <c r="G95" s="47">
        <f>Capacity_Reservations!I95</f>
        <v/>
      </c>
      <c r="H95" s="47">
        <f>Capacity_Reservations!J95</f>
        <v/>
      </c>
      <c r="I95" s="47">
        <f>Capacity_Reservations!K95</f>
        <v/>
      </c>
      <c r="J95" s="47">
        <f>Capacity_Reservations!L95</f>
        <v/>
      </c>
      <c r="K95" s="24">
        <f>IF(Allocation!$C$14&lt;&gt;1,0,IF(D95="Prod",IF(B95=Allocation!$C$9,SUMIF(Request!$A$13:$A$20,E95,Request!$D$13:$D$20),0),IF(D95="NonProd",IF(B95=Allocation!$C$10,SUMIF(Request!$A$13:$A$20,E95,Request!$D$13:$D$20),0),IF(AND(D95="DR",B95=Allocation!$C$11),ROUND(SUMIF(Request!$A$13:$A$20,E95,Request!$D$13:$D$20)*Policy!$B$15,0),0))))</f>
        <v/>
      </c>
      <c r="L95" s="24">
        <f>G95+K95</f>
        <v/>
      </c>
      <c r="M95" s="24">
        <f>MAX(0,J95-K95)</f>
        <v/>
      </c>
      <c r="N95" s="24">
        <f>MAX(0,K95-J95)</f>
        <v/>
      </c>
      <c r="O95" s="24">
        <f>L95+H95</f>
        <v/>
      </c>
      <c r="P95" s="25">
        <f>IF(K95=0,"",IF(N95&gt;0,"Request exceeded free cores","Placed"))</f>
        <v/>
      </c>
    </row>
    <row r="96">
      <c r="A96" s="32">
        <f>Capacity_Reservations!A96</f>
        <v/>
      </c>
      <c r="B96" s="32">
        <f>Capacity_Reservations!B96</f>
        <v/>
      </c>
      <c r="C96" s="33">
        <f>Capacity_Reservations!C96</f>
        <v/>
      </c>
      <c r="D96" s="33">
        <f>Capacity_Reservations!D96</f>
        <v/>
      </c>
      <c r="E96" s="32">
        <f>Capacity_Reservations!E96</f>
        <v/>
      </c>
      <c r="F96" s="33">
        <f>Capacity_Reservations!F96</f>
        <v/>
      </c>
      <c r="G96" s="47">
        <f>Capacity_Reservations!I96</f>
        <v/>
      </c>
      <c r="H96" s="47">
        <f>Capacity_Reservations!J96</f>
        <v/>
      </c>
      <c r="I96" s="47">
        <f>Capacity_Reservations!K96</f>
        <v/>
      </c>
      <c r="J96" s="47">
        <f>Capacity_Reservations!L96</f>
        <v/>
      </c>
      <c r="K96" s="24">
        <f>IF(Allocation!$C$14&lt;&gt;1,0,IF(D96="Prod",IF(B96=Allocation!$C$9,SUMIF(Request!$A$13:$A$20,E96,Request!$D$13:$D$20),0),IF(D96="NonProd",IF(B96=Allocation!$C$10,SUMIF(Request!$A$13:$A$20,E96,Request!$D$13:$D$20),0),IF(AND(D96="DR",B96=Allocation!$C$11),ROUND(SUMIF(Request!$A$13:$A$20,E96,Request!$D$13:$D$20)*Policy!$B$15,0),0))))</f>
        <v/>
      </c>
      <c r="L96" s="24">
        <f>G96+K96</f>
        <v/>
      </c>
      <c r="M96" s="24">
        <f>MAX(0,J96-K96)</f>
        <v/>
      </c>
      <c r="N96" s="24">
        <f>MAX(0,K96-J96)</f>
        <v/>
      </c>
      <c r="O96" s="24">
        <f>L96+H96</f>
        <v/>
      </c>
      <c r="P96" s="25">
        <f>IF(K96=0,"",IF(N96&gt;0,"Request exceeded free cores","Placed"))</f>
        <v/>
      </c>
    </row>
    <row r="97">
      <c r="A97" s="32">
        <f>Capacity_Reservations!A97</f>
        <v/>
      </c>
      <c r="B97" s="32">
        <f>Capacity_Reservations!B97</f>
        <v/>
      </c>
      <c r="C97" s="33">
        <f>Capacity_Reservations!C97</f>
        <v/>
      </c>
      <c r="D97" s="33">
        <f>Capacity_Reservations!D97</f>
        <v/>
      </c>
      <c r="E97" s="32">
        <f>Capacity_Reservations!E97</f>
        <v/>
      </c>
      <c r="F97" s="33">
        <f>Capacity_Reservations!F97</f>
        <v/>
      </c>
      <c r="G97" s="47">
        <f>Capacity_Reservations!I97</f>
        <v/>
      </c>
      <c r="H97" s="47">
        <f>Capacity_Reservations!J97</f>
        <v/>
      </c>
      <c r="I97" s="47">
        <f>Capacity_Reservations!K97</f>
        <v/>
      </c>
      <c r="J97" s="47">
        <f>Capacity_Reservations!L97</f>
        <v/>
      </c>
      <c r="K97" s="24">
        <f>IF(Allocation!$C$14&lt;&gt;1,0,IF(D97="Prod",IF(B97=Allocation!$C$9,SUMIF(Request!$A$13:$A$20,E97,Request!$D$13:$D$20),0),IF(D97="NonProd",IF(B97=Allocation!$C$10,SUMIF(Request!$A$13:$A$20,E97,Request!$D$13:$D$20),0),IF(AND(D97="DR",B97=Allocation!$C$11),ROUND(SUMIF(Request!$A$13:$A$20,E97,Request!$D$13:$D$20)*Policy!$B$15,0),0))))</f>
        <v/>
      </c>
      <c r="L97" s="24">
        <f>G97+K97</f>
        <v/>
      </c>
      <c r="M97" s="24">
        <f>MAX(0,J97-K97)</f>
        <v/>
      </c>
      <c r="N97" s="24">
        <f>MAX(0,K97-J97)</f>
        <v/>
      </c>
      <c r="O97" s="24">
        <f>L97+H97</f>
        <v/>
      </c>
      <c r="P97" s="25">
        <f>IF(K97=0,"",IF(N97&gt;0,"Request exceeded free cores","Placed"))</f>
        <v/>
      </c>
    </row>
    <row r="98">
      <c r="A98" s="32">
        <f>Capacity_Reservations!A98</f>
        <v/>
      </c>
      <c r="B98" s="32">
        <f>Capacity_Reservations!B98</f>
        <v/>
      </c>
      <c r="C98" s="33">
        <f>Capacity_Reservations!C98</f>
        <v/>
      </c>
      <c r="D98" s="33">
        <f>Capacity_Reservations!D98</f>
        <v/>
      </c>
      <c r="E98" s="32">
        <f>Capacity_Reservations!E98</f>
        <v/>
      </c>
      <c r="F98" s="33">
        <f>Capacity_Reservations!F98</f>
        <v/>
      </c>
      <c r="G98" s="47">
        <f>Capacity_Reservations!I98</f>
        <v/>
      </c>
      <c r="H98" s="47">
        <f>Capacity_Reservations!J98</f>
        <v/>
      </c>
      <c r="I98" s="47">
        <f>Capacity_Reservations!K98</f>
        <v/>
      </c>
      <c r="J98" s="47">
        <f>Capacity_Reservations!L98</f>
        <v/>
      </c>
      <c r="K98" s="24">
        <f>IF(Allocation!$C$14&lt;&gt;1,0,IF(D98="Prod",IF(B98=Allocation!$C$9,SUMIF(Request!$A$13:$A$20,E98,Request!$D$13:$D$20),0),IF(D98="NonProd",IF(B98=Allocation!$C$10,SUMIF(Request!$A$13:$A$20,E98,Request!$D$13:$D$20),0),IF(AND(D98="DR",B98=Allocation!$C$11),ROUND(SUMIF(Request!$A$13:$A$20,E98,Request!$D$13:$D$20)*Policy!$B$15,0),0))))</f>
        <v/>
      </c>
      <c r="L98" s="24">
        <f>G98+K98</f>
        <v/>
      </c>
      <c r="M98" s="24">
        <f>MAX(0,J98-K98)</f>
        <v/>
      </c>
      <c r="N98" s="24">
        <f>MAX(0,K98-J98)</f>
        <v/>
      </c>
      <c r="O98" s="24">
        <f>L98+H98</f>
        <v/>
      </c>
      <c r="P98" s="25">
        <f>IF(K98=0,"",IF(N98&gt;0,"Request exceeded free cores","Placed"))</f>
        <v/>
      </c>
    </row>
    <row r="99">
      <c r="A99" s="32">
        <f>Capacity_Reservations!A99</f>
        <v/>
      </c>
      <c r="B99" s="32">
        <f>Capacity_Reservations!B99</f>
        <v/>
      </c>
      <c r="C99" s="33">
        <f>Capacity_Reservations!C99</f>
        <v/>
      </c>
      <c r="D99" s="33">
        <f>Capacity_Reservations!D99</f>
        <v/>
      </c>
      <c r="E99" s="32">
        <f>Capacity_Reservations!E99</f>
        <v/>
      </c>
      <c r="F99" s="33">
        <f>Capacity_Reservations!F99</f>
        <v/>
      </c>
      <c r="G99" s="47">
        <f>Capacity_Reservations!I99</f>
        <v/>
      </c>
      <c r="H99" s="47">
        <f>Capacity_Reservations!J99</f>
        <v/>
      </c>
      <c r="I99" s="47">
        <f>Capacity_Reservations!K99</f>
        <v/>
      </c>
      <c r="J99" s="47">
        <f>Capacity_Reservations!L99</f>
        <v/>
      </c>
      <c r="K99" s="24">
        <f>IF(Allocation!$C$14&lt;&gt;1,0,IF(D99="Prod",IF(B99=Allocation!$C$9,SUMIF(Request!$A$13:$A$20,E99,Request!$D$13:$D$20),0),IF(D99="NonProd",IF(B99=Allocation!$C$10,SUMIF(Request!$A$13:$A$20,E99,Request!$D$13:$D$20),0),IF(AND(D99="DR",B99=Allocation!$C$11),ROUND(SUMIF(Request!$A$13:$A$20,E99,Request!$D$13:$D$20)*Policy!$B$15,0),0))))</f>
        <v/>
      </c>
      <c r="L99" s="24">
        <f>G99+K99</f>
        <v/>
      </c>
      <c r="M99" s="24">
        <f>MAX(0,J99-K99)</f>
        <v/>
      </c>
      <c r="N99" s="24">
        <f>MAX(0,K99-J99)</f>
        <v/>
      </c>
      <c r="O99" s="24">
        <f>L99+H99</f>
        <v/>
      </c>
      <c r="P99" s="25">
        <f>IF(K99=0,"",IF(N99&gt;0,"Request exceeded free cores","Placed"))</f>
        <v/>
      </c>
    </row>
    <row r="100">
      <c r="A100" s="32">
        <f>Capacity_Reservations!A100</f>
        <v/>
      </c>
      <c r="B100" s="32">
        <f>Capacity_Reservations!B100</f>
        <v/>
      </c>
      <c r="C100" s="33">
        <f>Capacity_Reservations!C100</f>
        <v/>
      </c>
      <c r="D100" s="33">
        <f>Capacity_Reservations!D100</f>
        <v/>
      </c>
      <c r="E100" s="32">
        <f>Capacity_Reservations!E100</f>
        <v/>
      </c>
      <c r="F100" s="33">
        <f>Capacity_Reservations!F100</f>
        <v/>
      </c>
      <c r="G100" s="47">
        <f>Capacity_Reservations!I100</f>
        <v/>
      </c>
      <c r="H100" s="47">
        <f>Capacity_Reservations!J100</f>
        <v/>
      </c>
      <c r="I100" s="47">
        <f>Capacity_Reservations!K100</f>
        <v/>
      </c>
      <c r="J100" s="47">
        <f>Capacity_Reservations!L100</f>
        <v/>
      </c>
      <c r="K100" s="24">
        <f>IF(Allocation!$C$14&lt;&gt;1,0,IF(D100="Prod",IF(B100=Allocation!$C$9,SUMIF(Request!$A$13:$A$20,E100,Request!$D$13:$D$20),0),IF(D100="NonProd",IF(B100=Allocation!$C$10,SUMIF(Request!$A$13:$A$20,E100,Request!$D$13:$D$20),0),IF(AND(D100="DR",B100=Allocation!$C$11),ROUND(SUMIF(Request!$A$13:$A$20,E100,Request!$D$13:$D$20)*Policy!$B$15,0),0))))</f>
        <v/>
      </c>
      <c r="L100" s="24">
        <f>G100+K100</f>
        <v/>
      </c>
      <c r="M100" s="24">
        <f>MAX(0,J100-K100)</f>
        <v/>
      </c>
      <c r="N100" s="24">
        <f>MAX(0,K100-J100)</f>
        <v/>
      </c>
      <c r="O100" s="24">
        <f>L100+H100</f>
        <v/>
      </c>
      <c r="P100" s="25">
        <f>IF(K100=0,"",IF(N100&gt;0,"Request exceeded free cores","Placed"))</f>
        <v/>
      </c>
    </row>
    <row r="101">
      <c r="A101" s="32">
        <f>Capacity_Reservations!A101</f>
        <v/>
      </c>
      <c r="B101" s="32">
        <f>Capacity_Reservations!B101</f>
        <v/>
      </c>
      <c r="C101" s="33">
        <f>Capacity_Reservations!C101</f>
        <v/>
      </c>
      <c r="D101" s="33">
        <f>Capacity_Reservations!D101</f>
        <v/>
      </c>
      <c r="E101" s="32">
        <f>Capacity_Reservations!E101</f>
        <v/>
      </c>
      <c r="F101" s="33">
        <f>Capacity_Reservations!F101</f>
        <v/>
      </c>
      <c r="G101" s="47">
        <f>Capacity_Reservations!I101</f>
        <v/>
      </c>
      <c r="H101" s="47">
        <f>Capacity_Reservations!J101</f>
        <v/>
      </c>
      <c r="I101" s="47">
        <f>Capacity_Reservations!K101</f>
        <v/>
      </c>
      <c r="J101" s="47">
        <f>Capacity_Reservations!L101</f>
        <v/>
      </c>
      <c r="K101" s="24">
        <f>IF(Allocation!$C$14&lt;&gt;1,0,IF(D101="Prod",IF(B101=Allocation!$C$9,SUMIF(Request!$A$13:$A$20,E101,Request!$D$13:$D$20),0),IF(D101="NonProd",IF(B101=Allocation!$C$10,SUMIF(Request!$A$13:$A$20,E101,Request!$D$13:$D$20),0),IF(AND(D101="DR",B101=Allocation!$C$11),ROUND(SUMIF(Request!$A$13:$A$20,E101,Request!$D$13:$D$20)*Policy!$B$15,0),0))))</f>
        <v/>
      </c>
      <c r="L101" s="24">
        <f>G101+K101</f>
        <v/>
      </c>
      <c r="M101" s="24">
        <f>MAX(0,J101-K101)</f>
        <v/>
      </c>
      <c r="N101" s="24">
        <f>MAX(0,K101-J101)</f>
        <v/>
      </c>
      <c r="O101" s="24">
        <f>L101+H101</f>
        <v/>
      </c>
      <c r="P101" s="25">
        <f>IF(K101=0,"",IF(N101&gt;0,"Request exceeded free cores","Placed"))</f>
        <v/>
      </c>
    </row>
    <row r="102">
      <c r="A102" s="32">
        <f>Capacity_Reservations!A102</f>
        <v/>
      </c>
      <c r="B102" s="32">
        <f>Capacity_Reservations!B102</f>
        <v/>
      </c>
      <c r="C102" s="33">
        <f>Capacity_Reservations!C102</f>
        <v/>
      </c>
      <c r="D102" s="33">
        <f>Capacity_Reservations!D102</f>
        <v/>
      </c>
      <c r="E102" s="32">
        <f>Capacity_Reservations!E102</f>
        <v/>
      </c>
      <c r="F102" s="33">
        <f>Capacity_Reservations!F102</f>
        <v/>
      </c>
      <c r="G102" s="47">
        <f>Capacity_Reservations!I102</f>
        <v/>
      </c>
      <c r="H102" s="47">
        <f>Capacity_Reservations!J102</f>
        <v/>
      </c>
      <c r="I102" s="47">
        <f>Capacity_Reservations!K102</f>
        <v/>
      </c>
      <c r="J102" s="47">
        <f>Capacity_Reservations!L102</f>
        <v/>
      </c>
      <c r="K102" s="24">
        <f>IF(Allocation!$C$14&lt;&gt;1,0,IF(D102="Prod",IF(B102=Allocation!$C$9,SUMIF(Request!$A$13:$A$20,E102,Request!$D$13:$D$20),0),IF(D102="NonProd",IF(B102=Allocation!$C$10,SUMIF(Request!$A$13:$A$20,E102,Request!$D$13:$D$20),0),IF(AND(D102="DR",B102=Allocation!$C$11),ROUND(SUMIF(Request!$A$13:$A$20,E102,Request!$D$13:$D$20)*Policy!$B$15,0),0))))</f>
        <v/>
      </c>
      <c r="L102" s="24">
        <f>G102+K102</f>
        <v/>
      </c>
      <c r="M102" s="24">
        <f>MAX(0,J102-K102)</f>
        <v/>
      </c>
      <c r="N102" s="24">
        <f>MAX(0,K102-J102)</f>
        <v/>
      </c>
      <c r="O102" s="24">
        <f>L102+H102</f>
        <v/>
      </c>
      <c r="P102" s="25">
        <f>IF(K102=0,"",IF(N102&gt;0,"Request exceeded free cores","Placed"))</f>
        <v/>
      </c>
    </row>
    <row r="103">
      <c r="A103" s="32">
        <f>Capacity_Reservations!A103</f>
        <v/>
      </c>
      <c r="B103" s="32">
        <f>Capacity_Reservations!B103</f>
        <v/>
      </c>
      <c r="C103" s="33">
        <f>Capacity_Reservations!C103</f>
        <v/>
      </c>
      <c r="D103" s="33">
        <f>Capacity_Reservations!D103</f>
        <v/>
      </c>
      <c r="E103" s="32">
        <f>Capacity_Reservations!E103</f>
        <v/>
      </c>
      <c r="F103" s="33">
        <f>Capacity_Reservations!F103</f>
        <v/>
      </c>
      <c r="G103" s="47">
        <f>Capacity_Reservations!I103</f>
        <v/>
      </c>
      <c r="H103" s="47">
        <f>Capacity_Reservations!J103</f>
        <v/>
      </c>
      <c r="I103" s="47">
        <f>Capacity_Reservations!K103</f>
        <v/>
      </c>
      <c r="J103" s="47">
        <f>Capacity_Reservations!L103</f>
        <v/>
      </c>
      <c r="K103" s="24">
        <f>IF(Allocation!$C$14&lt;&gt;1,0,IF(D103="Prod",IF(B103=Allocation!$C$9,SUMIF(Request!$A$13:$A$20,E103,Request!$D$13:$D$20),0),IF(D103="NonProd",IF(B103=Allocation!$C$10,SUMIF(Request!$A$13:$A$20,E103,Request!$D$13:$D$20),0),IF(AND(D103="DR",B103=Allocation!$C$11),ROUND(SUMIF(Request!$A$13:$A$20,E103,Request!$D$13:$D$20)*Policy!$B$15,0),0))))</f>
        <v/>
      </c>
      <c r="L103" s="24">
        <f>G103+K103</f>
        <v/>
      </c>
      <c r="M103" s="24">
        <f>MAX(0,J103-K103)</f>
        <v/>
      </c>
      <c r="N103" s="24">
        <f>MAX(0,K103-J103)</f>
        <v/>
      </c>
      <c r="O103" s="24">
        <f>L103+H103</f>
        <v/>
      </c>
      <c r="P103" s="25">
        <f>IF(K103=0,"",IF(N103&gt;0,"Request exceeded free cores","Placed"))</f>
        <v/>
      </c>
    </row>
    <row r="104">
      <c r="A104" s="32">
        <f>Capacity_Reservations!A104</f>
        <v/>
      </c>
      <c r="B104" s="32">
        <f>Capacity_Reservations!B104</f>
        <v/>
      </c>
      <c r="C104" s="33">
        <f>Capacity_Reservations!C104</f>
        <v/>
      </c>
      <c r="D104" s="33">
        <f>Capacity_Reservations!D104</f>
        <v/>
      </c>
      <c r="E104" s="32">
        <f>Capacity_Reservations!E104</f>
        <v/>
      </c>
      <c r="F104" s="33">
        <f>Capacity_Reservations!F104</f>
        <v/>
      </c>
      <c r="G104" s="47">
        <f>Capacity_Reservations!I104</f>
        <v/>
      </c>
      <c r="H104" s="47">
        <f>Capacity_Reservations!J104</f>
        <v/>
      </c>
      <c r="I104" s="47">
        <f>Capacity_Reservations!K104</f>
        <v/>
      </c>
      <c r="J104" s="47">
        <f>Capacity_Reservations!L104</f>
        <v/>
      </c>
      <c r="K104" s="24">
        <f>IF(Allocation!$C$14&lt;&gt;1,0,IF(D104="Prod",IF(B104=Allocation!$C$9,SUMIF(Request!$A$13:$A$20,E104,Request!$D$13:$D$20),0),IF(D104="NonProd",IF(B104=Allocation!$C$10,SUMIF(Request!$A$13:$A$20,E104,Request!$D$13:$D$20),0),IF(AND(D104="DR",B104=Allocation!$C$11),ROUND(SUMIF(Request!$A$13:$A$20,E104,Request!$D$13:$D$20)*Policy!$B$15,0),0))))</f>
        <v/>
      </c>
      <c r="L104" s="24">
        <f>G104+K104</f>
        <v/>
      </c>
      <c r="M104" s="24">
        <f>MAX(0,J104-K104)</f>
        <v/>
      </c>
      <c r="N104" s="24">
        <f>MAX(0,K104-J104)</f>
        <v/>
      </c>
      <c r="O104" s="24">
        <f>L104+H104</f>
        <v/>
      </c>
      <c r="P104" s="25">
        <f>IF(K104=0,"",IF(N104&gt;0,"Request exceeded free cores","Placed"))</f>
        <v/>
      </c>
    </row>
    <row r="105">
      <c r="A105" s="32">
        <f>Capacity_Reservations!A105</f>
        <v/>
      </c>
      <c r="B105" s="32">
        <f>Capacity_Reservations!B105</f>
        <v/>
      </c>
      <c r="C105" s="33">
        <f>Capacity_Reservations!C105</f>
        <v/>
      </c>
      <c r="D105" s="33">
        <f>Capacity_Reservations!D105</f>
        <v/>
      </c>
      <c r="E105" s="32">
        <f>Capacity_Reservations!E105</f>
        <v/>
      </c>
      <c r="F105" s="33">
        <f>Capacity_Reservations!F105</f>
        <v/>
      </c>
      <c r="G105" s="47">
        <f>Capacity_Reservations!I105</f>
        <v/>
      </c>
      <c r="H105" s="47">
        <f>Capacity_Reservations!J105</f>
        <v/>
      </c>
      <c r="I105" s="47">
        <f>Capacity_Reservations!K105</f>
        <v/>
      </c>
      <c r="J105" s="47">
        <f>Capacity_Reservations!L105</f>
        <v/>
      </c>
      <c r="K105" s="24">
        <f>IF(Allocation!$C$14&lt;&gt;1,0,IF(D105="Prod",IF(B105=Allocation!$C$9,SUMIF(Request!$A$13:$A$20,E105,Request!$D$13:$D$20),0),IF(D105="NonProd",IF(B105=Allocation!$C$10,SUMIF(Request!$A$13:$A$20,E105,Request!$D$13:$D$20),0),IF(AND(D105="DR",B105=Allocation!$C$11),ROUND(SUMIF(Request!$A$13:$A$20,E105,Request!$D$13:$D$20)*Policy!$B$15,0),0))))</f>
        <v/>
      </c>
      <c r="L105" s="24">
        <f>G105+K105</f>
        <v/>
      </c>
      <c r="M105" s="24">
        <f>MAX(0,J105-K105)</f>
        <v/>
      </c>
      <c r="N105" s="24">
        <f>MAX(0,K105-J105)</f>
        <v/>
      </c>
      <c r="O105" s="24">
        <f>L105+H105</f>
        <v/>
      </c>
      <c r="P105" s="25">
        <f>IF(K105=0,"",IF(N105&gt;0,"Request exceeded free cores","Placed"))</f>
        <v/>
      </c>
    </row>
    <row r="106">
      <c r="A106" s="32">
        <f>Capacity_Reservations!A106</f>
        <v/>
      </c>
      <c r="B106" s="32">
        <f>Capacity_Reservations!B106</f>
        <v/>
      </c>
      <c r="C106" s="33">
        <f>Capacity_Reservations!C106</f>
        <v/>
      </c>
      <c r="D106" s="33">
        <f>Capacity_Reservations!D106</f>
        <v/>
      </c>
      <c r="E106" s="32">
        <f>Capacity_Reservations!E106</f>
        <v/>
      </c>
      <c r="F106" s="33">
        <f>Capacity_Reservations!F106</f>
        <v/>
      </c>
      <c r="G106" s="47">
        <f>Capacity_Reservations!I106</f>
        <v/>
      </c>
      <c r="H106" s="47">
        <f>Capacity_Reservations!J106</f>
        <v/>
      </c>
      <c r="I106" s="47">
        <f>Capacity_Reservations!K106</f>
        <v/>
      </c>
      <c r="J106" s="47">
        <f>Capacity_Reservations!L106</f>
        <v/>
      </c>
      <c r="K106" s="24">
        <f>IF(Allocation!$C$14&lt;&gt;1,0,IF(D106="Prod",IF(B106=Allocation!$C$9,SUMIF(Request!$A$13:$A$20,E106,Request!$D$13:$D$20),0),IF(D106="NonProd",IF(B106=Allocation!$C$10,SUMIF(Request!$A$13:$A$20,E106,Request!$D$13:$D$20),0),IF(AND(D106="DR",B106=Allocation!$C$11),ROUND(SUMIF(Request!$A$13:$A$20,E106,Request!$D$13:$D$20)*Policy!$B$15,0),0))))</f>
        <v/>
      </c>
      <c r="L106" s="24">
        <f>G106+K106</f>
        <v/>
      </c>
      <c r="M106" s="24">
        <f>MAX(0,J106-K106)</f>
        <v/>
      </c>
      <c r="N106" s="24">
        <f>MAX(0,K106-J106)</f>
        <v/>
      </c>
      <c r="O106" s="24">
        <f>L106+H106</f>
        <v/>
      </c>
      <c r="P106" s="25">
        <f>IF(K106=0,"",IF(N106&gt;0,"Request exceeded free cores","Placed"))</f>
        <v/>
      </c>
    </row>
    <row r="107">
      <c r="A107" s="32">
        <f>Capacity_Reservations!A107</f>
        <v/>
      </c>
      <c r="B107" s="32">
        <f>Capacity_Reservations!B107</f>
        <v/>
      </c>
      <c r="C107" s="33">
        <f>Capacity_Reservations!C107</f>
        <v/>
      </c>
      <c r="D107" s="33">
        <f>Capacity_Reservations!D107</f>
        <v/>
      </c>
      <c r="E107" s="32">
        <f>Capacity_Reservations!E107</f>
        <v/>
      </c>
      <c r="F107" s="33">
        <f>Capacity_Reservations!F107</f>
        <v/>
      </c>
      <c r="G107" s="47">
        <f>Capacity_Reservations!I107</f>
        <v/>
      </c>
      <c r="H107" s="47">
        <f>Capacity_Reservations!J107</f>
        <v/>
      </c>
      <c r="I107" s="47">
        <f>Capacity_Reservations!K107</f>
        <v/>
      </c>
      <c r="J107" s="47">
        <f>Capacity_Reservations!L107</f>
        <v/>
      </c>
      <c r="K107" s="24">
        <f>IF(Allocation!$C$14&lt;&gt;1,0,IF(D107="Prod",IF(B107=Allocation!$C$9,SUMIF(Request!$A$13:$A$20,E107,Request!$D$13:$D$20),0),IF(D107="NonProd",IF(B107=Allocation!$C$10,SUMIF(Request!$A$13:$A$20,E107,Request!$D$13:$D$20),0),IF(AND(D107="DR",B107=Allocation!$C$11),ROUND(SUMIF(Request!$A$13:$A$20,E107,Request!$D$13:$D$20)*Policy!$B$15,0),0))))</f>
        <v/>
      </c>
      <c r="L107" s="24">
        <f>G107+K107</f>
        <v/>
      </c>
      <c r="M107" s="24">
        <f>MAX(0,J107-K107)</f>
        <v/>
      </c>
      <c r="N107" s="24">
        <f>MAX(0,K107-J107)</f>
        <v/>
      </c>
      <c r="O107" s="24">
        <f>L107+H107</f>
        <v/>
      </c>
      <c r="P107" s="25">
        <f>IF(K107=0,"",IF(N107&gt;0,"Request exceeded free cores","Placed"))</f>
        <v/>
      </c>
    </row>
    <row r="108">
      <c r="A108" s="32">
        <f>Capacity_Reservations!A108</f>
        <v/>
      </c>
      <c r="B108" s="32">
        <f>Capacity_Reservations!B108</f>
        <v/>
      </c>
      <c r="C108" s="33">
        <f>Capacity_Reservations!C108</f>
        <v/>
      </c>
      <c r="D108" s="33">
        <f>Capacity_Reservations!D108</f>
        <v/>
      </c>
      <c r="E108" s="32">
        <f>Capacity_Reservations!E108</f>
        <v/>
      </c>
      <c r="F108" s="33">
        <f>Capacity_Reservations!F108</f>
        <v/>
      </c>
      <c r="G108" s="47">
        <f>Capacity_Reservations!I108</f>
        <v/>
      </c>
      <c r="H108" s="47">
        <f>Capacity_Reservations!J108</f>
        <v/>
      </c>
      <c r="I108" s="47">
        <f>Capacity_Reservations!K108</f>
        <v/>
      </c>
      <c r="J108" s="47">
        <f>Capacity_Reservations!L108</f>
        <v/>
      </c>
      <c r="K108" s="24">
        <f>IF(Allocation!$C$14&lt;&gt;1,0,IF(D108="Prod",IF(B108=Allocation!$C$9,SUMIF(Request!$A$13:$A$20,E108,Request!$D$13:$D$20),0),IF(D108="NonProd",IF(B108=Allocation!$C$10,SUMIF(Request!$A$13:$A$20,E108,Request!$D$13:$D$20),0),IF(AND(D108="DR",B108=Allocation!$C$11),ROUND(SUMIF(Request!$A$13:$A$20,E108,Request!$D$13:$D$20)*Policy!$B$15,0),0))))</f>
        <v/>
      </c>
      <c r="L108" s="24">
        <f>G108+K108</f>
        <v/>
      </c>
      <c r="M108" s="24">
        <f>MAX(0,J108-K108)</f>
        <v/>
      </c>
      <c r="N108" s="24">
        <f>MAX(0,K108-J108)</f>
        <v/>
      </c>
      <c r="O108" s="24">
        <f>L108+H108</f>
        <v/>
      </c>
      <c r="P108" s="25">
        <f>IF(K108=0,"",IF(N108&gt;0,"Request exceeded free cores","Placed"))</f>
        <v/>
      </c>
    </row>
    <row r="109">
      <c r="A109" s="32">
        <f>Capacity_Reservations!A109</f>
        <v/>
      </c>
      <c r="B109" s="32">
        <f>Capacity_Reservations!B109</f>
        <v/>
      </c>
      <c r="C109" s="33">
        <f>Capacity_Reservations!C109</f>
        <v/>
      </c>
      <c r="D109" s="33">
        <f>Capacity_Reservations!D109</f>
        <v/>
      </c>
      <c r="E109" s="32">
        <f>Capacity_Reservations!E109</f>
        <v/>
      </c>
      <c r="F109" s="33">
        <f>Capacity_Reservations!F109</f>
        <v/>
      </c>
      <c r="G109" s="47">
        <f>Capacity_Reservations!I109</f>
        <v/>
      </c>
      <c r="H109" s="47">
        <f>Capacity_Reservations!J109</f>
        <v/>
      </c>
      <c r="I109" s="47">
        <f>Capacity_Reservations!K109</f>
        <v/>
      </c>
      <c r="J109" s="47">
        <f>Capacity_Reservations!L109</f>
        <v/>
      </c>
      <c r="K109" s="24">
        <f>IF(Allocation!$C$14&lt;&gt;1,0,IF(D109="Prod",IF(B109=Allocation!$C$9,SUMIF(Request!$A$13:$A$20,E109,Request!$D$13:$D$20),0),IF(D109="NonProd",IF(B109=Allocation!$C$10,SUMIF(Request!$A$13:$A$20,E109,Request!$D$13:$D$20),0),IF(AND(D109="DR",B109=Allocation!$C$11),ROUND(SUMIF(Request!$A$13:$A$20,E109,Request!$D$13:$D$20)*Policy!$B$15,0),0))))</f>
        <v/>
      </c>
      <c r="L109" s="24">
        <f>G109+K109</f>
        <v/>
      </c>
      <c r="M109" s="24">
        <f>MAX(0,J109-K109)</f>
        <v/>
      </c>
      <c r="N109" s="24">
        <f>MAX(0,K109-J109)</f>
        <v/>
      </c>
      <c r="O109" s="24">
        <f>L109+H109</f>
        <v/>
      </c>
      <c r="P109" s="25">
        <f>IF(K109=0,"",IF(N109&gt;0,"Request exceeded free cores","Placed"))</f>
        <v/>
      </c>
    </row>
    <row r="110">
      <c r="A110" s="32">
        <f>Capacity_Reservations!A110</f>
        <v/>
      </c>
      <c r="B110" s="32">
        <f>Capacity_Reservations!B110</f>
        <v/>
      </c>
      <c r="C110" s="33">
        <f>Capacity_Reservations!C110</f>
        <v/>
      </c>
      <c r="D110" s="33">
        <f>Capacity_Reservations!D110</f>
        <v/>
      </c>
      <c r="E110" s="32">
        <f>Capacity_Reservations!E110</f>
        <v/>
      </c>
      <c r="F110" s="33">
        <f>Capacity_Reservations!F110</f>
        <v/>
      </c>
      <c r="G110" s="47">
        <f>Capacity_Reservations!I110</f>
        <v/>
      </c>
      <c r="H110" s="47">
        <f>Capacity_Reservations!J110</f>
        <v/>
      </c>
      <c r="I110" s="47">
        <f>Capacity_Reservations!K110</f>
        <v/>
      </c>
      <c r="J110" s="47">
        <f>Capacity_Reservations!L110</f>
        <v/>
      </c>
      <c r="K110" s="24">
        <f>IF(Allocation!$C$14&lt;&gt;1,0,IF(D110="Prod",IF(B110=Allocation!$C$9,SUMIF(Request!$A$13:$A$20,E110,Request!$D$13:$D$20),0),IF(D110="NonProd",IF(B110=Allocation!$C$10,SUMIF(Request!$A$13:$A$20,E110,Request!$D$13:$D$20),0),IF(AND(D110="DR",B110=Allocation!$C$11),ROUND(SUMIF(Request!$A$13:$A$20,E110,Request!$D$13:$D$20)*Policy!$B$15,0),0))))</f>
        <v/>
      </c>
      <c r="L110" s="24">
        <f>G110+K110</f>
        <v/>
      </c>
      <c r="M110" s="24">
        <f>MAX(0,J110-K110)</f>
        <v/>
      </c>
      <c r="N110" s="24">
        <f>MAX(0,K110-J110)</f>
        <v/>
      </c>
      <c r="O110" s="24">
        <f>L110+H110</f>
        <v/>
      </c>
      <c r="P110" s="25">
        <f>IF(K110=0,"",IF(N110&gt;0,"Request exceeded free cores","Placed"))</f>
        <v/>
      </c>
    </row>
    <row r="111">
      <c r="A111" s="32">
        <f>Capacity_Reservations!A111</f>
        <v/>
      </c>
      <c r="B111" s="32">
        <f>Capacity_Reservations!B111</f>
        <v/>
      </c>
      <c r="C111" s="33">
        <f>Capacity_Reservations!C111</f>
        <v/>
      </c>
      <c r="D111" s="33">
        <f>Capacity_Reservations!D111</f>
        <v/>
      </c>
      <c r="E111" s="32">
        <f>Capacity_Reservations!E111</f>
        <v/>
      </c>
      <c r="F111" s="33">
        <f>Capacity_Reservations!F111</f>
        <v/>
      </c>
      <c r="G111" s="47">
        <f>Capacity_Reservations!I111</f>
        <v/>
      </c>
      <c r="H111" s="47">
        <f>Capacity_Reservations!J111</f>
        <v/>
      </c>
      <c r="I111" s="47">
        <f>Capacity_Reservations!K111</f>
        <v/>
      </c>
      <c r="J111" s="47">
        <f>Capacity_Reservations!L111</f>
        <v/>
      </c>
      <c r="K111" s="24">
        <f>IF(Allocation!$C$14&lt;&gt;1,0,IF(D111="Prod",IF(B111=Allocation!$C$9,SUMIF(Request!$A$13:$A$20,E111,Request!$D$13:$D$20),0),IF(D111="NonProd",IF(B111=Allocation!$C$10,SUMIF(Request!$A$13:$A$20,E111,Request!$D$13:$D$20),0),IF(AND(D111="DR",B111=Allocation!$C$11),ROUND(SUMIF(Request!$A$13:$A$20,E111,Request!$D$13:$D$20)*Policy!$B$15,0),0))))</f>
        <v/>
      </c>
      <c r="L111" s="24">
        <f>G111+K111</f>
        <v/>
      </c>
      <c r="M111" s="24">
        <f>MAX(0,J111-K111)</f>
        <v/>
      </c>
      <c r="N111" s="24">
        <f>MAX(0,K111-J111)</f>
        <v/>
      </c>
      <c r="O111" s="24">
        <f>L111+H111</f>
        <v/>
      </c>
      <c r="P111" s="25">
        <f>IF(K111=0,"",IF(N111&gt;0,"Request exceeded free cores","Placed"))</f>
        <v/>
      </c>
    </row>
    <row r="112">
      <c r="A112" s="32">
        <f>Capacity_Reservations!A112</f>
        <v/>
      </c>
      <c r="B112" s="32">
        <f>Capacity_Reservations!B112</f>
        <v/>
      </c>
      <c r="C112" s="33">
        <f>Capacity_Reservations!C112</f>
        <v/>
      </c>
      <c r="D112" s="33">
        <f>Capacity_Reservations!D112</f>
        <v/>
      </c>
      <c r="E112" s="32">
        <f>Capacity_Reservations!E112</f>
        <v/>
      </c>
      <c r="F112" s="33">
        <f>Capacity_Reservations!F112</f>
        <v/>
      </c>
      <c r="G112" s="47">
        <f>Capacity_Reservations!I112</f>
        <v/>
      </c>
      <c r="H112" s="47">
        <f>Capacity_Reservations!J112</f>
        <v/>
      </c>
      <c r="I112" s="47">
        <f>Capacity_Reservations!K112</f>
        <v/>
      </c>
      <c r="J112" s="47">
        <f>Capacity_Reservations!L112</f>
        <v/>
      </c>
      <c r="K112" s="24">
        <f>IF(Allocation!$C$14&lt;&gt;1,0,IF(D112="Prod",IF(B112=Allocation!$C$9,SUMIF(Request!$A$13:$A$20,E112,Request!$D$13:$D$20),0),IF(D112="NonProd",IF(B112=Allocation!$C$10,SUMIF(Request!$A$13:$A$20,E112,Request!$D$13:$D$20),0),IF(AND(D112="DR",B112=Allocation!$C$11),ROUND(SUMIF(Request!$A$13:$A$20,E112,Request!$D$13:$D$20)*Policy!$B$15,0),0))))</f>
        <v/>
      </c>
      <c r="L112" s="24">
        <f>G112+K112</f>
        <v/>
      </c>
      <c r="M112" s="24">
        <f>MAX(0,J112-K112)</f>
        <v/>
      </c>
      <c r="N112" s="24">
        <f>MAX(0,K112-J112)</f>
        <v/>
      </c>
      <c r="O112" s="24">
        <f>L112+H112</f>
        <v/>
      </c>
      <c r="P112" s="25">
        <f>IF(K112=0,"",IF(N112&gt;0,"Request exceeded free cores","Placed"))</f>
        <v/>
      </c>
    </row>
    <row r="113">
      <c r="A113" s="32">
        <f>Capacity_Reservations!A113</f>
        <v/>
      </c>
      <c r="B113" s="32">
        <f>Capacity_Reservations!B113</f>
        <v/>
      </c>
      <c r="C113" s="33">
        <f>Capacity_Reservations!C113</f>
        <v/>
      </c>
      <c r="D113" s="33">
        <f>Capacity_Reservations!D113</f>
        <v/>
      </c>
      <c r="E113" s="32">
        <f>Capacity_Reservations!E113</f>
        <v/>
      </c>
      <c r="F113" s="33">
        <f>Capacity_Reservations!F113</f>
        <v/>
      </c>
      <c r="G113" s="47">
        <f>Capacity_Reservations!I113</f>
        <v/>
      </c>
      <c r="H113" s="47">
        <f>Capacity_Reservations!J113</f>
        <v/>
      </c>
      <c r="I113" s="47">
        <f>Capacity_Reservations!K113</f>
        <v/>
      </c>
      <c r="J113" s="47">
        <f>Capacity_Reservations!L113</f>
        <v/>
      </c>
      <c r="K113" s="24">
        <f>IF(Allocation!$C$14&lt;&gt;1,0,IF(D113="Prod",IF(B113=Allocation!$C$9,SUMIF(Request!$A$13:$A$20,E113,Request!$D$13:$D$20),0),IF(D113="NonProd",IF(B113=Allocation!$C$10,SUMIF(Request!$A$13:$A$20,E113,Request!$D$13:$D$20),0),IF(AND(D113="DR",B113=Allocation!$C$11),ROUND(SUMIF(Request!$A$13:$A$20,E113,Request!$D$13:$D$20)*Policy!$B$15,0),0))))</f>
        <v/>
      </c>
      <c r="L113" s="24">
        <f>G113+K113</f>
        <v/>
      </c>
      <c r="M113" s="24">
        <f>MAX(0,J113-K113)</f>
        <v/>
      </c>
      <c r="N113" s="24">
        <f>MAX(0,K113-J113)</f>
        <v/>
      </c>
      <c r="O113" s="24">
        <f>L113+H113</f>
        <v/>
      </c>
      <c r="P113" s="25">
        <f>IF(K113=0,"",IF(N113&gt;0,"Request exceeded free cores","Placed"))</f>
        <v/>
      </c>
    </row>
    <row r="114">
      <c r="A114" s="32">
        <f>Capacity_Reservations!A114</f>
        <v/>
      </c>
      <c r="B114" s="32">
        <f>Capacity_Reservations!B114</f>
        <v/>
      </c>
      <c r="C114" s="33">
        <f>Capacity_Reservations!C114</f>
        <v/>
      </c>
      <c r="D114" s="33">
        <f>Capacity_Reservations!D114</f>
        <v/>
      </c>
      <c r="E114" s="32">
        <f>Capacity_Reservations!E114</f>
        <v/>
      </c>
      <c r="F114" s="33">
        <f>Capacity_Reservations!F114</f>
        <v/>
      </c>
      <c r="G114" s="47">
        <f>Capacity_Reservations!I114</f>
        <v/>
      </c>
      <c r="H114" s="47">
        <f>Capacity_Reservations!J114</f>
        <v/>
      </c>
      <c r="I114" s="47">
        <f>Capacity_Reservations!K114</f>
        <v/>
      </c>
      <c r="J114" s="47">
        <f>Capacity_Reservations!L114</f>
        <v/>
      </c>
      <c r="K114" s="24">
        <f>IF(Allocation!$C$14&lt;&gt;1,0,IF(D114="Prod",IF(B114=Allocation!$C$9,SUMIF(Request!$A$13:$A$20,E114,Request!$D$13:$D$20),0),IF(D114="NonProd",IF(B114=Allocation!$C$10,SUMIF(Request!$A$13:$A$20,E114,Request!$D$13:$D$20),0),IF(AND(D114="DR",B114=Allocation!$C$11),ROUND(SUMIF(Request!$A$13:$A$20,E114,Request!$D$13:$D$20)*Policy!$B$15,0),0))))</f>
        <v/>
      </c>
      <c r="L114" s="24">
        <f>G114+K114</f>
        <v/>
      </c>
      <c r="M114" s="24">
        <f>MAX(0,J114-K114)</f>
        <v/>
      </c>
      <c r="N114" s="24">
        <f>MAX(0,K114-J114)</f>
        <v/>
      </c>
      <c r="O114" s="24">
        <f>L114+H114</f>
        <v/>
      </c>
      <c r="P114" s="25">
        <f>IF(K114=0,"",IF(N114&gt;0,"Request exceeded free cores","Placed"))</f>
        <v/>
      </c>
    </row>
    <row r="115">
      <c r="A115" s="32">
        <f>Capacity_Reservations!A115</f>
        <v/>
      </c>
      <c r="B115" s="32">
        <f>Capacity_Reservations!B115</f>
        <v/>
      </c>
      <c r="C115" s="33">
        <f>Capacity_Reservations!C115</f>
        <v/>
      </c>
      <c r="D115" s="33">
        <f>Capacity_Reservations!D115</f>
        <v/>
      </c>
      <c r="E115" s="32">
        <f>Capacity_Reservations!E115</f>
        <v/>
      </c>
      <c r="F115" s="33">
        <f>Capacity_Reservations!F115</f>
        <v/>
      </c>
      <c r="G115" s="47">
        <f>Capacity_Reservations!I115</f>
        <v/>
      </c>
      <c r="H115" s="47">
        <f>Capacity_Reservations!J115</f>
        <v/>
      </c>
      <c r="I115" s="47">
        <f>Capacity_Reservations!K115</f>
        <v/>
      </c>
      <c r="J115" s="47">
        <f>Capacity_Reservations!L115</f>
        <v/>
      </c>
      <c r="K115" s="24">
        <f>IF(Allocation!$C$14&lt;&gt;1,0,IF(D115="Prod",IF(B115=Allocation!$C$9,SUMIF(Request!$A$13:$A$20,E115,Request!$D$13:$D$20),0),IF(D115="NonProd",IF(B115=Allocation!$C$10,SUMIF(Request!$A$13:$A$20,E115,Request!$D$13:$D$20),0),IF(AND(D115="DR",B115=Allocation!$C$11),ROUND(SUMIF(Request!$A$13:$A$20,E115,Request!$D$13:$D$20)*Policy!$B$15,0),0))))</f>
        <v/>
      </c>
      <c r="L115" s="24">
        <f>G115+K115</f>
        <v/>
      </c>
      <c r="M115" s="24">
        <f>MAX(0,J115-K115)</f>
        <v/>
      </c>
      <c r="N115" s="24">
        <f>MAX(0,K115-J115)</f>
        <v/>
      </c>
      <c r="O115" s="24">
        <f>L115+H115</f>
        <v/>
      </c>
      <c r="P115" s="25">
        <f>IF(K115=0,"",IF(N115&gt;0,"Request exceeded free cores","Placed"))</f>
        <v/>
      </c>
    </row>
    <row r="116">
      <c r="A116" s="32">
        <f>Capacity_Reservations!A116</f>
        <v/>
      </c>
      <c r="B116" s="32">
        <f>Capacity_Reservations!B116</f>
        <v/>
      </c>
      <c r="C116" s="33">
        <f>Capacity_Reservations!C116</f>
        <v/>
      </c>
      <c r="D116" s="33">
        <f>Capacity_Reservations!D116</f>
        <v/>
      </c>
      <c r="E116" s="32">
        <f>Capacity_Reservations!E116</f>
        <v/>
      </c>
      <c r="F116" s="33">
        <f>Capacity_Reservations!F116</f>
        <v/>
      </c>
      <c r="G116" s="47">
        <f>Capacity_Reservations!I116</f>
        <v/>
      </c>
      <c r="H116" s="47">
        <f>Capacity_Reservations!J116</f>
        <v/>
      </c>
      <c r="I116" s="47">
        <f>Capacity_Reservations!K116</f>
        <v/>
      </c>
      <c r="J116" s="47">
        <f>Capacity_Reservations!L116</f>
        <v/>
      </c>
      <c r="K116" s="24">
        <f>IF(Allocation!$C$14&lt;&gt;1,0,IF(D116="Prod",IF(B116=Allocation!$C$9,SUMIF(Request!$A$13:$A$20,E116,Request!$D$13:$D$20),0),IF(D116="NonProd",IF(B116=Allocation!$C$10,SUMIF(Request!$A$13:$A$20,E116,Request!$D$13:$D$20),0),IF(AND(D116="DR",B116=Allocation!$C$11),ROUND(SUMIF(Request!$A$13:$A$20,E116,Request!$D$13:$D$20)*Policy!$B$15,0),0))))</f>
        <v/>
      </c>
      <c r="L116" s="24">
        <f>G116+K116</f>
        <v/>
      </c>
      <c r="M116" s="24">
        <f>MAX(0,J116-K116)</f>
        <v/>
      </c>
      <c r="N116" s="24">
        <f>MAX(0,K116-J116)</f>
        <v/>
      </c>
      <c r="O116" s="24">
        <f>L116+H116</f>
        <v/>
      </c>
      <c r="P116" s="25">
        <f>IF(K116=0,"",IF(N116&gt;0,"Request exceeded free cores","Placed"))</f>
        <v/>
      </c>
    </row>
    <row r="117">
      <c r="A117" s="32">
        <f>Capacity_Reservations!A117</f>
        <v/>
      </c>
      <c r="B117" s="32">
        <f>Capacity_Reservations!B117</f>
        <v/>
      </c>
      <c r="C117" s="33">
        <f>Capacity_Reservations!C117</f>
        <v/>
      </c>
      <c r="D117" s="33">
        <f>Capacity_Reservations!D117</f>
        <v/>
      </c>
      <c r="E117" s="32">
        <f>Capacity_Reservations!E117</f>
        <v/>
      </c>
      <c r="F117" s="33">
        <f>Capacity_Reservations!F117</f>
        <v/>
      </c>
      <c r="G117" s="47">
        <f>Capacity_Reservations!I117</f>
        <v/>
      </c>
      <c r="H117" s="47">
        <f>Capacity_Reservations!J117</f>
        <v/>
      </c>
      <c r="I117" s="47">
        <f>Capacity_Reservations!K117</f>
        <v/>
      </c>
      <c r="J117" s="47">
        <f>Capacity_Reservations!L117</f>
        <v/>
      </c>
      <c r="K117" s="24">
        <f>IF(Allocation!$C$14&lt;&gt;1,0,IF(D117="Prod",IF(B117=Allocation!$C$9,SUMIF(Request!$A$13:$A$20,E117,Request!$D$13:$D$20),0),IF(D117="NonProd",IF(B117=Allocation!$C$10,SUMIF(Request!$A$13:$A$20,E117,Request!$D$13:$D$20),0),IF(AND(D117="DR",B117=Allocation!$C$11),ROUND(SUMIF(Request!$A$13:$A$20,E117,Request!$D$13:$D$20)*Policy!$B$15,0),0))))</f>
        <v/>
      </c>
      <c r="L117" s="24">
        <f>G117+K117</f>
        <v/>
      </c>
      <c r="M117" s="24">
        <f>MAX(0,J117-K117)</f>
        <v/>
      </c>
      <c r="N117" s="24">
        <f>MAX(0,K117-J117)</f>
        <v/>
      </c>
      <c r="O117" s="24">
        <f>L117+H117</f>
        <v/>
      </c>
      <c r="P117" s="25">
        <f>IF(K117=0,"",IF(N117&gt;0,"Request exceeded free cores","Placed"))</f>
        <v/>
      </c>
    </row>
    <row r="118">
      <c r="A118" s="32">
        <f>Capacity_Reservations!A118</f>
        <v/>
      </c>
      <c r="B118" s="32">
        <f>Capacity_Reservations!B118</f>
        <v/>
      </c>
      <c r="C118" s="33">
        <f>Capacity_Reservations!C118</f>
        <v/>
      </c>
      <c r="D118" s="33">
        <f>Capacity_Reservations!D118</f>
        <v/>
      </c>
      <c r="E118" s="32">
        <f>Capacity_Reservations!E118</f>
        <v/>
      </c>
      <c r="F118" s="33">
        <f>Capacity_Reservations!F118</f>
        <v/>
      </c>
      <c r="G118" s="47">
        <f>Capacity_Reservations!I118</f>
        <v/>
      </c>
      <c r="H118" s="47">
        <f>Capacity_Reservations!J118</f>
        <v/>
      </c>
      <c r="I118" s="47">
        <f>Capacity_Reservations!K118</f>
        <v/>
      </c>
      <c r="J118" s="47">
        <f>Capacity_Reservations!L118</f>
        <v/>
      </c>
      <c r="K118" s="24">
        <f>IF(Allocation!$C$14&lt;&gt;1,0,IF(D118="Prod",IF(B118=Allocation!$C$9,SUMIF(Request!$A$13:$A$20,E118,Request!$D$13:$D$20),0),IF(D118="NonProd",IF(B118=Allocation!$C$10,SUMIF(Request!$A$13:$A$20,E118,Request!$D$13:$D$20),0),IF(AND(D118="DR",B118=Allocation!$C$11),ROUND(SUMIF(Request!$A$13:$A$20,E118,Request!$D$13:$D$20)*Policy!$B$15,0),0))))</f>
        <v/>
      </c>
      <c r="L118" s="24">
        <f>G118+K118</f>
        <v/>
      </c>
      <c r="M118" s="24">
        <f>MAX(0,J118-K118)</f>
        <v/>
      </c>
      <c r="N118" s="24">
        <f>MAX(0,K118-J118)</f>
        <v/>
      </c>
      <c r="O118" s="24">
        <f>L118+H118</f>
        <v/>
      </c>
      <c r="P118" s="25">
        <f>IF(K118=0,"",IF(N118&gt;0,"Request exceeded free cores","Placed"))</f>
        <v/>
      </c>
    </row>
    <row r="119">
      <c r="A119" s="32">
        <f>Capacity_Reservations!A119</f>
        <v/>
      </c>
      <c r="B119" s="32">
        <f>Capacity_Reservations!B119</f>
        <v/>
      </c>
      <c r="C119" s="33">
        <f>Capacity_Reservations!C119</f>
        <v/>
      </c>
      <c r="D119" s="33">
        <f>Capacity_Reservations!D119</f>
        <v/>
      </c>
      <c r="E119" s="32">
        <f>Capacity_Reservations!E119</f>
        <v/>
      </c>
      <c r="F119" s="33">
        <f>Capacity_Reservations!F119</f>
        <v/>
      </c>
      <c r="G119" s="47">
        <f>Capacity_Reservations!I119</f>
        <v/>
      </c>
      <c r="H119" s="47">
        <f>Capacity_Reservations!J119</f>
        <v/>
      </c>
      <c r="I119" s="47">
        <f>Capacity_Reservations!K119</f>
        <v/>
      </c>
      <c r="J119" s="47">
        <f>Capacity_Reservations!L119</f>
        <v/>
      </c>
      <c r="K119" s="24">
        <f>IF(Allocation!$C$14&lt;&gt;1,0,IF(D119="Prod",IF(B119=Allocation!$C$9,SUMIF(Request!$A$13:$A$20,E119,Request!$D$13:$D$20),0),IF(D119="NonProd",IF(B119=Allocation!$C$10,SUMIF(Request!$A$13:$A$20,E119,Request!$D$13:$D$20),0),IF(AND(D119="DR",B119=Allocation!$C$11),ROUND(SUMIF(Request!$A$13:$A$20,E119,Request!$D$13:$D$20)*Policy!$B$15,0),0))))</f>
        <v/>
      </c>
      <c r="L119" s="24">
        <f>G119+K119</f>
        <v/>
      </c>
      <c r="M119" s="24">
        <f>MAX(0,J119-K119)</f>
        <v/>
      </c>
      <c r="N119" s="24">
        <f>MAX(0,K119-J119)</f>
        <v/>
      </c>
      <c r="O119" s="24">
        <f>L119+H119</f>
        <v/>
      </c>
      <c r="P119" s="25">
        <f>IF(K119=0,"",IF(N119&gt;0,"Request exceeded free cores","Placed"))</f>
        <v/>
      </c>
    </row>
    <row r="120">
      <c r="A120" s="32">
        <f>Capacity_Reservations!A120</f>
        <v/>
      </c>
      <c r="B120" s="32">
        <f>Capacity_Reservations!B120</f>
        <v/>
      </c>
      <c r="C120" s="33">
        <f>Capacity_Reservations!C120</f>
        <v/>
      </c>
      <c r="D120" s="33">
        <f>Capacity_Reservations!D120</f>
        <v/>
      </c>
      <c r="E120" s="32">
        <f>Capacity_Reservations!E120</f>
        <v/>
      </c>
      <c r="F120" s="33">
        <f>Capacity_Reservations!F120</f>
        <v/>
      </c>
      <c r="G120" s="47">
        <f>Capacity_Reservations!I120</f>
        <v/>
      </c>
      <c r="H120" s="47">
        <f>Capacity_Reservations!J120</f>
        <v/>
      </c>
      <c r="I120" s="47">
        <f>Capacity_Reservations!K120</f>
        <v/>
      </c>
      <c r="J120" s="47">
        <f>Capacity_Reservations!L120</f>
        <v/>
      </c>
      <c r="K120" s="24">
        <f>IF(Allocation!$C$14&lt;&gt;1,0,IF(D120="Prod",IF(B120=Allocation!$C$9,SUMIF(Request!$A$13:$A$20,E120,Request!$D$13:$D$20),0),IF(D120="NonProd",IF(B120=Allocation!$C$10,SUMIF(Request!$A$13:$A$20,E120,Request!$D$13:$D$20),0),IF(AND(D120="DR",B120=Allocation!$C$11),ROUND(SUMIF(Request!$A$13:$A$20,E120,Request!$D$13:$D$20)*Policy!$B$15,0),0))))</f>
        <v/>
      </c>
      <c r="L120" s="24">
        <f>G120+K120</f>
        <v/>
      </c>
      <c r="M120" s="24">
        <f>MAX(0,J120-K120)</f>
        <v/>
      </c>
      <c r="N120" s="24">
        <f>MAX(0,K120-J120)</f>
        <v/>
      </c>
      <c r="O120" s="24">
        <f>L120+H120</f>
        <v/>
      </c>
      <c r="P120" s="25">
        <f>IF(K120=0,"",IF(N120&gt;0,"Request exceeded free cores","Placed"))</f>
        <v/>
      </c>
    </row>
    <row r="121">
      <c r="A121" s="32">
        <f>Capacity_Reservations!A121</f>
        <v/>
      </c>
      <c r="B121" s="32">
        <f>Capacity_Reservations!B121</f>
        <v/>
      </c>
      <c r="C121" s="33">
        <f>Capacity_Reservations!C121</f>
        <v/>
      </c>
      <c r="D121" s="33">
        <f>Capacity_Reservations!D121</f>
        <v/>
      </c>
      <c r="E121" s="32">
        <f>Capacity_Reservations!E121</f>
        <v/>
      </c>
      <c r="F121" s="33">
        <f>Capacity_Reservations!F121</f>
        <v/>
      </c>
      <c r="G121" s="47">
        <f>Capacity_Reservations!I121</f>
        <v/>
      </c>
      <c r="H121" s="47">
        <f>Capacity_Reservations!J121</f>
        <v/>
      </c>
      <c r="I121" s="47">
        <f>Capacity_Reservations!K121</f>
        <v/>
      </c>
      <c r="J121" s="47">
        <f>Capacity_Reservations!L121</f>
        <v/>
      </c>
      <c r="K121" s="24">
        <f>IF(Allocation!$C$14&lt;&gt;1,0,IF(D121="Prod",IF(B121=Allocation!$C$9,SUMIF(Request!$A$13:$A$20,E121,Request!$D$13:$D$20),0),IF(D121="NonProd",IF(B121=Allocation!$C$10,SUMIF(Request!$A$13:$A$20,E121,Request!$D$13:$D$20),0),IF(AND(D121="DR",B121=Allocation!$C$11),ROUND(SUMIF(Request!$A$13:$A$20,E121,Request!$D$13:$D$20)*Policy!$B$15,0),0))))</f>
        <v/>
      </c>
      <c r="L121" s="24">
        <f>G121+K121</f>
        <v/>
      </c>
      <c r="M121" s="24">
        <f>MAX(0,J121-K121)</f>
        <v/>
      </c>
      <c r="N121" s="24">
        <f>MAX(0,K121-J121)</f>
        <v/>
      </c>
      <c r="O121" s="24">
        <f>L121+H121</f>
        <v/>
      </c>
      <c r="P121" s="25">
        <f>IF(K121=0,"",IF(N121&gt;0,"Request exceeded free cores","Placed"))</f>
        <v/>
      </c>
    </row>
    <row r="122">
      <c r="A122" s="32">
        <f>Capacity_Reservations!A122</f>
        <v/>
      </c>
      <c r="B122" s="32">
        <f>Capacity_Reservations!B122</f>
        <v/>
      </c>
      <c r="C122" s="33">
        <f>Capacity_Reservations!C122</f>
        <v/>
      </c>
      <c r="D122" s="33">
        <f>Capacity_Reservations!D122</f>
        <v/>
      </c>
      <c r="E122" s="32">
        <f>Capacity_Reservations!E122</f>
        <v/>
      </c>
      <c r="F122" s="33">
        <f>Capacity_Reservations!F122</f>
        <v/>
      </c>
      <c r="G122" s="47">
        <f>Capacity_Reservations!I122</f>
        <v/>
      </c>
      <c r="H122" s="47">
        <f>Capacity_Reservations!J122</f>
        <v/>
      </c>
      <c r="I122" s="47">
        <f>Capacity_Reservations!K122</f>
        <v/>
      </c>
      <c r="J122" s="47">
        <f>Capacity_Reservations!L122</f>
        <v/>
      </c>
      <c r="K122" s="24">
        <f>IF(Allocation!$C$14&lt;&gt;1,0,IF(D122="Prod",IF(B122=Allocation!$C$9,SUMIF(Request!$A$13:$A$20,E122,Request!$D$13:$D$20),0),IF(D122="NonProd",IF(B122=Allocation!$C$10,SUMIF(Request!$A$13:$A$20,E122,Request!$D$13:$D$20),0),IF(AND(D122="DR",B122=Allocation!$C$11),ROUND(SUMIF(Request!$A$13:$A$20,E122,Request!$D$13:$D$20)*Policy!$B$15,0),0))))</f>
        <v/>
      </c>
      <c r="L122" s="24">
        <f>G122+K122</f>
        <v/>
      </c>
      <c r="M122" s="24">
        <f>MAX(0,J122-K122)</f>
        <v/>
      </c>
      <c r="N122" s="24">
        <f>MAX(0,K122-J122)</f>
        <v/>
      </c>
      <c r="O122" s="24">
        <f>L122+H122</f>
        <v/>
      </c>
      <c r="P122" s="25">
        <f>IF(K122=0,"",IF(N122&gt;0,"Request exceeded free cores","Placed"))</f>
        <v/>
      </c>
    </row>
    <row r="123">
      <c r="A123" s="32">
        <f>Capacity_Reservations!A123</f>
        <v/>
      </c>
      <c r="B123" s="32">
        <f>Capacity_Reservations!B123</f>
        <v/>
      </c>
      <c r="C123" s="33">
        <f>Capacity_Reservations!C123</f>
        <v/>
      </c>
      <c r="D123" s="33">
        <f>Capacity_Reservations!D123</f>
        <v/>
      </c>
      <c r="E123" s="32">
        <f>Capacity_Reservations!E123</f>
        <v/>
      </c>
      <c r="F123" s="33">
        <f>Capacity_Reservations!F123</f>
        <v/>
      </c>
      <c r="G123" s="47">
        <f>Capacity_Reservations!I123</f>
        <v/>
      </c>
      <c r="H123" s="47">
        <f>Capacity_Reservations!J123</f>
        <v/>
      </c>
      <c r="I123" s="47">
        <f>Capacity_Reservations!K123</f>
        <v/>
      </c>
      <c r="J123" s="47">
        <f>Capacity_Reservations!L123</f>
        <v/>
      </c>
      <c r="K123" s="24">
        <f>IF(Allocation!$C$14&lt;&gt;1,0,IF(D123="Prod",IF(B123=Allocation!$C$9,SUMIF(Request!$A$13:$A$20,E123,Request!$D$13:$D$20),0),IF(D123="NonProd",IF(B123=Allocation!$C$10,SUMIF(Request!$A$13:$A$20,E123,Request!$D$13:$D$20),0),IF(AND(D123="DR",B123=Allocation!$C$11),ROUND(SUMIF(Request!$A$13:$A$20,E123,Request!$D$13:$D$20)*Policy!$B$15,0),0))))</f>
        <v/>
      </c>
      <c r="L123" s="24">
        <f>G123+K123</f>
        <v/>
      </c>
      <c r="M123" s="24">
        <f>MAX(0,J123-K123)</f>
        <v/>
      </c>
      <c r="N123" s="24">
        <f>MAX(0,K123-J123)</f>
        <v/>
      </c>
      <c r="O123" s="24">
        <f>L123+H123</f>
        <v/>
      </c>
      <c r="P123" s="25">
        <f>IF(K123=0,"",IF(N123&gt;0,"Request exceeded free cores","Placed"))</f>
        <v/>
      </c>
    </row>
    <row r="124">
      <c r="A124" s="32">
        <f>Capacity_Reservations!A124</f>
        <v/>
      </c>
      <c r="B124" s="32">
        <f>Capacity_Reservations!B124</f>
        <v/>
      </c>
      <c r="C124" s="33">
        <f>Capacity_Reservations!C124</f>
        <v/>
      </c>
      <c r="D124" s="33">
        <f>Capacity_Reservations!D124</f>
        <v/>
      </c>
      <c r="E124" s="32">
        <f>Capacity_Reservations!E124</f>
        <v/>
      </c>
      <c r="F124" s="33">
        <f>Capacity_Reservations!F124</f>
        <v/>
      </c>
      <c r="G124" s="47">
        <f>Capacity_Reservations!I124</f>
        <v/>
      </c>
      <c r="H124" s="47">
        <f>Capacity_Reservations!J124</f>
        <v/>
      </c>
      <c r="I124" s="47">
        <f>Capacity_Reservations!K124</f>
        <v/>
      </c>
      <c r="J124" s="47">
        <f>Capacity_Reservations!L124</f>
        <v/>
      </c>
      <c r="K124" s="24">
        <f>IF(Allocation!$C$14&lt;&gt;1,0,IF(D124="Prod",IF(B124=Allocation!$C$9,SUMIF(Request!$A$13:$A$20,E124,Request!$D$13:$D$20),0),IF(D124="NonProd",IF(B124=Allocation!$C$10,SUMIF(Request!$A$13:$A$20,E124,Request!$D$13:$D$20),0),IF(AND(D124="DR",B124=Allocation!$C$11),ROUND(SUMIF(Request!$A$13:$A$20,E124,Request!$D$13:$D$20)*Policy!$B$15,0),0))))</f>
        <v/>
      </c>
      <c r="L124" s="24">
        <f>G124+K124</f>
        <v/>
      </c>
      <c r="M124" s="24">
        <f>MAX(0,J124-K124)</f>
        <v/>
      </c>
      <c r="N124" s="24">
        <f>MAX(0,K124-J124)</f>
        <v/>
      </c>
      <c r="O124" s="24">
        <f>L124+H124</f>
        <v/>
      </c>
      <c r="P124" s="25">
        <f>IF(K124=0,"",IF(N124&gt;0,"Request exceeded free cores","Placed"))</f>
        <v/>
      </c>
    </row>
    <row r="125">
      <c r="A125" s="32">
        <f>Capacity_Reservations!A125</f>
        <v/>
      </c>
      <c r="B125" s="32">
        <f>Capacity_Reservations!B125</f>
        <v/>
      </c>
      <c r="C125" s="33">
        <f>Capacity_Reservations!C125</f>
        <v/>
      </c>
      <c r="D125" s="33">
        <f>Capacity_Reservations!D125</f>
        <v/>
      </c>
      <c r="E125" s="32">
        <f>Capacity_Reservations!E125</f>
        <v/>
      </c>
      <c r="F125" s="33">
        <f>Capacity_Reservations!F125</f>
        <v/>
      </c>
      <c r="G125" s="47">
        <f>Capacity_Reservations!I125</f>
        <v/>
      </c>
      <c r="H125" s="47">
        <f>Capacity_Reservations!J125</f>
        <v/>
      </c>
      <c r="I125" s="47">
        <f>Capacity_Reservations!K125</f>
        <v/>
      </c>
      <c r="J125" s="47">
        <f>Capacity_Reservations!L125</f>
        <v/>
      </c>
      <c r="K125" s="24">
        <f>IF(Allocation!$C$14&lt;&gt;1,0,IF(D125="Prod",IF(B125=Allocation!$C$9,SUMIF(Request!$A$13:$A$20,E125,Request!$D$13:$D$20),0),IF(D125="NonProd",IF(B125=Allocation!$C$10,SUMIF(Request!$A$13:$A$20,E125,Request!$D$13:$D$20),0),IF(AND(D125="DR",B125=Allocation!$C$11),ROUND(SUMIF(Request!$A$13:$A$20,E125,Request!$D$13:$D$20)*Policy!$B$15,0),0))))</f>
        <v/>
      </c>
      <c r="L125" s="24">
        <f>G125+K125</f>
        <v/>
      </c>
      <c r="M125" s="24">
        <f>MAX(0,J125-K125)</f>
        <v/>
      </c>
      <c r="N125" s="24">
        <f>MAX(0,K125-J125)</f>
        <v/>
      </c>
      <c r="O125" s="24">
        <f>L125+H125</f>
        <v/>
      </c>
      <c r="P125" s="25">
        <f>IF(K125=0,"",IF(N125&gt;0,"Request exceeded free cores","Placed"))</f>
        <v/>
      </c>
    </row>
    <row r="126">
      <c r="A126" s="32">
        <f>Capacity_Reservations!A126</f>
        <v/>
      </c>
      <c r="B126" s="32">
        <f>Capacity_Reservations!B126</f>
        <v/>
      </c>
      <c r="C126" s="33">
        <f>Capacity_Reservations!C126</f>
        <v/>
      </c>
      <c r="D126" s="33">
        <f>Capacity_Reservations!D126</f>
        <v/>
      </c>
      <c r="E126" s="32">
        <f>Capacity_Reservations!E126</f>
        <v/>
      </c>
      <c r="F126" s="33">
        <f>Capacity_Reservations!F126</f>
        <v/>
      </c>
      <c r="G126" s="47">
        <f>Capacity_Reservations!I126</f>
        <v/>
      </c>
      <c r="H126" s="47">
        <f>Capacity_Reservations!J126</f>
        <v/>
      </c>
      <c r="I126" s="47">
        <f>Capacity_Reservations!K126</f>
        <v/>
      </c>
      <c r="J126" s="47">
        <f>Capacity_Reservations!L126</f>
        <v/>
      </c>
      <c r="K126" s="24">
        <f>IF(Allocation!$C$14&lt;&gt;1,0,IF(D126="Prod",IF(B126=Allocation!$C$9,SUMIF(Request!$A$13:$A$20,E126,Request!$D$13:$D$20),0),IF(D126="NonProd",IF(B126=Allocation!$C$10,SUMIF(Request!$A$13:$A$20,E126,Request!$D$13:$D$20),0),IF(AND(D126="DR",B126=Allocation!$C$11),ROUND(SUMIF(Request!$A$13:$A$20,E126,Request!$D$13:$D$20)*Policy!$B$15,0),0))))</f>
        <v/>
      </c>
      <c r="L126" s="24">
        <f>G126+K126</f>
        <v/>
      </c>
      <c r="M126" s="24">
        <f>MAX(0,J126-K126)</f>
        <v/>
      </c>
      <c r="N126" s="24">
        <f>MAX(0,K126-J126)</f>
        <v/>
      </c>
      <c r="O126" s="24">
        <f>L126+H126</f>
        <v/>
      </c>
      <c r="P126" s="25">
        <f>IF(K126=0,"",IF(N126&gt;0,"Request exceeded free cores","Placed"))</f>
        <v/>
      </c>
    </row>
    <row r="127">
      <c r="A127" s="32">
        <f>Capacity_Reservations!A127</f>
        <v/>
      </c>
      <c r="B127" s="32">
        <f>Capacity_Reservations!B127</f>
        <v/>
      </c>
      <c r="C127" s="33">
        <f>Capacity_Reservations!C127</f>
        <v/>
      </c>
      <c r="D127" s="33">
        <f>Capacity_Reservations!D127</f>
        <v/>
      </c>
      <c r="E127" s="32">
        <f>Capacity_Reservations!E127</f>
        <v/>
      </c>
      <c r="F127" s="33">
        <f>Capacity_Reservations!F127</f>
        <v/>
      </c>
      <c r="G127" s="47">
        <f>Capacity_Reservations!I127</f>
        <v/>
      </c>
      <c r="H127" s="47">
        <f>Capacity_Reservations!J127</f>
        <v/>
      </c>
      <c r="I127" s="47">
        <f>Capacity_Reservations!K127</f>
        <v/>
      </c>
      <c r="J127" s="47">
        <f>Capacity_Reservations!L127</f>
        <v/>
      </c>
      <c r="K127" s="24">
        <f>IF(Allocation!$C$14&lt;&gt;1,0,IF(D127="Prod",IF(B127=Allocation!$C$9,SUMIF(Request!$A$13:$A$20,E127,Request!$D$13:$D$20),0),IF(D127="NonProd",IF(B127=Allocation!$C$10,SUMIF(Request!$A$13:$A$20,E127,Request!$D$13:$D$20),0),IF(AND(D127="DR",B127=Allocation!$C$11),ROUND(SUMIF(Request!$A$13:$A$20,E127,Request!$D$13:$D$20)*Policy!$B$15,0),0))))</f>
        <v/>
      </c>
      <c r="L127" s="24">
        <f>G127+K127</f>
        <v/>
      </c>
      <c r="M127" s="24">
        <f>MAX(0,J127-K127)</f>
        <v/>
      </c>
      <c r="N127" s="24">
        <f>MAX(0,K127-J127)</f>
        <v/>
      </c>
      <c r="O127" s="24">
        <f>L127+H127</f>
        <v/>
      </c>
      <c r="P127" s="25">
        <f>IF(K127=0,"",IF(N127&gt;0,"Request exceeded free cores","Placed"))</f>
        <v/>
      </c>
    </row>
    <row r="128">
      <c r="A128" s="32">
        <f>Capacity_Reservations!A128</f>
        <v/>
      </c>
      <c r="B128" s="32">
        <f>Capacity_Reservations!B128</f>
        <v/>
      </c>
      <c r="C128" s="33">
        <f>Capacity_Reservations!C128</f>
        <v/>
      </c>
      <c r="D128" s="33">
        <f>Capacity_Reservations!D128</f>
        <v/>
      </c>
      <c r="E128" s="32">
        <f>Capacity_Reservations!E128</f>
        <v/>
      </c>
      <c r="F128" s="33">
        <f>Capacity_Reservations!F128</f>
        <v/>
      </c>
      <c r="G128" s="47">
        <f>Capacity_Reservations!I128</f>
        <v/>
      </c>
      <c r="H128" s="47">
        <f>Capacity_Reservations!J128</f>
        <v/>
      </c>
      <c r="I128" s="47">
        <f>Capacity_Reservations!K128</f>
        <v/>
      </c>
      <c r="J128" s="47">
        <f>Capacity_Reservations!L128</f>
        <v/>
      </c>
      <c r="K128" s="24">
        <f>IF(Allocation!$C$14&lt;&gt;1,0,IF(D128="Prod",IF(B128=Allocation!$C$9,SUMIF(Request!$A$13:$A$20,E128,Request!$D$13:$D$20),0),IF(D128="NonProd",IF(B128=Allocation!$C$10,SUMIF(Request!$A$13:$A$20,E128,Request!$D$13:$D$20),0),IF(AND(D128="DR",B128=Allocation!$C$11),ROUND(SUMIF(Request!$A$13:$A$20,E128,Request!$D$13:$D$20)*Policy!$B$15,0),0))))</f>
        <v/>
      </c>
      <c r="L128" s="24">
        <f>G128+K128</f>
        <v/>
      </c>
      <c r="M128" s="24">
        <f>MAX(0,J128-K128)</f>
        <v/>
      </c>
      <c r="N128" s="24">
        <f>MAX(0,K128-J128)</f>
        <v/>
      </c>
      <c r="O128" s="24">
        <f>L128+H128</f>
        <v/>
      </c>
      <c r="P128" s="25">
        <f>IF(K128=0,"",IF(N128&gt;0,"Request exceeded free cores","Placed"))</f>
        <v/>
      </c>
    </row>
    <row r="129">
      <c r="A129" s="32">
        <f>Capacity_Reservations!A129</f>
        <v/>
      </c>
      <c r="B129" s="32">
        <f>Capacity_Reservations!B129</f>
        <v/>
      </c>
      <c r="C129" s="33">
        <f>Capacity_Reservations!C129</f>
        <v/>
      </c>
      <c r="D129" s="33">
        <f>Capacity_Reservations!D129</f>
        <v/>
      </c>
      <c r="E129" s="32">
        <f>Capacity_Reservations!E129</f>
        <v/>
      </c>
      <c r="F129" s="33">
        <f>Capacity_Reservations!F129</f>
        <v/>
      </c>
      <c r="G129" s="47">
        <f>Capacity_Reservations!I129</f>
        <v/>
      </c>
      <c r="H129" s="47">
        <f>Capacity_Reservations!J129</f>
        <v/>
      </c>
      <c r="I129" s="47">
        <f>Capacity_Reservations!K129</f>
        <v/>
      </c>
      <c r="J129" s="47">
        <f>Capacity_Reservations!L129</f>
        <v/>
      </c>
      <c r="K129" s="24">
        <f>IF(Allocation!$C$14&lt;&gt;1,0,IF(D129="Prod",IF(B129=Allocation!$C$9,SUMIF(Request!$A$13:$A$20,E129,Request!$D$13:$D$20),0),IF(D129="NonProd",IF(B129=Allocation!$C$10,SUMIF(Request!$A$13:$A$20,E129,Request!$D$13:$D$20),0),IF(AND(D129="DR",B129=Allocation!$C$11),ROUND(SUMIF(Request!$A$13:$A$20,E129,Request!$D$13:$D$20)*Policy!$B$15,0),0))))</f>
        <v/>
      </c>
      <c r="L129" s="24">
        <f>G129+K129</f>
        <v/>
      </c>
      <c r="M129" s="24">
        <f>MAX(0,J129-K129)</f>
        <v/>
      </c>
      <c r="N129" s="24">
        <f>MAX(0,K129-J129)</f>
        <v/>
      </c>
      <c r="O129" s="24">
        <f>L129+H129</f>
        <v/>
      </c>
      <c r="P129" s="25">
        <f>IF(K129=0,"",IF(N129&gt;0,"Request exceeded free cores","Placed"))</f>
        <v/>
      </c>
    </row>
    <row r="130">
      <c r="A130" s="32">
        <f>Capacity_Reservations!A130</f>
        <v/>
      </c>
      <c r="B130" s="32">
        <f>Capacity_Reservations!B130</f>
        <v/>
      </c>
      <c r="C130" s="33">
        <f>Capacity_Reservations!C130</f>
        <v/>
      </c>
      <c r="D130" s="33">
        <f>Capacity_Reservations!D130</f>
        <v/>
      </c>
      <c r="E130" s="32">
        <f>Capacity_Reservations!E130</f>
        <v/>
      </c>
      <c r="F130" s="33">
        <f>Capacity_Reservations!F130</f>
        <v/>
      </c>
      <c r="G130" s="47">
        <f>Capacity_Reservations!I130</f>
        <v/>
      </c>
      <c r="H130" s="47">
        <f>Capacity_Reservations!J130</f>
        <v/>
      </c>
      <c r="I130" s="47">
        <f>Capacity_Reservations!K130</f>
        <v/>
      </c>
      <c r="J130" s="47">
        <f>Capacity_Reservations!L130</f>
        <v/>
      </c>
      <c r="K130" s="24">
        <f>IF(Allocation!$C$14&lt;&gt;1,0,IF(D130="Prod",IF(B130=Allocation!$C$9,SUMIF(Request!$A$13:$A$20,E130,Request!$D$13:$D$20),0),IF(D130="NonProd",IF(B130=Allocation!$C$10,SUMIF(Request!$A$13:$A$20,E130,Request!$D$13:$D$20),0),IF(AND(D130="DR",B130=Allocation!$C$11),ROUND(SUMIF(Request!$A$13:$A$20,E130,Request!$D$13:$D$20)*Policy!$B$15,0),0))))</f>
        <v/>
      </c>
      <c r="L130" s="24">
        <f>G130+K130</f>
        <v/>
      </c>
      <c r="M130" s="24">
        <f>MAX(0,J130-K130)</f>
        <v/>
      </c>
      <c r="N130" s="24">
        <f>MAX(0,K130-J130)</f>
        <v/>
      </c>
      <c r="O130" s="24">
        <f>L130+H130</f>
        <v/>
      </c>
      <c r="P130" s="25">
        <f>IF(K130=0,"",IF(N130&gt;0,"Request exceeded free cores","Placed"))</f>
        <v/>
      </c>
    </row>
    <row r="131">
      <c r="A131" s="32">
        <f>Capacity_Reservations!A131</f>
        <v/>
      </c>
      <c r="B131" s="32">
        <f>Capacity_Reservations!B131</f>
        <v/>
      </c>
      <c r="C131" s="33">
        <f>Capacity_Reservations!C131</f>
        <v/>
      </c>
      <c r="D131" s="33">
        <f>Capacity_Reservations!D131</f>
        <v/>
      </c>
      <c r="E131" s="32">
        <f>Capacity_Reservations!E131</f>
        <v/>
      </c>
      <c r="F131" s="33">
        <f>Capacity_Reservations!F131</f>
        <v/>
      </c>
      <c r="G131" s="47">
        <f>Capacity_Reservations!I131</f>
        <v/>
      </c>
      <c r="H131" s="47">
        <f>Capacity_Reservations!J131</f>
        <v/>
      </c>
      <c r="I131" s="47">
        <f>Capacity_Reservations!K131</f>
        <v/>
      </c>
      <c r="J131" s="47">
        <f>Capacity_Reservations!L131</f>
        <v/>
      </c>
      <c r="K131" s="24">
        <f>IF(Allocation!$C$14&lt;&gt;1,0,IF(D131="Prod",IF(B131=Allocation!$C$9,SUMIF(Request!$A$13:$A$20,E131,Request!$D$13:$D$20),0),IF(D131="NonProd",IF(B131=Allocation!$C$10,SUMIF(Request!$A$13:$A$20,E131,Request!$D$13:$D$20),0),IF(AND(D131="DR",B131=Allocation!$C$11),ROUND(SUMIF(Request!$A$13:$A$20,E131,Request!$D$13:$D$20)*Policy!$B$15,0),0))))</f>
        <v/>
      </c>
      <c r="L131" s="24">
        <f>G131+K131</f>
        <v/>
      </c>
      <c r="M131" s="24">
        <f>MAX(0,J131-K131)</f>
        <v/>
      </c>
      <c r="N131" s="24">
        <f>MAX(0,K131-J131)</f>
        <v/>
      </c>
      <c r="O131" s="24">
        <f>L131+H131</f>
        <v/>
      </c>
      <c r="P131" s="25">
        <f>IF(K131=0,"",IF(N131&gt;0,"Request exceeded free cores","Placed"))</f>
        <v/>
      </c>
    </row>
    <row r="132">
      <c r="A132" s="32">
        <f>Capacity_Reservations!A132</f>
        <v/>
      </c>
      <c r="B132" s="32">
        <f>Capacity_Reservations!B132</f>
        <v/>
      </c>
      <c r="C132" s="33">
        <f>Capacity_Reservations!C132</f>
        <v/>
      </c>
      <c r="D132" s="33">
        <f>Capacity_Reservations!D132</f>
        <v/>
      </c>
      <c r="E132" s="32">
        <f>Capacity_Reservations!E132</f>
        <v/>
      </c>
      <c r="F132" s="33">
        <f>Capacity_Reservations!F132</f>
        <v/>
      </c>
      <c r="G132" s="47">
        <f>Capacity_Reservations!I132</f>
        <v/>
      </c>
      <c r="H132" s="47">
        <f>Capacity_Reservations!J132</f>
        <v/>
      </c>
      <c r="I132" s="47">
        <f>Capacity_Reservations!K132</f>
        <v/>
      </c>
      <c r="J132" s="47">
        <f>Capacity_Reservations!L132</f>
        <v/>
      </c>
      <c r="K132" s="24">
        <f>IF(Allocation!$C$14&lt;&gt;1,0,IF(D132="Prod",IF(B132=Allocation!$C$9,SUMIF(Request!$A$13:$A$20,E132,Request!$D$13:$D$20),0),IF(D132="NonProd",IF(B132=Allocation!$C$10,SUMIF(Request!$A$13:$A$20,E132,Request!$D$13:$D$20),0),IF(AND(D132="DR",B132=Allocation!$C$11),ROUND(SUMIF(Request!$A$13:$A$20,E132,Request!$D$13:$D$20)*Policy!$B$15,0),0))))</f>
        <v/>
      </c>
      <c r="L132" s="24">
        <f>G132+K132</f>
        <v/>
      </c>
      <c r="M132" s="24">
        <f>MAX(0,J132-K132)</f>
        <v/>
      </c>
      <c r="N132" s="24">
        <f>MAX(0,K132-J132)</f>
        <v/>
      </c>
      <c r="O132" s="24">
        <f>L132+H132</f>
        <v/>
      </c>
      <c r="P132" s="25">
        <f>IF(K132=0,"",IF(N132&gt;0,"Request exceeded free cores","Placed"))</f>
        <v/>
      </c>
    </row>
    <row r="133">
      <c r="A133" s="32">
        <f>Capacity_Reservations!A133</f>
        <v/>
      </c>
      <c r="B133" s="32">
        <f>Capacity_Reservations!B133</f>
        <v/>
      </c>
      <c r="C133" s="33">
        <f>Capacity_Reservations!C133</f>
        <v/>
      </c>
      <c r="D133" s="33">
        <f>Capacity_Reservations!D133</f>
        <v/>
      </c>
      <c r="E133" s="32">
        <f>Capacity_Reservations!E133</f>
        <v/>
      </c>
      <c r="F133" s="33">
        <f>Capacity_Reservations!F133</f>
        <v/>
      </c>
      <c r="G133" s="47">
        <f>Capacity_Reservations!I133</f>
        <v/>
      </c>
      <c r="H133" s="47">
        <f>Capacity_Reservations!J133</f>
        <v/>
      </c>
      <c r="I133" s="47">
        <f>Capacity_Reservations!K133</f>
        <v/>
      </c>
      <c r="J133" s="47">
        <f>Capacity_Reservations!L133</f>
        <v/>
      </c>
      <c r="K133" s="24">
        <f>IF(Allocation!$C$14&lt;&gt;1,0,IF(D133="Prod",IF(B133=Allocation!$C$9,SUMIF(Request!$A$13:$A$20,E133,Request!$D$13:$D$20),0),IF(D133="NonProd",IF(B133=Allocation!$C$10,SUMIF(Request!$A$13:$A$20,E133,Request!$D$13:$D$20),0),IF(AND(D133="DR",B133=Allocation!$C$11),ROUND(SUMIF(Request!$A$13:$A$20,E133,Request!$D$13:$D$20)*Policy!$B$15,0),0))))</f>
        <v/>
      </c>
      <c r="L133" s="24">
        <f>G133+K133</f>
        <v/>
      </c>
      <c r="M133" s="24">
        <f>MAX(0,J133-K133)</f>
        <v/>
      </c>
      <c r="N133" s="24">
        <f>MAX(0,K133-J133)</f>
        <v/>
      </c>
      <c r="O133" s="24">
        <f>L133+H133</f>
        <v/>
      </c>
      <c r="P133" s="25">
        <f>IF(K133=0,"",IF(N133&gt;0,"Request exceeded free cores","Placed"))</f>
        <v/>
      </c>
    </row>
    <row r="134">
      <c r="A134" s="32">
        <f>Capacity_Reservations!A134</f>
        <v/>
      </c>
      <c r="B134" s="32">
        <f>Capacity_Reservations!B134</f>
        <v/>
      </c>
      <c r="C134" s="33">
        <f>Capacity_Reservations!C134</f>
        <v/>
      </c>
      <c r="D134" s="33">
        <f>Capacity_Reservations!D134</f>
        <v/>
      </c>
      <c r="E134" s="32">
        <f>Capacity_Reservations!E134</f>
        <v/>
      </c>
      <c r="F134" s="33">
        <f>Capacity_Reservations!F134</f>
        <v/>
      </c>
      <c r="G134" s="47">
        <f>Capacity_Reservations!I134</f>
        <v/>
      </c>
      <c r="H134" s="47">
        <f>Capacity_Reservations!J134</f>
        <v/>
      </c>
      <c r="I134" s="47">
        <f>Capacity_Reservations!K134</f>
        <v/>
      </c>
      <c r="J134" s="47">
        <f>Capacity_Reservations!L134</f>
        <v/>
      </c>
      <c r="K134" s="24">
        <f>IF(Allocation!$C$14&lt;&gt;1,0,IF(D134="Prod",IF(B134=Allocation!$C$9,SUMIF(Request!$A$13:$A$20,E134,Request!$D$13:$D$20),0),IF(D134="NonProd",IF(B134=Allocation!$C$10,SUMIF(Request!$A$13:$A$20,E134,Request!$D$13:$D$20),0),IF(AND(D134="DR",B134=Allocation!$C$11),ROUND(SUMIF(Request!$A$13:$A$20,E134,Request!$D$13:$D$20)*Policy!$B$15,0),0))))</f>
        <v/>
      </c>
      <c r="L134" s="24">
        <f>G134+K134</f>
        <v/>
      </c>
      <c r="M134" s="24">
        <f>MAX(0,J134-K134)</f>
        <v/>
      </c>
      <c r="N134" s="24">
        <f>MAX(0,K134-J134)</f>
        <v/>
      </c>
      <c r="O134" s="24">
        <f>L134+H134</f>
        <v/>
      </c>
      <c r="P134" s="25">
        <f>IF(K134=0,"",IF(N134&gt;0,"Request exceeded free cores","Placed"))</f>
        <v/>
      </c>
    </row>
    <row r="135">
      <c r="A135" s="32">
        <f>Capacity_Reservations!A135</f>
        <v/>
      </c>
      <c r="B135" s="32">
        <f>Capacity_Reservations!B135</f>
        <v/>
      </c>
      <c r="C135" s="33">
        <f>Capacity_Reservations!C135</f>
        <v/>
      </c>
      <c r="D135" s="33">
        <f>Capacity_Reservations!D135</f>
        <v/>
      </c>
      <c r="E135" s="32">
        <f>Capacity_Reservations!E135</f>
        <v/>
      </c>
      <c r="F135" s="33">
        <f>Capacity_Reservations!F135</f>
        <v/>
      </c>
      <c r="G135" s="47">
        <f>Capacity_Reservations!I135</f>
        <v/>
      </c>
      <c r="H135" s="47">
        <f>Capacity_Reservations!J135</f>
        <v/>
      </c>
      <c r="I135" s="47">
        <f>Capacity_Reservations!K135</f>
        <v/>
      </c>
      <c r="J135" s="47">
        <f>Capacity_Reservations!L135</f>
        <v/>
      </c>
      <c r="K135" s="24">
        <f>IF(Allocation!$C$14&lt;&gt;1,0,IF(D135="Prod",IF(B135=Allocation!$C$9,SUMIF(Request!$A$13:$A$20,E135,Request!$D$13:$D$20),0),IF(D135="NonProd",IF(B135=Allocation!$C$10,SUMIF(Request!$A$13:$A$20,E135,Request!$D$13:$D$20),0),IF(AND(D135="DR",B135=Allocation!$C$11),ROUND(SUMIF(Request!$A$13:$A$20,E135,Request!$D$13:$D$20)*Policy!$B$15,0),0))))</f>
        <v/>
      </c>
      <c r="L135" s="24">
        <f>G135+K135</f>
        <v/>
      </c>
      <c r="M135" s="24">
        <f>MAX(0,J135-K135)</f>
        <v/>
      </c>
      <c r="N135" s="24">
        <f>MAX(0,K135-J135)</f>
        <v/>
      </c>
      <c r="O135" s="24">
        <f>L135+H135</f>
        <v/>
      </c>
      <c r="P135" s="25">
        <f>IF(K135=0,"",IF(N135&gt;0,"Request exceeded free cores","Placed"))</f>
        <v/>
      </c>
    </row>
    <row r="136">
      <c r="A136" s="32">
        <f>Capacity_Reservations!A136</f>
        <v/>
      </c>
      <c r="B136" s="32">
        <f>Capacity_Reservations!B136</f>
        <v/>
      </c>
      <c r="C136" s="33">
        <f>Capacity_Reservations!C136</f>
        <v/>
      </c>
      <c r="D136" s="33">
        <f>Capacity_Reservations!D136</f>
        <v/>
      </c>
      <c r="E136" s="32">
        <f>Capacity_Reservations!E136</f>
        <v/>
      </c>
      <c r="F136" s="33">
        <f>Capacity_Reservations!F136</f>
        <v/>
      </c>
      <c r="G136" s="47">
        <f>Capacity_Reservations!I136</f>
        <v/>
      </c>
      <c r="H136" s="47">
        <f>Capacity_Reservations!J136</f>
        <v/>
      </c>
      <c r="I136" s="47">
        <f>Capacity_Reservations!K136</f>
        <v/>
      </c>
      <c r="J136" s="47">
        <f>Capacity_Reservations!L136</f>
        <v/>
      </c>
      <c r="K136" s="24">
        <f>IF(Allocation!$C$14&lt;&gt;1,0,IF(D136="Prod",IF(B136=Allocation!$C$9,SUMIF(Request!$A$13:$A$20,E136,Request!$D$13:$D$20),0),IF(D136="NonProd",IF(B136=Allocation!$C$10,SUMIF(Request!$A$13:$A$20,E136,Request!$D$13:$D$20),0),IF(AND(D136="DR",B136=Allocation!$C$11),ROUND(SUMIF(Request!$A$13:$A$20,E136,Request!$D$13:$D$20)*Policy!$B$15,0),0))))</f>
        <v/>
      </c>
      <c r="L136" s="24">
        <f>G136+K136</f>
        <v/>
      </c>
      <c r="M136" s="24">
        <f>MAX(0,J136-K136)</f>
        <v/>
      </c>
      <c r="N136" s="24">
        <f>MAX(0,K136-J136)</f>
        <v/>
      </c>
      <c r="O136" s="24">
        <f>L136+H136</f>
        <v/>
      </c>
      <c r="P136" s="25">
        <f>IF(K136=0,"",IF(N136&gt;0,"Request exceeded free cores","Placed"))</f>
        <v/>
      </c>
    </row>
    <row r="137">
      <c r="A137" s="32">
        <f>Capacity_Reservations!A137</f>
        <v/>
      </c>
      <c r="B137" s="32">
        <f>Capacity_Reservations!B137</f>
        <v/>
      </c>
      <c r="C137" s="33">
        <f>Capacity_Reservations!C137</f>
        <v/>
      </c>
      <c r="D137" s="33">
        <f>Capacity_Reservations!D137</f>
        <v/>
      </c>
      <c r="E137" s="32">
        <f>Capacity_Reservations!E137</f>
        <v/>
      </c>
      <c r="F137" s="33">
        <f>Capacity_Reservations!F137</f>
        <v/>
      </c>
      <c r="G137" s="47">
        <f>Capacity_Reservations!I137</f>
        <v/>
      </c>
      <c r="H137" s="47">
        <f>Capacity_Reservations!J137</f>
        <v/>
      </c>
      <c r="I137" s="47">
        <f>Capacity_Reservations!K137</f>
        <v/>
      </c>
      <c r="J137" s="47">
        <f>Capacity_Reservations!L137</f>
        <v/>
      </c>
      <c r="K137" s="24">
        <f>IF(Allocation!$C$14&lt;&gt;1,0,IF(D137="Prod",IF(B137=Allocation!$C$9,SUMIF(Request!$A$13:$A$20,E137,Request!$D$13:$D$20),0),IF(D137="NonProd",IF(B137=Allocation!$C$10,SUMIF(Request!$A$13:$A$20,E137,Request!$D$13:$D$20),0),IF(AND(D137="DR",B137=Allocation!$C$11),ROUND(SUMIF(Request!$A$13:$A$20,E137,Request!$D$13:$D$20)*Policy!$B$15,0),0))))</f>
        <v/>
      </c>
      <c r="L137" s="24">
        <f>G137+K137</f>
        <v/>
      </c>
      <c r="M137" s="24">
        <f>MAX(0,J137-K137)</f>
        <v/>
      </c>
      <c r="N137" s="24">
        <f>MAX(0,K137-J137)</f>
        <v/>
      </c>
      <c r="O137" s="24">
        <f>L137+H137</f>
        <v/>
      </c>
      <c r="P137" s="25">
        <f>IF(K137=0,"",IF(N137&gt;0,"Request exceeded free cores","Placed"))</f>
        <v/>
      </c>
    </row>
    <row r="138">
      <c r="A138" s="32">
        <f>Capacity_Reservations!A138</f>
        <v/>
      </c>
      <c r="B138" s="32">
        <f>Capacity_Reservations!B138</f>
        <v/>
      </c>
      <c r="C138" s="33">
        <f>Capacity_Reservations!C138</f>
        <v/>
      </c>
      <c r="D138" s="33">
        <f>Capacity_Reservations!D138</f>
        <v/>
      </c>
      <c r="E138" s="32">
        <f>Capacity_Reservations!E138</f>
        <v/>
      </c>
      <c r="F138" s="33">
        <f>Capacity_Reservations!F138</f>
        <v/>
      </c>
      <c r="G138" s="47">
        <f>Capacity_Reservations!I138</f>
        <v/>
      </c>
      <c r="H138" s="47">
        <f>Capacity_Reservations!J138</f>
        <v/>
      </c>
      <c r="I138" s="47">
        <f>Capacity_Reservations!K138</f>
        <v/>
      </c>
      <c r="J138" s="47">
        <f>Capacity_Reservations!L138</f>
        <v/>
      </c>
      <c r="K138" s="24">
        <f>IF(Allocation!$C$14&lt;&gt;1,0,IF(D138="Prod",IF(B138=Allocation!$C$9,SUMIF(Request!$A$13:$A$20,E138,Request!$D$13:$D$20),0),IF(D138="NonProd",IF(B138=Allocation!$C$10,SUMIF(Request!$A$13:$A$20,E138,Request!$D$13:$D$20),0),IF(AND(D138="DR",B138=Allocation!$C$11),ROUND(SUMIF(Request!$A$13:$A$20,E138,Request!$D$13:$D$20)*Policy!$B$15,0),0))))</f>
        <v/>
      </c>
      <c r="L138" s="24">
        <f>G138+K138</f>
        <v/>
      </c>
      <c r="M138" s="24">
        <f>MAX(0,J138-K138)</f>
        <v/>
      </c>
      <c r="N138" s="24">
        <f>MAX(0,K138-J138)</f>
        <v/>
      </c>
      <c r="O138" s="24">
        <f>L138+H138</f>
        <v/>
      </c>
      <c r="P138" s="25">
        <f>IF(K138=0,"",IF(N138&gt;0,"Request exceeded free cores","Placed"))</f>
        <v/>
      </c>
    </row>
    <row r="139">
      <c r="A139" s="32">
        <f>Capacity_Reservations!A139</f>
        <v/>
      </c>
      <c r="B139" s="32">
        <f>Capacity_Reservations!B139</f>
        <v/>
      </c>
      <c r="C139" s="33">
        <f>Capacity_Reservations!C139</f>
        <v/>
      </c>
      <c r="D139" s="33">
        <f>Capacity_Reservations!D139</f>
        <v/>
      </c>
      <c r="E139" s="32">
        <f>Capacity_Reservations!E139</f>
        <v/>
      </c>
      <c r="F139" s="33">
        <f>Capacity_Reservations!F139</f>
        <v/>
      </c>
      <c r="G139" s="47">
        <f>Capacity_Reservations!I139</f>
        <v/>
      </c>
      <c r="H139" s="47">
        <f>Capacity_Reservations!J139</f>
        <v/>
      </c>
      <c r="I139" s="47">
        <f>Capacity_Reservations!K139</f>
        <v/>
      </c>
      <c r="J139" s="47">
        <f>Capacity_Reservations!L139</f>
        <v/>
      </c>
      <c r="K139" s="24">
        <f>IF(Allocation!$C$14&lt;&gt;1,0,IF(D139="Prod",IF(B139=Allocation!$C$9,SUMIF(Request!$A$13:$A$20,E139,Request!$D$13:$D$20),0),IF(D139="NonProd",IF(B139=Allocation!$C$10,SUMIF(Request!$A$13:$A$20,E139,Request!$D$13:$D$20),0),IF(AND(D139="DR",B139=Allocation!$C$11),ROUND(SUMIF(Request!$A$13:$A$20,E139,Request!$D$13:$D$20)*Policy!$B$15,0),0))))</f>
        <v/>
      </c>
      <c r="L139" s="24">
        <f>G139+K139</f>
        <v/>
      </c>
      <c r="M139" s="24">
        <f>MAX(0,J139-K139)</f>
        <v/>
      </c>
      <c r="N139" s="24">
        <f>MAX(0,K139-J139)</f>
        <v/>
      </c>
      <c r="O139" s="24">
        <f>L139+H139</f>
        <v/>
      </c>
      <c r="P139" s="25">
        <f>IF(K139=0,"",IF(N139&gt;0,"Request exceeded free cores","Placed"))</f>
        <v/>
      </c>
    </row>
    <row r="140">
      <c r="A140" s="32">
        <f>Capacity_Reservations!A140</f>
        <v/>
      </c>
      <c r="B140" s="32">
        <f>Capacity_Reservations!B140</f>
        <v/>
      </c>
      <c r="C140" s="33">
        <f>Capacity_Reservations!C140</f>
        <v/>
      </c>
      <c r="D140" s="33">
        <f>Capacity_Reservations!D140</f>
        <v/>
      </c>
      <c r="E140" s="32">
        <f>Capacity_Reservations!E140</f>
        <v/>
      </c>
      <c r="F140" s="33">
        <f>Capacity_Reservations!F140</f>
        <v/>
      </c>
      <c r="G140" s="47">
        <f>Capacity_Reservations!I140</f>
        <v/>
      </c>
      <c r="H140" s="47">
        <f>Capacity_Reservations!J140</f>
        <v/>
      </c>
      <c r="I140" s="47">
        <f>Capacity_Reservations!K140</f>
        <v/>
      </c>
      <c r="J140" s="47">
        <f>Capacity_Reservations!L140</f>
        <v/>
      </c>
      <c r="K140" s="24">
        <f>IF(Allocation!$C$14&lt;&gt;1,0,IF(D140="Prod",IF(B140=Allocation!$C$9,SUMIF(Request!$A$13:$A$20,E140,Request!$D$13:$D$20),0),IF(D140="NonProd",IF(B140=Allocation!$C$10,SUMIF(Request!$A$13:$A$20,E140,Request!$D$13:$D$20),0),IF(AND(D140="DR",B140=Allocation!$C$11),ROUND(SUMIF(Request!$A$13:$A$20,E140,Request!$D$13:$D$20)*Policy!$B$15,0),0))))</f>
        <v/>
      </c>
      <c r="L140" s="24">
        <f>G140+K140</f>
        <v/>
      </c>
      <c r="M140" s="24">
        <f>MAX(0,J140-K140)</f>
        <v/>
      </c>
      <c r="N140" s="24">
        <f>MAX(0,K140-J140)</f>
        <v/>
      </c>
      <c r="O140" s="24">
        <f>L140+H140</f>
        <v/>
      </c>
      <c r="P140" s="25">
        <f>IF(K140=0,"",IF(N140&gt;0,"Request exceeded free cores","Placed"))</f>
        <v/>
      </c>
    </row>
    <row r="141">
      <c r="A141" s="32">
        <f>Capacity_Reservations!A141</f>
        <v/>
      </c>
      <c r="B141" s="32">
        <f>Capacity_Reservations!B141</f>
        <v/>
      </c>
      <c r="C141" s="33">
        <f>Capacity_Reservations!C141</f>
        <v/>
      </c>
      <c r="D141" s="33">
        <f>Capacity_Reservations!D141</f>
        <v/>
      </c>
      <c r="E141" s="32">
        <f>Capacity_Reservations!E141</f>
        <v/>
      </c>
      <c r="F141" s="33">
        <f>Capacity_Reservations!F141</f>
        <v/>
      </c>
      <c r="G141" s="47">
        <f>Capacity_Reservations!I141</f>
        <v/>
      </c>
      <c r="H141" s="47">
        <f>Capacity_Reservations!J141</f>
        <v/>
      </c>
      <c r="I141" s="47">
        <f>Capacity_Reservations!K141</f>
        <v/>
      </c>
      <c r="J141" s="47">
        <f>Capacity_Reservations!L141</f>
        <v/>
      </c>
      <c r="K141" s="24">
        <f>IF(Allocation!$C$14&lt;&gt;1,0,IF(D141="Prod",IF(B141=Allocation!$C$9,SUMIF(Request!$A$13:$A$20,E141,Request!$D$13:$D$20),0),IF(D141="NonProd",IF(B141=Allocation!$C$10,SUMIF(Request!$A$13:$A$20,E141,Request!$D$13:$D$20),0),IF(AND(D141="DR",B141=Allocation!$C$11),ROUND(SUMIF(Request!$A$13:$A$20,E141,Request!$D$13:$D$20)*Policy!$B$15,0),0))))</f>
        <v/>
      </c>
      <c r="L141" s="24">
        <f>G141+K141</f>
        <v/>
      </c>
      <c r="M141" s="24">
        <f>MAX(0,J141-K141)</f>
        <v/>
      </c>
      <c r="N141" s="24">
        <f>MAX(0,K141-J141)</f>
        <v/>
      </c>
      <c r="O141" s="24">
        <f>L141+H141</f>
        <v/>
      </c>
      <c r="P141" s="25">
        <f>IF(K141=0,"",IF(N141&gt;0,"Request exceeded free cores","Placed"))</f>
        <v/>
      </c>
    </row>
    <row r="142">
      <c r="A142" s="32">
        <f>Capacity_Reservations!A142</f>
        <v/>
      </c>
      <c r="B142" s="32">
        <f>Capacity_Reservations!B142</f>
        <v/>
      </c>
      <c r="C142" s="33">
        <f>Capacity_Reservations!C142</f>
        <v/>
      </c>
      <c r="D142" s="33">
        <f>Capacity_Reservations!D142</f>
        <v/>
      </c>
      <c r="E142" s="32">
        <f>Capacity_Reservations!E142</f>
        <v/>
      </c>
      <c r="F142" s="33">
        <f>Capacity_Reservations!F142</f>
        <v/>
      </c>
      <c r="G142" s="47">
        <f>Capacity_Reservations!I142</f>
        <v/>
      </c>
      <c r="H142" s="47">
        <f>Capacity_Reservations!J142</f>
        <v/>
      </c>
      <c r="I142" s="47">
        <f>Capacity_Reservations!K142</f>
        <v/>
      </c>
      <c r="J142" s="47">
        <f>Capacity_Reservations!L142</f>
        <v/>
      </c>
      <c r="K142" s="24">
        <f>IF(Allocation!$C$14&lt;&gt;1,0,IF(D142="Prod",IF(B142=Allocation!$C$9,SUMIF(Request!$A$13:$A$20,E142,Request!$D$13:$D$20),0),IF(D142="NonProd",IF(B142=Allocation!$C$10,SUMIF(Request!$A$13:$A$20,E142,Request!$D$13:$D$20),0),IF(AND(D142="DR",B142=Allocation!$C$11),ROUND(SUMIF(Request!$A$13:$A$20,E142,Request!$D$13:$D$20)*Policy!$B$15,0),0))))</f>
        <v/>
      </c>
      <c r="L142" s="24">
        <f>G142+K142</f>
        <v/>
      </c>
      <c r="M142" s="24">
        <f>MAX(0,J142-K142)</f>
        <v/>
      </c>
      <c r="N142" s="24">
        <f>MAX(0,K142-J142)</f>
        <v/>
      </c>
      <c r="O142" s="24">
        <f>L142+H142</f>
        <v/>
      </c>
      <c r="P142" s="25">
        <f>IF(K142=0,"",IF(N142&gt;0,"Request exceeded free cores","Placed"))</f>
        <v/>
      </c>
    </row>
    <row r="143">
      <c r="A143" s="32">
        <f>Capacity_Reservations!A143</f>
        <v/>
      </c>
      <c r="B143" s="32">
        <f>Capacity_Reservations!B143</f>
        <v/>
      </c>
      <c r="C143" s="33">
        <f>Capacity_Reservations!C143</f>
        <v/>
      </c>
      <c r="D143" s="33">
        <f>Capacity_Reservations!D143</f>
        <v/>
      </c>
      <c r="E143" s="32">
        <f>Capacity_Reservations!E143</f>
        <v/>
      </c>
      <c r="F143" s="33">
        <f>Capacity_Reservations!F143</f>
        <v/>
      </c>
      <c r="G143" s="47">
        <f>Capacity_Reservations!I143</f>
        <v/>
      </c>
      <c r="H143" s="47">
        <f>Capacity_Reservations!J143</f>
        <v/>
      </c>
      <c r="I143" s="47">
        <f>Capacity_Reservations!K143</f>
        <v/>
      </c>
      <c r="J143" s="47">
        <f>Capacity_Reservations!L143</f>
        <v/>
      </c>
      <c r="K143" s="24">
        <f>IF(Allocation!$C$14&lt;&gt;1,0,IF(D143="Prod",IF(B143=Allocation!$C$9,SUMIF(Request!$A$13:$A$20,E143,Request!$D$13:$D$20),0),IF(D143="NonProd",IF(B143=Allocation!$C$10,SUMIF(Request!$A$13:$A$20,E143,Request!$D$13:$D$20),0),IF(AND(D143="DR",B143=Allocation!$C$11),ROUND(SUMIF(Request!$A$13:$A$20,E143,Request!$D$13:$D$20)*Policy!$B$15,0),0))))</f>
        <v/>
      </c>
      <c r="L143" s="24">
        <f>G143+K143</f>
        <v/>
      </c>
      <c r="M143" s="24">
        <f>MAX(0,J143-K143)</f>
        <v/>
      </c>
      <c r="N143" s="24">
        <f>MAX(0,K143-J143)</f>
        <v/>
      </c>
      <c r="O143" s="24">
        <f>L143+H143</f>
        <v/>
      </c>
      <c r="P143" s="25">
        <f>IF(K143=0,"",IF(N143&gt;0,"Request exceeded free cores","Placed"))</f>
        <v/>
      </c>
    </row>
    <row r="144">
      <c r="A144" s="32">
        <f>Capacity_Reservations!A144</f>
        <v/>
      </c>
      <c r="B144" s="32">
        <f>Capacity_Reservations!B144</f>
        <v/>
      </c>
      <c r="C144" s="33">
        <f>Capacity_Reservations!C144</f>
        <v/>
      </c>
      <c r="D144" s="33">
        <f>Capacity_Reservations!D144</f>
        <v/>
      </c>
      <c r="E144" s="32">
        <f>Capacity_Reservations!E144</f>
        <v/>
      </c>
      <c r="F144" s="33">
        <f>Capacity_Reservations!F144</f>
        <v/>
      </c>
      <c r="G144" s="47">
        <f>Capacity_Reservations!I144</f>
        <v/>
      </c>
      <c r="H144" s="47">
        <f>Capacity_Reservations!J144</f>
        <v/>
      </c>
      <c r="I144" s="47">
        <f>Capacity_Reservations!K144</f>
        <v/>
      </c>
      <c r="J144" s="47">
        <f>Capacity_Reservations!L144</f>
        <v/>
      </c>
      <c r="K144" s="24">
        <f>IF(Allocation!$C$14&lt;&gt;1,0,IF(D144="Prod",IF(B144=Allocation!$C$9,SUMIF(Request!$A$13:$A$20,E144,Request!$D$13:$D$20),0),IF(D144="NonProd",IF(B144=Allocation!$C$10,SUMIF(Request!$A$13:$A$20,E144,Request!$D$13:$D$20),0),IF(AND(D144="DR",B144=Allocation!$C$11),ROUND(SUMIF(Request!$A$13:$A$20,E144,Request!$D$13:$D$20)*Policy!$B$15,0),0))))</f>
        <v/>
      </c>
      <c r="L144" s="24">
        <f>G144+K144</f>
        <v/>
      </c>
      <c r="M144" s="24">
        <f>MAX(0,J144-K144)</f>
        <v/>
      </c>
      <c r="N144" s="24">
        <f>MAX(0,K144-J144)</f>
        <v/>
      </c>
      <c r="O144" s="24">
        <f>L144+H144</f>
        <v/>
      </c>
      <c r="P144" s="25">
        <f>IF(K144=0,"",IF(N144&gt;0,"Request exceeded free cores","Placed"))</f>
        <v/>
      </c>
    </row>
    <row r="145">
      <c r="A145" s="32">
        <f>Capacity_Reservations!A145</f>
        <v/>
      </c>
      <c r="B145" s="32">
        <f>Capacity_Reservations!B145</f>
        <v/>
      </c>
      <c r="C145" s="33">
        <f>Capacity_Reservations!C145</f>
        <v/>
      </c>
      <c r="D145" s="33">
        <f>Capacity_Reservations!D145</f>
        <v/>
      </c>
      <c r="E145" s="32">
        <f>Capacity_Reservations!E145</f>
        <v/>
      </c>
      <c r="F145" s="33">
        <f>Capacity_Reservations!F145</f>
        <v/>
      </c>
      <c r="G145" s="47">
        <f>Capacity_Reservations!I145</f>
        <v/>
      </c>
      <c r="H145" s="47">
        <f>Capacity_Reservations!J145</f>
        <v/>
      </c>
      <c r="I145" s="47">
        <f>Capacity_Reservations!K145</f>
        <v/>
      </c>
      <c r="J145" s="47">
        <f>Capacity_Reservations!L145</f>
        <v/>
      </c>
      <c r="K145" s="24">
        <f>IF(Allocation!$C$14&lt;&gt;1,0,IF(D145="Prod",IF(B145=Allocation!$C$9,SUMIF(Request!$A$13:$A$20,E145,Request!$D$13:$D$20),0),IF(D145="NonProd",IF(B145=Allocation!$C$10,SUMIF(Request!$A$13:$A$20,E145,Request!$D$13:$D$20),0),IF(AND(D145="DR",B145=Allocation!$C$11),ROUND(SUMIF(Request!$A$13:$A$20,E145,Request!$D$13:$D$20)*Policy!$B$15,0),0))))</f>
        <v/>
      </c>
      <c r="L145" s="24">
        <f>G145+K145</f>
        <v/>
      </c>
      <c r="M145" s="24">
        <f>MAX(0,J145-K145)</f>
        <v/>
      </c>
      <c r="N145" s="24">
        <f>MAX(0,K145-J145)</f>
        <v/>
      </c>
      <c r="O145" s="24">
        <f>L145+H145</f>
        <v/>
      </c>
      <c r="P145" s="25">
        <f>IF(K145=0,"",IF(N145&gt;0,"Request exceeded free cores","Placed"))</f>
        <v/>
      </c>
    </row>
    <row r="146">
      <c r="A146" s="32">
        <f>Capacity_Reservations!A146</f>
        <v/>
      </c>
      <c r="B146" s="32">
        <f>Capacity_Reservations!B146</f>
        <v/>
      </c>
      <c r="C146" s="33">
        <f>Capacity_Reservations!C146</f>
        <v/>
      </c>
      <c r="D146" s="33">
        <f>Capacity_Reservations!D146</f>
        <v/>
      </c>
      <c r="E146" s="32">
        <f>Capacity_Reservations!E146</f>
        <v/>
      </c>
      <c r="F146" s="33">
        <f>Capacity_Reservations!F146</f>
        <v/>
      </c>
      <c r="G146" s="47">
        <f>Capacity_Reservations!I146</f>
        <v/>
      </c>
      <c r="H146" s="47">
        <f>Capacity_Reservations!J146</f>
        <v/>
      </c>
      <c r="I146" s="47">
        <f>Capacity_Reservations!K146</f>
        <v/>
      </c>
      <c r="J146" s="47">
        <f>Capacity_Reservations!L146</f>
        <v/>
      </c>
      <c r="K146" s="24">
        <f>IF(Allocation!$C$14&lt;&gt;1,0,IF(D146="Prod",IF(B146=Allocation!$C$9,SUMIF(Request!$A$13:$A$20,E146,Request!$D$13:$D$20),0),IF(D146="NonProd",IF(B146=Allocation!$C$10,SUMIF(Request!$A$13:$A$20,E146,Request!$D$13:$D$20),0),IF(AND(D146="DR",B146=Allocation!$C$11),ROUND(SUMIF(Request!$A$13:$A$20,E146,Request!$D$13:$D$20)*Policy!$B$15,0),0))))</f>
        <v/>
      </c>
      <c r="L146" s="24">
        <f>G146+K146</f>
        <v/>
      </c>
      <c r="M146" s="24">
        <f>MAX(0,J146-K146)</f>
        <v/>
      </c>
      <c r="N146" s="24">
        <f>MAX(0,K146-J146)</f>
        <v/>
      </c>
      <c r="O146" s="24">
        <f>L146+H146</f>
        <v/>
      </c>
      <c r="P146" s="25">
        <f>IF(K146=0,"",IF(N146&gt;0,"Request exceeded free cores","Placed"))</f>
        <v/>
      </c>
    </row>
    <row r="147">
      <c r="A147" s="32">
        <f>Capacity_Reservations!A147</f>
        <v/>
      </c>
      <c r="B147" s="32">
        <f>Capacity_Reservations!B147</f>
        <v/>
      </c>
      <c r="C147" s="33">
        <f>Capacity_Reservations!C147</f>
        <v/>
      </c>
      <c r="D147" s="33">
        <f>Capacity_Reservations!D147</f>
        <v/>
      </c>
      <c r="E147" s="32">
        <f>Capacity_Reservations!E147</f>
        <v/>
      </c>
      <c r="F147" s="33">
        <f>Capacity_Reservations!F147</f>
        <v/>
      </c>
      <c r="G147" s="47">
        <f>Capacity_Reservations!I147</f>
        <v/>
      </c>
      <c r="H147" s="47">
        <f>Capacity_Reservations!J147</f>
        <v/>
      </c>
      <c r="I147" s="47">
        <f>Capacity_Reservations!K147</f>
        <v/>
      </c>
      <c r="J147" s="47">
        <f>Capacity_Reservations!L147</f>
        <v/>
      </c>
      <c r="K147" s="24">
        <f>IF(Allocation!$C$14&lt;&gt;1,0,IF(D147="Prod",IF(B147=Allocation!$C$9,SUMIF(Request!$A$13:$A$20,E147,Request!$D$13:$D$20),0),IF(D147="NonProd",IF(B147=Allocation!$C$10,SUMIF(Request!$A$13:$A$20,E147,Request!$D$13:$D$20),0),IF(AND(D147="DR",B147=Allocation!$C$11),ROUND(SUMIF(Request!$A$13:$A$20,E147,Request!$D$13:$D$20)*Policy!$B$15,0),0))))</f>
        <v/>
      </c>
      <c r="L147" s="24">
        <f>G147+K147</f>
        <v/>
      </c>
      <c r="M147" s="24">
        <f>MAX(0,J147-K147)</f>
        <v/>
      </c>
      <c r="N147" s="24">
        <f>MAX(0,K147-J147)</f>
        <v/>
      </c>
      <c r="O147" s="24">
        <f>L147+H147</f>
        <v/>
      </c>
      <c r="P147" s="25">
        <f>IF(K147=0,"",IF(N147&gt;0,"Request exceeded free cores","Placed"))</f>
        <v/>
      </c>
    </row>
    <row r="148">
      <c r="A148" s="32">
        <f>Capacity_Reservations!A148</f>
        <v/>
      </c>
      <c r="B148" s="32">
        <f>Capacity_Reservations!B148</f>
        <v/>
      </c>
      <c r="C148" s="33">
        <f>Capacity_Reservations!C148</f>
        <v/>
      </c>
      <c r="D148" s="33">
        <f>Capacity_Reservations!D148</f>
        <v/>
      </c>
      <c r="E148" s="32">
        <f>Capacity_Reservations!E148</f>
        <v/>
      </c>
      <c r="F148" s="33">
        <f>Capacity_Reservations!F148</f>
        <v/>
      </c>
      <c r="G148" s="47">
        <f>Capacity_Reservations!I148</f>
        <v/>
      </c>
      <c r="H148" s="47">
        <f>Capacity_Reservations!J148</f>
        <v/>
      </c>
      <c r="I148" s="47">
        <f>Capacity_Reservations!K148</f>
        <v/>
      </c>
      <c r="J148" s="47">
        <f>Capacity_Reservations!L148</f>
        <v/>
      </c>
      <c r="K148" s="24">
        <f>IF(Allocation!$C$14&lt;&gt;1,0,IF(D148="Prod",IF(B148=Allocation!$C$9,SUMIF(Request!$A$13:$A$20,E148,Request!$D$13:$D$20),0),IF(D148="NonProd",IF(B148=Allocation!$C$10,SUMIF(Request!$A$13:$A$20,E148,Request!$D$13:$D$20),0),IF(AND(D148="DR",B148=Allocation!$C$11),ROUND(SUMIF(Request!$A$13:$A$20,E148,Request!$D$13:$D$20)*Policy!$B$15,0),0))))</f>
        <v/>
      </c>
      <c r="L148" s="24">
        <f>G148+K148</f>
        <v/>
      </c>
      <c r="M148" s="24">
        <f>MAX(0,J148-K148)</f>
        <v/>
      </c>
      <c r="N148" s="24">
        <f>MAX(0,K148-J148)</f>
        <v/>
      </c>
      <c r="O148" s="24">
        <f>L148+H148</f>
        <v/>
      </c>
      <c r="P148" s="25">
        <f>IF(K148=0,"",IF(N148&gt;0,"Request exceeded free cores","Placed"))</f>
        <v/>
      </c>
    </row>
    <row r="149">
      <c r="A149" s="32">
        <f>Capacity_Reservations!A149</f>
        <v/>
      </c>
      <c r="B149" s="32">
        <f>Capacity_Reservations!B149</f>
        <v/>
      </c>
      <c r="C149" s="33">
        <f>Capacity_Reservations!C149</f>
        <v/>
      </c>
      <c r="D149" s="33">
        <f>Capacity_Reservations!D149</f>
        <v/>
      </c>
      <c r="E149" s="32">
        <f>Capacity_Reservations!E149</f>
        <v/>
      </c>
      <c r="F149" s="33">
        <f>Capacity_Reservations!F149</f>
        <v/>
      </c>
      <c r="G149" s="47">
        <f>Capacity_Reservations!I149</f>
        <v/>
      </c>
      <c r="H149" s="47">
        <f>Capacity_Reservations!J149</f>
        <v/>
      </c>
      <c r="I149" s="47">
        <f>Capacity_Reservations!K149</f>
        <v/>
      </c>
      <c r="J149" s="47">
        <f>Capacity_Reservations!L149</f>
        <v/>
      </c>
      <c r="K149" s="24">
        <f>IF(Allocation!$C$14&lt;&gt;1,0,IF(D149="Prod",IF(B149=Allocation!$C$9,SUMIF(Request!$A$13:$A$20,E149,Request!$D$13:$D$20),0),IF(D149="NonProd",IF(B149=Allocation!$C$10,SUMIF(Request!$A$13:$A$20,E149,Request!$D$13:$D$20),0),IF(AND(D149="DR",B149=Allocation!$C$11),ROUND(SUMIF(Request!$A$13:$A$20,E149,Request!$D$13:$D$20)*Policy!$B$15,0),0))))</f>
        <v/>
      </c>
      <c r="L149" s="24">
        <f>G149+K149</f>
        <v/>
      </c>
      <c r="M149" s="24">
        <f>MAX(0,J149-K149)</f>
        <v/>
      </c>
      <c r="N149" s="24">
        <f>MAX(0,K149-J149)</f>
        <v/>
      </c>
      <c r="O149" s="24">
        <f>L149+H149</f>
        <v/>
      </c>
      <c r="P149" s="25">
        <f>IF(K149=0,"",IF(N149&gt;0,"Request exceeded free cores","Placed"))</f>
        <v/>
      </c>
    </row>
    <row r="150">
      <c r="A150" s="32">
        <f>Capacity_Reservations!A150</f>
        <v/>
      </c>
      <c r="B150" s="32">
        <f>Capacity_Reservations!B150</f>
        <v/>
      </c>
      <c r="C150" s="33">
        <f>Capacity_Reservations!C150</f>
        <v/>
      </c>
      <c r="D150" s="33">
        <f>Capacity_Reservations!D150</f>
        <v/>
      </c>
      <c r="E150" s="32">
        <f>Capacity_Reservations!E150</f>
        <v/>
      </c>
      <c r="F150" s="33">
        <f>Capacity_Reservations!F150</f>
        <v/>
      </c>
      <c r="G150" s="47">
        <f>Capacity_Reservations!I150</f>
        <v/>
      </c>
      <c r="H150" s="47">
        <f>Capacity_Reservations!J150</f>
        <v/>
      </c>
      <c r="I150" s="47">
        <f>Capacity_Reservations!K150</f>
        <v/>
      </c>
      <c r="J150" s="47">
        <f>Capacity_Reservations!L150</f>
        <v/>
      </c>
      <c r="K150" s="24">
        <f>IF(Allocation!$C$14&lt;&gt;1,0,IF(D150="Prod",IF(B150=Allocation!$C$9,SUMIF(Request!$A$13:$A$20,E150,Request!$D$13:$D$20),0),IF(D150="NonProd",IF(B150=Allocation!$C$10,SUMIF(Request!$A$13:$A$20,E150,Request!$D$13:$D$20),0),IF(AND(D150="DR",B150=Allocation!$C$11),ROUND(SUMIF(Request!$A$13:$A$20,E150,Request!$D$13:$D$20)*Policy!$B$15,0),0))))</f>
        <v/>
      </c>
      <c r="L150" s="24">
        <f>G150+K150</f>
        <v/>
      </c>
      <c r="M150" s="24">
        <f>MAX(0,J150-K150)</f>
        <v/>
      </c>
      <c r="N150" s="24">
        <f>MAX(0,K150-J150)</f>
        <v/>
      </c>
      <c r="O150" s="24">
        <f>L150+H150</f>
        <v/>
      </c>
      <c r="P150" s="25">
        <f>IF(K150=0,"",IF(N150&gt;0,"Request exceeded free cores","Placed"))</f>
        <v/>
      </c>
    </row>
    <row r="151">
      <c r="A151" s="32">
        <f>Capacity_Reservations!A151</f>
        <v/>
      </c>
      <c r="B151" s="32">
        <f>Capacity_Reservations!B151</f>
        <v/>
      </c>
      <c r="C151" s="33">
        <f>Capacity_Reservations!C151</f>
        <v/>
      </c>
      <c r="D151" s="33">
        <f>Capacity_Reservations!D151</f>
        <v/>
      </c>
      <c r="E151" s="32">
        <f>Capacity_Reservations!E151</f>
        <v/>
      </c>
      <c r="F151" s="33">
        <f>Capacity_Reservations!F151</f>
        <v/>
      </c>
      <c r="G151" s="47">
        <f>Capacity_Reservations!I151</f>
        <v/>
      </c>
      <c r="H151" s="47">
        <f>Capacity_Reservations!J151</f>
        <v/>
      </c>
      <c r="I151" s="47">
        <f>Capacity_Reservations!K151</f>
        <v/>
      </c>
      <c r="J151" s="47">
        <f>Capacity_Reservations!L151</f>
        <v/>
      </c>
      <c r="K151" s="24">
        <f>IF(Allocation!$C$14&lt;&gt;1,0,IF(D151="Prod",IF(B151=Allocation!$C$9,SUMIF(Request!$A$13:$A$20,E151,Request!$D$13:$D$20),0),IF(D151="NonProd",IF(B151=Allocation!$C$10,SUMIF(Request!$A$13:$A$20,E151,Request!$D$13:$D$20),0),IF(AND(D151="DR",B151=Allocation!$C$11),ROUND(SUMIF(Request!$A$13:$A$20,E151,Request!$D$13:$D$20)*Policy!$B$15,0),0))))</f>
        <v/>
      </c>
      <c r="L151" s="24">
        <f>G151+K151</f>
        <v/>
      </c>
      <c r="M151" s="24">
        <f>MAX(0,J151-K151)</f>
        <v/>
      </c>
      <c r="N151" s="24">
        <f>MAX(0,K151-J151)</f>
        <v/>
      </c>
      <c r="O151" s="24">
        <f>L151+H151</f>
        <v/>
      </c>
      <c r="P151" s="25">
        <f>IF(K151=0,"",IF(N151&gt;0,"Request exceeded free cores","Placed"))</f>
        <v/>
      </c>
    </row>
    <row r="152">
      <c r="A152" s="32">
        <f>Capacity_Reservations!A152</f>
        <v/>
      </c>
      <c r="B152" s="32">
        <f>Capacity_Reservations!B152</f>
        <v/>
      </c>
      <c r="C152" s="33">
        <f>Capacity_Reservations!C152</f>
        <v/>
      </c>
      <c r="D152" s="33">
        <f>Capacity_Reservations!D152</f>
        <v/>
      </c>
      <c r="E152" s="32">
        <f>Capacity_Reservations!E152</f>
        <v/>
      </c>
      <c r="F152" s="33">
        <f>Capacity_Reservations!F152</f>
        <v/>
      </c>
      <c r="G152" s="47">
        <f>Capacity_Reservations!I152</f>
        <v/>
      </c>
      <c r="H152" s="47">
        <f>Capacity_Reservations!J152</f>
        <v/>
      </c>
      <c r="I152" s="47">
        <f>Capacity_Reservations!K152</f>
        <v/>
      </c>
      <c r="J152" s="47">
        <f>Capacity_Reservations!L152</f>
        <v/>
      </c>
      <c r="K152" s="24">
        <f>IF(Allocation!$C$14&lt;&gt;1,0,IF(D152="Prod",IF(B152=Allocation!$C$9,SUMIF(Request!$A$13:$A$20,E152,Request!$D$13:$D$20),0),IF(D152="NonProd",IF(B152=Allocation!$C$10,SUMIF(Request!$A$13:$A$20,E152,Request!$D$13:$D$20),0),IF(AND(D152="DR",B152=Allocation!$C$11),ROUND(SUMIF(Request!$A$13:$A$20,E152,Request!$D$13:$D$20)*Policy!$B$15,0),0))))</f>
        <v/>
      </c>
      <c r="L152" s="24">
        <f>G152+K152</f>
        <v/>
      </c>
      <c r="M152" s="24">
        <f>MAX(0,J152-K152)</f>
        <v/>
      </c>
      <c r="N152" s="24">
        <f>MAX(0,K152-J152)</f>
        <v/>
      </c>
      <c r="O152" s="24">
        <f>L152+H152</f>
        <v/>
      </c>
      <c r="P152" s="25">
        <f>IF(K152=0,"",IF(N152&gt;0,"Request exceeded free cores","Placed"))</f>
        <v/>
      </c>
    </row>
    <row r="153">
      <c r="A153" s="32">
        <f>Capacity_Reservations!A153</f>
        <v/>
      </c>
      <c r="B153" s="32">
        <f>Capacity_Reservations!B153</f>
        <v/>
      </c>
      <c r="C153" s="33">
        <f>Capacity_Reservations!C153</f>
        <v/>
      </c>
      <c r="D153" s="33">
        <f>Capacity_Reservations!D153</f>
        <v/>
      </c>
      <c r="E153" s="32">
        <f>Capacity_Reservations!E153</f>
        <v/>
      </c>
      <c r="F153" s="33">
        <f>Capacity_Reservations!F153</f>
        <v/>
      </c>
      <c r="G153" s="47">
        <f>Capacity_Reservations!I153</f>
        <v/>
      </c>
      <c r="H153" s="47">
        <f>Capacity_Reservations!J153</f>
        <v/>
      </c>
      <c r="I153" s="47">
        <f>Capacity_Reservations!K153</f>
        <v/>
      </c>
      <c r="J153" s="47">
        <f>Capacity_Reservations!L153</f>
        <v/>
      </c>
      <c r="K153" s="24">
        <f>IF(Allocation!$C$14&lt;&gt;1,0,IF(D153="Prod",IF(B153=Allocation!$C$9,SUMIF(Request!$A$13:$A$20,E153,Request!$D$13:$D$20),0),IF(D153="NonProd",IF(B153=Allocation!$C$10,SUMIF(Request!$A$13:$A$20,E153,Request!$D$13:$D$20),0),IF(AND(D153="DR",B153=Allocation!$C$11),ROUND(SUMIF(Request!$A$13:$A$20,E153,Request!$D$13:$D$20)*Policy!$B$15,0),0))))</f>
        <v/>
      </c>
      <c r="L153" s="24">
        <f>G153+K153</f>
        <v/>
      </c>
      <c r="M153" s="24">
        <f>MAX(0,J153-K153)</f>
        <v/>
      </c>
      <c r="N153" s="24">
        <f>MAX(0,K153-J153)</f>
        <v/>
      </c>
      <c r="O153" s="24">
        <f>L153+H153</f>
        <v/>
      </c>
      <c r="P153" s="25">
        <f>IF(K153=0,"",IF(N153&gt;0,"Request exceeded free cores","Placed"))</f>
        <v/>
      </c>
    </row>
    <row r="154">
      <c r="A154" s="32">
        <f>Capacity_Reservations!A154</f>
        <v/>
      </c>
      <c r="B154" s="32">
        <f>Capacity_Reservations!B154</f>
        <v/>
      </c>
      <c r="C154" s="33">
        <f>Capacity_Reservations!C154</f>
        <v/>
      </c>
      <c r="D154" s="33">
        <f>Capacity_Reservations!D154</f>
        <v/>
      </c>
      <c r="E154" s="32">
        <f>Capacity_Reservations!E154</f>
        <v/>
      </c>
      <c r="F154" s="33">
        <f>Capacity_Reservations!F154</f>
        <v/>
      </c>
      <c r="G154" s="47">
        <f>Capacity_Reservations!I154</f>
        <v/>
      </c>
      <c r="H154" s="47">
        <f>Capacity_Reservations!J154</f>
        <v/>
      </c>
      <c r="I154" s="47">
        <f>Capacity_Reservations!K154</f>
        <v/>
      </c>
      <c r="J154" s="47">
        <f>Capacity_Reservations!L154</f>
        <v/>
      </c>
      <c r="K154" s="24">
        <f>IF(Allocation!$C$14&lt;&gt;1,0,IF(D154="Prod",IF(B154=Allocation!$C$9,SUMIF(Request!$A$13:$A$20,E154,Request!$D$13:$D$20),0),IF(D154="NonProd",IF(B154=Allocation!$C$10,SUMIF(Request!$A$13:$A$20,E154,Request!$D$13:$D$20),0),IF(AND(D154="DR",B154=Allocation!$C$11),ROUND(SUMIF(Request!$A$13:$A$20,E154,Request!$D$13:$D$20)*Policy!$B$15,0),0))))</f>
        <v/>
      </c>
      <c r="L154" s="24">
        <f>G154+K154</f>
        <v/>
      </c>
      <c r="M154" s="24">
        <f>MAX(0,J154-K154)</f>
        <v/>
      </c>
      <c r="N154" s="24">
        <f>MAX(0,K154-J154)</f>
        <v/>
      </c>
      <c r="O154" s="24">
        <f>L154+H154</f>
        <v/>
      </c>
      <c r="P154" s="25">
        <f>IF(K154=0,"",IF(N154&gt;0,"Request exceeded free cores","Placed"))</f>
        <v/>
      </c>
    </row>
    <row r="155">
      <c r="A155" s="32">
        <f>Capacity_Reservations!A155</f>
        <v/>
      </c>
      <c r="B155" s="32">
        <f>Capacity_Reservations!B155</f>
        <v/>
      </c>
      <c r="C155" s="33">
        <f>Capacity_Reservations!C155</f>
        <v/>
      </c>
      <c r="D155" s="33">
        <f>Capacity_Reservations!D155</f>
        <v/>
      </c>
      <c r="E155" s="32">
        <f>Capacity_Reservations!E155</f>
        <v/>
      </c>
      <c r="F155" s="33">
        <f>Capacity_Reservations!F155</f>
        <v/>
      </c>
      <c r="G155" s="47">
        <f>Capacity_Reservations!I155</f>
        <v/>
      </c>
      <c r="H155" s="47">
        <f>Capacity_Reservations!J155</f>
        <v/>
      </c>
      <c r="I155" s="47">
        <f>Capacity_Reservations!K155</f>
        <v/>
      </c>
      <c r="J155" s="47">
        <f>Capacity_Reservations!L155</f>
        <v/>
      </c>
      <c r="K155" s="24">
        <f>IF(Allocation!$C$14&lt;&gt;1,0,IF(D155="Prod",IF(B155=Allocation!$C$9,SUMIF(Request!$A$13:$A$20,E155,Request!$D$13:$D$20),0),IF(D155="NonProd",IF(B155=Allocation!$C$10,SUMIF(Request!$A$13:$A$20,E155,Request!$D$13:$D$20),0),IF(AND(D155="DR",B155=Allocation!$C$11),ROUND(SUMIF(Request!$A$13:$A$20,E155,Request!$D$13:$D$20)*Policy!$B$15,0),0))))</f>
        <v/>
      </c>
      <c r="L155" s="24">
        <f>G155+K155</f>
        <v/>
      </c>
      <c r="M155" s="24">
        <f>MAX(0,J155-K155)</f>
        <v/>
      </c>
      <c r="N155" s="24">
        <f>MAX(0,K155-J155)</f>
        <v/>
      </c>
      <c r="O155" s="24">
        <f>L155+H155</f>
        <v/>
      </c>
      <c r="P155" s="25">
        <f>IF(K155=0,"",IF(N155&gt;0,"Request exceeded free cores","Placed"))</f>
        <v/>
      </c>
    </row>
    <row r="156">
      <c r="A156" s="32">
        <f>Capacity_Reservations!A156</f>
        <v/>
      </c>
      <c r="B156" s="32">
        <f>Capacity_Reservations!B156</f>
        <v/>
      </c>
      <c r="C156" s="33">
        <f>Capacity_Reservations!C156</f>
        <v/>
      </c>
      <c r="D156" s="33">
        <f>Capacity_Reservations!D156</f>
        <v/>
      </c>
      <c r="E156" s="32">
        <f>Capacity_Reservations!E156</f>
        <v/>
      </c>
      <c r="F156" s="33">
        <f>Capacity_Reservations!F156</f>
        <v/>
      </c>
      <c r="G156" s="47">
        <f>Capacity_Reservations!I156</f>
        <v/>
      </c>
      <c r="H156" s="47">
        <f>Capacity_Reservations!J156</f>
        <v/>
      </c>
      <c r="I156" s="47">
        <f>Capacity_Reservations!K156</f>
        <v/>
      </c>
      <c r="J156" s="47">
        <f>Capacity_Reservations!L156</f>
        <v/>
      </c>
      <c r="K156" s="24">
        <f>IF(Allocation!$C$14&lt;&gt;1,0,IF(D156="Prod",IF(B156=Allocation!$C$9,SUMIF(Request!$A$13:$A$20,E156,Request!$D$13:$D$20),0),IF(D156="NonProd",IF(B156=Allocation!$C$10,SUMIF(Request!$A$13:$A$20,E156,Request!$D$13:$D$20),0),IF(AND(D156="DR",B156=Allocation!$C$11),ROUND(SUMIF(Request!$A$13:$A$20,E156,Request!$D$13:$D$20)*Policy!$B$15,0),0))))</f>
        <v/>
      </c>
      <c r="L156" s="24">
        <f>G156+K156</f>
        <v/>
      </c>
      <c r="M156" s="24">
        <f>MAX(0,J156-K156)</f>
        <v/>
      </c>
      <c r="N156" s="24">
        <f>MAX(0,K156-J156)</f>
        <v/>
      </c>
      <c r="O156" s="24">
        <f>L156+H156</f>
        <v/>
      </c>
      <c r="P156" s="25">
        <f>IF(K156=0,"",IF(N156&gt;0,"Request exceeded free cores","Placed"))</f>
        <v/>
      </c>
    </row>
    <row r="157">
      <c r="A157" s="32">
        <f>Capacity_Reservations!A157</f>
        <v/>
      </c>
      <c r="B157" s="32">
        <f>Capacity_Reservations!B157</f>
        <v/>
      </c>
      <c r="C157" s="33">
        <f>Capacity_Reservations!C157</f>
        <v/>
      </c>
      <c r="D157" s="33">
        <f>Capacity_Reservations!D157</f>
        <v/>
      </c>
      <c r="E157" s="32">
        <f>Capacity_Reservations!E157</f>
        <v/>
      </c>
      <c r="F157" s="33">
        <f>Capacity_Reservations!F157</f>
        <v/>
      </c>
      <c r="G157" s="47">
        <f>Capacity_Reservations!I157</f>
        <v/>
      </c>
      <c r="H157" s="47">
        <f>Capacity_Reservations!J157</f>
        <v/>
      </c>
      <c r="I157" s="47">
        <f>Capacity_Reservations!K157</f>
        <v/>
      </c>
      <c r="J157" s="47">
        <f>Capacity_Reservations!L157</f>
        <v/>
      </c>
      <c r="K157" s="24">
        <f>IF(Allocation!$C$14&lt;&gt;1,0,IF(D157="Prod",IF(B157=Allocation!$C$9,SUMIF(Request!$A$13:$A$20,E157,Request!$D$13:$D$20),0),IF(D157="NonProd",IF(B157=Allocation!$C$10,SUMIF(Request!$A$13:$A$20,E157,Request!$D$13:$D$20),0),IF(AND(D157="DR",B157=Allocation!$C$11),ROUND(SUMIF(Request!$A$13:$A$20,E157,Request!$D$13:$D$20)*Policy!$B$15,0),0))))</f>
        <v/>
      </c>
      <c r="L157" s="24">
        <f>G157+K157</f>
        <v/>
      </c>
      <c r="M157" s="24">
        <f>MAX(0,J157-K157)</f>
        <v/>
      </c>
      <c r="N157" s="24">
        <f>MAX(0,K157-J157)</f>
        <v/>
      </c>
      <c r="O157" s="24">
        <f>L157+H157</f>
        <v/>
      </c>
      <c r="P157" s="25">
        <f>IF(K157=0,"",IF(N157&gt;0,"Request exceeded free cores","Placed"))</f>
        <v/>
      </c>
    </row>
    <row r="158">
      <c r="A158" s="32">
        <f>Capacity_Reservations!A158</f>
        <v/>
      </c>
      <c r="B158" s="32">
        <f>Capacity_Reservations!B158</f>
        <v/>
      </c>
      <c r="C158" s="33">
        <f>Capacity_Reservations!C158</f>
        <v/>
      </c>
      <c r="D158" s="33">
        <f>Capacity_Reservations!D158</f>
        <v/>
      </c>
      <c r="E158" s="32">
        <f>Capacity_Reservations!E158</f>
        <v/>
      </c>
      <c r="F158" s="33">
        <f>Capacity_Reservations!F158</f>
        <v/>
      </c>
      <c r="G158" s="47">
        <f>Capacity_Reservations!I158</f>
        <v/>
      </c>
      <c r="H158" s="47">
        <f>Capacity_Reservations!J158</f>
        <v/>
      </c>
      <c r="I158" s="47">
        <f>Capacity_Reservations!K158</f>
        <v/>
      </c>
      <c r="J158" s="47">
        <f>Capacity_Reservations!L158</f>
        <v/>
      </c>
      <c r="K158" s="24">
        <f>IF(Allocation!$C$14&lt;&gt;1,0,IF(D158="Prod",IF(B158=Allocation!$C$9,SUMIF(Request!$A$13:$A$20,E158,Request!$D$13:$D$20),0),IF(D158="NonProd",IF(B158=Allocation!$C$10,SUMIF(Request!$A$13:$A$20,E158,Request!$D$13:$D$20),0),IF(AND(D158="DR",B158=Allocation!$C$11),ROUND(SUMIF(Request!$A$13:$A$20,E158,Request!$D$13:$D$20)*Policy!$B$15,0),0))))</f>
        <v/>
      </c>
      <c r="L158" s="24">
        <f>G158+K158</f>
        <v/>
      </c>
      <c r="M158" s="24">
        <f>MAX(0,J158-K158)</f>
        <v/>
      </c>
      <c r="N158" s="24">
        <f>MAX(0,K158-J158)</f>
        <v/>
      </c>
      <c r="O158" s="24">
        <f>L158+H158</f>
        <v/>
      </c>
      <c r="P158" s="25">
        <f>IF(K158=0,"",IF(N158&gt;0,"Request exceeded free cores","Placed"))</f>
        <v/>
      </c>
    </row>
    <row r="159">
      <c r="A159" s="32">
        <f>Capacity_Reservations!A159</f>
        <v/>
      </c>
      <c r="B159" s="32">
        <f>Capacity_Reservations!B159</f>
        <v/>
      </c>
      <c r="C159" s="33">
        <f>Capacity_Reservations!C159</f>
        <v/>
      </c>
      <c r="D159" s="33">
        <f>Capacity_Reservations!D159</f>
        <v/>
      </c>
      <c r="E159" s="32">
        <f>Capacity_Reservations!E159</f>
        <v/>
      </c>
      <c r="F159" s="33">
        <f>Capacity_Reservations!F159</f>
        <v/>
      </c>
      <c r="G159" s="47">
        <f>Capacity_Reservations!I159</f>
        <v/>
      </c>
      <c r="H159" s="47">
        <f>Capacity_Reservations!J159</f>
        <v/>
      </c>
      <c r="I159" s="47">
        <f>Capacity_Reservations!K159</f>
        <v/>
      </c>
      <c r="J159" s="47">
        <f>Capacity_Reservations!L159</f>
        <v/>
      </c>
      <c r="K159" s="24">
        <f>IF(Allocation!$C$14&lt;&gt;1,0,IF(D159="Prod",IF(B159=Allocation!$C$9,SUMIF(Request!$A$13:$A$20,E159,Request!$D$13:$D$20),0),IF(D159="NonProd",IF(B159=Allocation!$C$10,SUMIF(Request!$A$13:$A$20,E159,Request!$D$13:$D$20),0),IF(AND(D159="DR",B159=Allocation!$C$11),ROUND(SUMIF(Request!$A$13:$A$20,E159,Request!$D$13:$D$20)*Policy!$B$15,0),0))))</f>
        <v/>
      </c>
      <c r="L159" s="24">
        <f>G159+K159</f>
        <v/>
      </c>
      <c r="M159" s="24">
        <f>MAX(0,J159-K159)</f>
        <v/>
      </c>
      <c r="N159" s="24">
        <f>MAX(0,K159-J159)</f>
        <v/>
      </c>
      <c r="O159" s="24">
        <f>L159+H159</f>
        <v/>
      </c>
      <c r="P159" s="25">
        <f>IF(K159=0,"",IF(N159&gt;0,"Request exceeded free cores","Placed"))</f>
        <v/>
      </c>
    </row>
    <row r="160">
      <c r="A160" s="32">
        <f>Capacity_Reservations!A160</f>
        <v/>
      </c>
      <c r="B160" s="32">
        <f>Capacity_Reservations!B160</f>
        <v/>
      </c>
      <c r="C160" s="33">
        <f>Capacity_Reservations!C160</f>
        <v/>
      </c>
      <c r="D160" s="33">
        <f>Capacity_Reservations!D160</f>
        <v/>
      </c>
      <c r="E160" s="32">
        <f>Capacity_Reservations!E160</f>
        <v/>
      </c>
      <c r="F160" s="33">
        <f>Capacity_Reservations!F160</f>
        <v/>
      </c>
      <c r="G160" s="47">
        <f>Capacity_Reservations!I160</f>
        <v/>
      </c>
      <c r="H160" s="47">
        <f>Capacity_Reservations!J160</f>
        <v/>
      </c>
      <c r="I160" s="47">
        <f>Capacity_Reservations!K160</f>
        <v/>
      </c>
      <c r="J160" s="47">
        <f>Capacity_Reservations!L160</f>
        <v/>
      </c>
      <c r="K160" s="24">
        <f>IF(Allocation!$C$14&lt;&gt;1,0,IF(D160="Prod",IF(B160=Allocation!$C$9,SUMIF(Request!$A$13:$A$20,E160,Request!$D$13:$D$20),0),IF(D160="NonProd",IF(B160=Allocation!$C$10,SUMIF(Request!$A$13:$A$20,E160,Request!$D$13:$D$20),0),IF(AND(D160="DR",B160=Allocation!$C$11),ROUND(SUMIF(Request!$A$13:$A$20,E160,Request!$D$13:$D$20)*Policy!$B$15,0),0))))</f>
        <v/>
      </c>
      <c r="L160" s="24">
        <f>G160+K160</f>
        <v/>
      </c>
      <c r="M160" s="24">
        <f>MAX(0,J160-K160)</f>
        <v/>
      </c>
      <c r="N160" s="24">
        <f>MAX(0,K160-J160)</f>
        <v/>
      </c>
      <c r="O160" s="24">
        <f>L160+H160</f>
        <v/>
      </c>
      <c r="P160" s="25">
        <f>IF(K160=0,"",IF(N160&gt;0,"Request exceeded free cores","Placed"))</f>
        <v/>
      </c>
    </row>
    <row r="161">
      <c r="A161" s="32">
        <f>Capacity_Reservations!A161</f>
        <v/>
      </c>
      <c r="B161" s="32">
        <f>Capacity_Reservations!B161</f>
        <v/>
      </c>
      <c r="C161" s="33">
        <f>Capacity_Reservations!C161</f>
        <v/>
      </c>
      <c r="D161" s="33">
        <f>Capacity_Reservations!D161</f>
        <v/>
      </c>
      <c r="E161" s="32">
        <f>Capacity_Reservations!E161</f>
        <v/>
      </c>
      <c r="F161" s="33">
        <f>Capacity_Reservations!F161</f>
        <v/>
      </c>
      <c r="G161" s="47">
        <f>Capacity_Reservations!I161</f>
        <v/>
      </c>
      <c r="H161" s="47">
        <f>Capacity_Reservations!J161</f>
        <v/>
      </c>
      <c r="I161" s="47">
        <f>Capacity_Reservations!K161</f>
        <v/>
      </c>
      <c r="J161" s="47">
        <f>Capacity_Reservations!L161</f>
        <v/>
      </c>
      <c r="K161" s="24">
        <f>IF(Allocation!$C$14&lt;&gt;1,0,IF(D161="Prod",IF(B161=Allocation!$C$9,SUMIF(Request!$A$13:$A$20,E161,Request!$D$13:$D$20),0),IF(D161="NonProd",IF(B161=Allocation!$C$10,SUMIF(Request!$A$13:$A$20,E161,Request!$D$13:$D$20),0),IF(AND(D161="DR",B161=Allocation!$C$11),ROUND(SUMIF(Request!$A$13:$A$20,E161,Request!$D$13:$D$20)*Policy!$B$15,0),0))))</f>
        <v/>
      </c>
      <c r="L161" s="24">
        <f>G161+K161</f>
        <v/>
      </c>
      <c r="M161" s="24">
        <f>MAX(0,J161-K161)</f>
        <v/>
      </c>
      <c r="N161" s="24">
        <f>MAX(0,K161-J161)</f>
        <v/>
      </c>
      <c r="O161" s="24">
        <f>L161+H161</f>
        <v/>
      </c>
      <c r="P161" s="25">
        <f>IF(K161=0,"",IF(N161&gt;0,"Request exceeded free cores","Placed"))</f>
        <v/>
      </c>
    </row>
    <row r="162">
      <c r="A162" s="32">
        <f>Capacity_Reservations!A162</f>
        <v/>
      </c>
      <c r="B162" s="32">
        <f>Capacity_Reservations!B162</f>
        <v/>
      </c>
      <c r="C162" s="33">
        <f>Capacity_Reservations!C162</f>
        <v/>
      </c>
      <c r="D162" s="33">
        <f>Capacity_Reservations!D162</f>
        <v/>
      </c>
      <c r="E162" s="32">
        <f>Capacity_Reservations!E162</f>
        <v/>
      </c>
      <c r="F162" s="33">
        <f>Capacity_Reservations!F162</f>
        <v/>
      </c>
      <c r="G162" s="47">
        <f>Capacity_Reservations!I162</f>
        <v/>
      </c>
      <c r="H162" s="47">
        <f>Capacity_Reservations!J162</f>
        <v/>
      </c>
      <c r="I162" s="47">
        <f>Capacity_Reservations!K162</f>
        <v/>
      </c>
      <c r="J162" s="47">
        <f>Capacity_Reservations!L162</f>
        <v/>
      </c>
      <c r="K162" s="24">
        <f>IF(Allocation!$C$14&lt;&gt;1,0,IF(D162="Prod",IF(B162=Allocation!$C$9,SUMIF(Request!$A$13:$A$20,E162,Request!$D$13:$D$20),0),IF(D162="NonProd",IF(B162=Allocation!$C$10,SUMIF(Request!$A$13:$A$20,E162,Request!$D$13:$D$20),0),IF(AND(D162="DR",B162=Allocation!$C$11),ROUND(SUMIF(Request!$A$13:$A$20,E162,Request!$D$13:$D$20)*Policy!$B$15,0),0))))</f>
        <v/>
      </c>
      <c r="L162" s="24">
        <f>G162+K162</f>
        <v/>
      </c>
      <c r="M162" s="24">
        <f>MAX(0,J162-K162)</f>
        <v/>
      </c>
      <c r="N162" s="24">
        <f>MAX(0,K162-J162)</f>
        <v/>
      </c>
      <c r="O162" s="24">
        <f>L162+H162</f>
        <v/>
      </c>
      <c r="P162" s="25">
        <f>IF(K162=0,"",IF(N162&gt;0,"Request exceeded free cores","Placed"))</f>
        <v/>
      </c>
    </row>
    <row r="163">
      <c r="A163" s="32">
        <f>Capacity_Reservations!A163</f>
        <v/>
      </c>
      <c r="B163" s="32">
        <f>Capacity_Reservations!B163</f>
        <v/>
      </c>
      <c r="C163" s="33">
        <f>Capacity_Reservations!C163</f>
        <v/>
      </c>
      <c r="D163" s="33">
        <f>Capacity_Reservations!D163</f>
        <v/>
      </c>
      <c r="E163" s="32">
        <f>Capacity_Reservations!E163</f>
        <v/>
      </c>
      <c r="F163" s="33">
        <f>Capacity_Reservations!F163</f>
        <v/>
      </c>
      <c r="G163" s="47">
        <f>Capacity_Reservations!I163</f>
        <v/>
      </c>
      <c r="H163" s="47">
        <f>Capacity_Reservations!J163</f>
        <v/>
      </c>
      <c r="I163" s="47">
        <f>Capacity_Reservations!K163</f>
        <v/>
      </c>
      <c r="J163" s="47">
        <f>Capacity_Reservations!L163</f>
        <v/>
      </c>
      <c r="K163" s="24">
        <f>IF(Allocation!$C$14&lt;&gt;1,0,IF(D163="Prod",IF(B163=Allocation!$C$9,SUMIF(Request!$A$13:$A$20,E163,Request!$D$13:$D$20),0),IF(D163="NonProd",IF(B163=Allocation!$C$10,SUMIF(Request!$A$13:$A$20,E163,Request!$D$13:$D$20),0),IF(AND(D163="DR",B163=Allocation!$C$11),ROUND(SUMIF(Request!$A$13:$A$20,E163,Request!$D$13:$D$20)*Policy!$B$15,0),0))))</f>
        <v/>
      </c>
      <c r="L163" s="24">
        <f>G163+K163</f>
        <v/>
      </c>
      <c r="M163" s="24">
        <f>MAX(0,J163-K163)</f>
        <v/>
      </c>
      <c r="N163" s="24">
        <f>MAX(0,K163-J163)</f>
        <v/>
      </c>
      <c r="O163" s="24">
        <f>L163+H163</f>
        <v/>
      </c>
      <c r="P163" s="25">
        <f>IF(K163=0,"",IF(N163&gt;0,"Request exceeded free cores","Placed"))</f>
        <v/>
      </c>
    </row>
    <row r="164">
      <c r="A164" s="32">
        <f>Capacity_Reservations!A164</f>
        <v/>
      </c>
      <c r="B164" s="32">
        <f>Capacity_Reservations!B164</f>
        <v/>
      </c>
      <c r="C164" s="33">
        <f>Capacity_Reservations!C164</f>
        <v/>
      </c>
      <c r="D164" s="33">
        <f>Capacity_Reservations!D164</f>
        <v/>
      </c>
      <c r="E164" s="32">
        <f>Capacity_Reservations!E164</f>
        <v/>
      </c>
      <c r="F164" s="33">
        <f>Capacity_Reservations!F164</f>
        <v/>
      </c>
      <c r="G164" s="47">
        <f>Capacity_Reservations!I164</f>
        <v/>
      </c>
      <c r="H164" s="47">
        <f>Capacity_Reservations!J164</f>
        <v/>
      </c>
      <c r="I164" s="47">
        <f>Capacity_Reservations!K164</f>
        <v/>
      </c>
      <c r="J164" s="47">
        <f>Capacity_Reservations!L164</f>
        <v/>
      </c>
      <c r="K164" s="24">
        <f>IF(Allocation!$C$14&lt;&gt;1,0,IF(D164="Prod",IF(B164=Allocation!$C$9,SUMIF(Request!$A$13:$A$20,E164,Request!$D$13:$D$20),0),IF(D164="NonProd",IF(B164=Allocation!$C$10,SUMIF(Request!$A$13:$A$20,E164,Request!$D$13:$D$20),0),IF(AND(D164="DR",B164=Allocation!$C$11),ROUND(SUMIF(Request!$A$13:$A$20,E164,Request!$D$13:$D$20)*Policy!$B$15,0),0))))</f>
        <v/>
      </c>
      <c r="L164" s="24">
        <f>G164+K164</f>
        <v/>
      </c>
      <c r="M164" s="24">
        <f>MAX(0,J164-K164)</f>
        <v/>
      </c>
      <c r="N164" s="24">
        <f>MAX(0,K164-J164)</f>
        <v/>
      </c>
      <c r="O164" s="24">
        <f>L164+H164</f>
        <v/>
      </c>
      <c r="P164" s="25">
        <f>IF(K164=0,"",IF(N164&gt;0,"Request exceeded free cores","Placed"))</f>
        <v/>
      </c>
    </row>
    <row r="165">
      <c r="A165" s="32">
        <f>Capacity_Reservations!A165</f>
        <v/>
      </c>
      <c r="B165" s="32">
        <f>Capacity_Reservations!B165</f>
        <v/>
      </c>
      <c r="C165" s="33">
        <f>Capacity_Reservations!C165</f>
        <v/>
      </c>
      <c r="D165" s="33">
        <f>Capacity_Reservations!D165</f>
        <v/>
      </c>
      <c r="E165" s="32">
        <f>Capacity_Reservations!E165</f>
        <v/>
      </c>
      <c r="F165" s="33">
        <f>Capacity_Reservations!F165</f>
        <v/>
      </c>
      <c r="G165" s="47">
        <f>Capacity_Reservations!I165</f>
        <v/>
      </c>
      <c r="H165" s="47">
        <f>Capacity_Reservations!J165</f>
        <v/>
      </c>
      <c r="I165" s="47">
        <f>Capacity_Reservations!K165</f>
        <v/>
      </c>
      <c r="J165" s="47">
        <f>Capacity_Reservations!L165</f>
        <v/>
      </c>
      <c r="K165" s="24">
        <f>IF(Allocation!$C$14&lt;&gt;1,0,IF(D165="Prod",IF(B165=Allocation!$C$9,SUMIF(Request!$A$13:$A$20,E165,Request!$D$13:$D$20),0),IF(D165="NonProd",IF(B165=Allocation!$C$10,SUMIF(Request!$A$13:$A$20,E165,Request!$D$13:$D$20),0),IF(AND(D165="DR",B165=Allocation!$C$11),ROUND(SUMIF(Request!$A$13:$A$20,E165,Request!$D$13:$D$20)*Policy!$B$15,0),0))))</f>
        <v/>
      </c>
      <c r="L165" s="24">
        <f>G165+K165</f>
        <v/>
      </c>
      <c r="M165" s="24">
        <f>MAX(0,J165-K165)</f>
        <v/>
      </c>
      <c r="N165" s="24">
        <f>MAX(0,K165-J165)</f>
        <v/>
      </c>
      <c r="O165" s="24">
        <f>L165+H165</f>
        <v/>
      </c>
      <c r="P165" s="25">
        <f>IF(K165=0,"",IF(N165&gt;0,"Request exceeded free cores","Placed"))</f>
        <v/>
      </c>
    </row>
    <row r="166">
      <c r="A166" s="32">
        <f>Capacity_Reservations!A166</f>
        <v/>
      </c>
      <c r="B166" s="32">
        <f>Capacity_Reservations!B166</f>
        <v/>
      </c>
      <c r="C166" s="33">
        <f>Capacity_Reservations!C166</f>
        <v/>
      </c>
      <c r="D166" s="33">
        <f>Capacity_Reservations!D166</f>
        <v/>
      </c>
      <c r="E166" s="32">
        <f>Capacity_Reservations!E166</f>
        <v/>
      </c>
      <c r="F166" s="33">
        <f>Capacity_Reservations!F166</f>
        <v/>
      </c>
      <c r="G166" s="47">
        <f>Capacity_Reservations!I166</f>
        <v/>
      </c>
      <c r="H166" s="47">
        <f>Capacity_Reservations!J166</f>
        <v/>
      </c>
      <c r="I166" s="47">
        <f>Capacity_Reservations!K166</f>
        <v/>
      </c>
      <c r="J166" s="47">
        <f>Capacity_Reservations!L166</f>
        <v/>
      </c>
      <c r="K166" s="24">
        <f>IF(Allocation!$C$14&lt;&gt;1,0,IF(D166="Prod",IF(B166=Allocation!$C$9,SUMIF(Request!$A$13:$A$20,E166,Request!$D$13:$D$20),0),IF(D166="NonProd",IF(B166=Allocation!$C$10,SUMIF(Request!$A$13:$A$20,E166,Request!$D$13:$D$20),0),IF(AND(D166="DR",B166=Allocation!$C$11),ROUND(SUMIF(Request!$A$13:$A$20,E166,Request!$D$13:$D$20)*Policy!$B$15,0),0))))</f>
        <v/>
      </c>
      <c r="L166" s="24">
        <f>G166+K166</f>
        <v/>
      </c>
      <c r="M166" s="24">
        <f>MAX(0,J166-K166)</f>
        <v/>
      </c>
      <c r="N166" s="24">
        <f>MAX(0,K166-J166)</f>
        <v/>
      </c>
      <c r="O166" s="24">
        <f>L166+H166</f>
        <v/>
      </c>
      <c r="P166" s="25">
        <f>IF(K166=0,"",IF(N166&gt;0,"Request exceeded free cores","Placed"))</f>
        <v/>
      </c>
    </row>
    <row r="167">
      <c r="A167" s="32">
        <f>Capacity_Reservations!A167</f>
        <v/>
      </c>
      <c r="B167" s="32">
        <f>Capacity_Reservations!B167</f>
        <v/>
      </c>
      <c r="C167" s="33">
        <f>Capacity_Reservations!C167</f>
        <v/>
      </c>
      <c r="D167" s="33">
        <f>Capacity_Reservations!D167</f>
        <v/>
      </c>
      <c r="E167" s="32">
        <f>Capacity_Reservations!E167</f>
        <v/>
      </c>
      <c r="F167" s="33">
        <f>Capacity_Reservations!F167</f>
        <v/>
      </c>
      <c r="G167" s="47">
        <f>Capacity_Reservations!I167</f>
        <v/>
      </c>
      <c r="H167" s="47">
        <f>Capacity_Reservations!J167</f>
        <v/>
      </c>
      <c r="I167" s="47">
        <f>Capacity_Reservations!K167</f>
        <v/>
      </c>
      <c r="J167" s="47">
        <f>Capacity_Reservations!L167</f>
        <v/>
      </c>
      <c r="K167" s="24">
        <f>IF(Allocation!$C$14&lt;&gt;1,0,IF(D167="Prod",IF(B167=Allocation!$C$9,SUMIF(Request!$A$13:$A$20,E167,Request!$D$13:$D$20),0),IF(D167="NonProd",IF(B167=Allocation!$C$10,SUMIF(Request!$A$13:$A$20,E167,Request!$D$13:$D$20),0),IF(AND(D167="DR",B167=Allocation!$C$11),ROUND(SUMIF(Request!$A$13:$A$20,E167,Request!$D$13:$D$20)*Policy!$B$15,0),0))))</f>
        <v/>
      </c>
      <c r="L167" s="24">
        <f>G167+K167</f>
        <v/>
      </c>
      <c r="M167" s="24">
        <f>MAX(0,J167-K167)</f>
        <v/>
      </c>
      <c r="N167" s="24">
        <f>MAX(0,K167-J167)</f>
        <v/>
      </c>
      <c r="O167" s="24">
        <f>L167+H167</f>
        <v/>
      </c>
      <c r="P167" s="25">
        <f>IF(K167=0,"",IF(N167&gt;0,"Request exceeded free cores","Placed"))</f>
        <v/>
      </c>
    </row>
    <row r="168">
      <c r="A168" s="32">
        <f>Capacity_Reservations!A168</f>
        <v/>
      </c>
      <c r="B168" s="32">
        <f>Capacity_Reservations!B168</f>
        <v/>
      </c>
      <c r="C168" s="33">
        <f>Capacity_Reservations!C168</f>
        <v/>
      </c>
      <c r="D168" s="33">
        <f>Capacity_Reservations!D168</f>
        <v/>
      </c>
      <c r="E168" s="32">
        <f>Capacity_Reservations!E168</f>
        <v/>
      </c>
      <c r="F168" s="33">
        <f>Capacity_Reservations!F168</f>
        <v/>
      </c>
      <c r="G168" s="47">
        <f>Capacity_Reservations!I168</f>
        <v/>
      </c>
      <c r="H168" s="47">
        <f>Capacity_Reservations!J168</f>
        <v/>
      </c>
      <c r="I168" s="47">
        <f>Capacity_Reservations!K168</f>
        <v/>
      </c>
      <c r="J168" s="47">
        <f>Capacity_Reservations!L168</f>
        <v/>
      </c>
      <c r="K168" s="24">
        <f>IF(Allocation!$C$14&lt;&gt;1,0,IF(D168="Prod",IF(B168=Allocation!$C$9,SUMIF(Request!$A$13:$A$20,E168,Request!$D$13:$D$20),0),IF(D168="NonProd",IF(B168=Allocation!$C$10,SUMIF(Request!$A$13:$A$20,E168,Request!$D$13:$D$20),0),IF(AND(D168="DR",B168=Allocation!$C$11),ROUND(SUMIF(Request!$A$13:$A$20,E168,Request!$D$13:$D$20)*Policy!$B$15,0),0))))</f>
        <v/>
      </c>
      <c r="L168" s="24">
        <f>G168+K168</f>
        <v/>
      </c>
      <c r="M168" s="24">
        <f>MAX(0,J168-K168)</f>
        <v/>
      </c>
      <c r="N168" s="24">
        <f>MAX(0,K168-J168)</f>
        <v/>
      </c>
      <c r="O168" s="24">
        <f>L168+H168</f>
        <v/>
      </c>
      <c r="P168" s="25">
        <f>IF(K168=0,"",IF(N168&gt;0,"Request exceeded free cores","Placed"))</f>
        <v/>
      </c>
    </row>
    <row r="169">
      <c r="A169" s="32">
        <f>Capacity_Reservations!A169</f>
        <v/>
      </c>
      <c r="B169" s="32">
        <f>Capacity_Reservations!B169</f>
        <v/>
      </c>
      <c r="C169" s="33">
        <f>Capacity_Reservations!C169</f>
        <v/>
      </c>
      <c r="D169" s="33">
        <f>Capacity_Reservations!D169</f>
        <v/>
      </c>
      <c r="E169" s="32">
        <f>Capacity_Reservations!E169</f>
        <v/>
      </c>
      <c r="F169" s="33">
        <f>Capacity_Reservations!F169</f>
        <v/>
      </c>
      <c r="G169" s="47">
        <f>Capacity_Reservations!I169</f>
        <v/>
      </c>
      <c r="H169" s="47">
        <f>Capacity_Reservations!J169</f>
        <v/>
      </c>
      <c r="I169" s="47">
        <f>Capacity_Reservations!K169</f>
        <v/>
      </c>
      <c r="J169" s="47">
        <f>Capacity_Reservations!L169</f>
        <v/>
      </c>
      <c r="K169" s="24">
        <f>IF(Allocation!$C$14&lt;&gt;1,0,IF(D169="Prod",IF(B169=Allocation!$C$9,SUMIF(Request!$A$13:$A$20,E169,Request!$D$13:$D$20),0),IF(D169="NonProd",IF(B169=Allocation!$C$10,SUMIF(Request!$A$13:$A$20,E169,Request!$D$13:$D$20),0),IF(AND(D169="DR",B169=Allocation!$C$11),ROUND(SUMIF(Request!$A$13:$A$20,E169,Request!$D$13:$D$20)*Policy!$B$15,0),0))))</f>
        <v/>
      </c>
      <c r="L169" s="24">
        <f>G169+K169</f>
        <v/>
      </c>
      <c r="M169" s="24">
        <f>MAX(0,J169-K169)</f>
        <v/>
      </c>
      <c r="N169" s="24">
        <f>MAX(0,K169-J169)</f>
        <v/>
      </c>
      <c r="O169" s="24">
        <f>L169+H169</f>
        <v/>
      </c>
      <c r="P169" s="25">
        <f>IF(K169=0,"",IF(N169&gt;0,"Request exceeded free cores","Placed"))</f>
        <v/>
      </c>
    </row>
    <row r="170">
      <c r="A170" s="32">
        <f>Capacity_Reservations!A170</f>
        <v/>
      </c>
      <c r="B170" s="32">
        <f>Capacity_Reservations!B170</f>
        <v/>
      </c>
      <c r="C170" s="33">
        <f>Capacity_Reservations!C170</f>
        <v/>
      </c>
      <c r="D170" s="33">
        <f>Capacity_Reservations!D170</f>
        <v/>
      </c>
      <c r="E170" s="32">
        <f>Capacity_Reservations!E170</f>
        <v/>
      </c>
      <c r="F170" s="33">
        <f>Capacity_Reservations!F170</f>
        <v/>
      </c>
      <c r="G170" s="47">
        <f>Capacity_Reservations!I170</f>
        <v/>
      </c>
      <c r="H170" s="47">
        <f>Capacity_Reservations!J170</f>
        <v/>
      </c>
      <c r="I170" s="47">
        <f>Capacity_Reservations!K170</f>
        <v/>
      </c>
      <c r="J170" s="47">
        <f>Capacity_Reservations!L170</f>
        <v/>
      </c>
      <c r="K170" s="24">
        <f>IF(Allocation!$C$14&lt;&gt;1,0,IF(D170="Prod",IF(B170=Allocation!$C$9,SUMIF(Request!$A$13:$A$20,E170,Request!$D$13:$D$20),0),IF(D170="NonProd",IF(B170=Allocation!$C$10,SUMIF(Request!$A$13:$A$20,E170,Request!$D$13:$D$20),0),IF(AND(D170="DR",B170=Allocation!$C$11),ROUND(SUMIF(Request!$A$13:$A$20,E170,Request!$D$13:$D$20)*Policy!$B$15,0),0))))</f>
        <v/>
      </c>
      <c r="L170" s="24">
        <f>G170+K170</f>
        <v/>
      </c>
      <c r="M170" s="24">
        <f>MAX(0,J170-K170)</f>
        <v/>
      </c>
      <c r="N170" s="24">
        <f>MAX(0,K170-J170)</f>
        <v/>
      </c>
      <c r="O170" s="24">
        <f>L170+H170</f>
        <v/>
      </c>
      <c r="P170" s="25">
        <f>IF(K170=0,"",IF(N170&gt;0,"Request exceeded free cores","Placed"))</f>
        <v/>
      </c>
    </row>
    <row r="171">
      <c r="A171" s="32">
        <f>Capacity_Reservations!A171</f>
        <v/>
      </c>
      <c r="B171" s="32">
        <f>Capacity_Reservations!B171</f>
        <v/>
      </c>
      <c r="C171" s="33">
        <f>Capacity_Reservations!C171</f>
        <v/>
      </c>
      <c r="D171" s="33">
        <f>Capacity_Reservations!D171</f>
        <v/>
      </c>
      <c r="E171" s="32">
        <f>Capacity_Reservations!E171</f>
        <v/>
      </c>
      <c r="F171" s="33">
        <f>Capacity_Reservations!F171</f>
        <v/>
      </c>
      <c r="G171" s="47">
        <f>Capacity_Reservations!I171</f>
        <v/>
      </c>
      <c r="H171" s="47">
        <f>Capacity_Reservations!J171</f>
        <v/>
      </c>
      <c r="I171" s="47">
        <f>Capacity_Reservations!K171</f>
        <v/>
      </c>
      <c r="J171" s="47">
        <f>Capacity_Reservations!L171</f>
        <v/>
      </c>
      <c r="K171" s="24">
        <f>IF(Allocation!$C$14&lt;&gt;1,0,IF(D171="Prod",IF(B171=Allocation!$C$9,SUMIF(Request!$A$13:$A$20,E171,Request!$D$13:$D$20),0),IF(D171="NonProd",IF(B171=Allocation!$C$10,SUMIF(Request!$A$13:$A$20,E171,Request!$D$13:$D$20),0),IF(AND(D171="DR",B171=Allocation!$C$11),ROUND(SUMIF(Request!$A$13:$A$20,E171,Request!$D$13:$D$20)*Policy!$B$15,0),0))))</f>
        <v/>
      </c>
      <c r="L171" s="24">
        <f>G171+K171</f>
        <v/>
      </c>
      <c r="M171" s="24">
        <f>MAX(0,J171-K171)</f>
        <v/>
      </c>
      <c r="N171" s="24">
        <f>MAX(0,K171-J171)</f>
        <v/>
      </c>
      <c r="O171" s="24">
        <f>L171+H171</f>
        <v/>
      </c>
      <c r="P171" s="25">
        <f>IF(K171=0,"",IF(N171&gt;0,"Request exceeded free cores","Placed"))</f>
        <v/>
      </c>
    </row>
    <row r="172">
      <c r="A172" s="32">
        <f>Capacity_Reservations!A172</f>
        <v/>
      </c>
      <c r="B172" s="32">
        <f>Capacity_Reservations!B172</f>
        <v/>
      </c>
      <c r="C172" s="33">
        <f>Capacity_Reservations!C172</f>
        <v/>
      </c>
      <c r="D172" s="33">
        <f>Capacity_Reservations!D172</f>
        <v/>
      </c>
      <c r="E172" s="32">
        <f>Capacity_Reservations!E172</f>
        <v/>
      </c>
      <c r="F172" s="33">
        <f>Capacity_Reservations!F172</f>
        <v/>
      </c>
      <c r="G172" s="47">
        <f>Capacity_Reservations!I172</f>
        <v/>
      </c>
      <c r="H172" s="47">
        <f>Capacity_Reservations!J172</f>
        <v/>
      </c>
      <c r="I172" s="47">
        <f>Capacity_Reservations!K172</f>
        <v/>
      </c>
      <c r="J172" s="47">
        <f>Capacity_Reservations!L172</f>
        <v/>
      </c>
      <c r="K172" s="24">
        <f>IF(Allocation!$C$14&lt;&gt;1,0,IF(D172="Prod",IF(B172=Allocation!$C$9,SUMIF(Request!$A$13:$A$20,E172,Request!$D$13:$D$20),0),IF(D172="NonProd",IF(B172=Allocation!$C$10,SUMIF(Request!$A$13:$A$20,E172,Request!$D$13:$D$20),0),IF(AND(D172="DR",B172=Allocation!$C$11),ROUND(SUMIF(Request!$A$13:$A$20,E172,Request!$D$13:$D$20)*Policy!$B$15,0),0))))</f>
        <v/>
      </c>
      <c r="L172" s="24">
        <f>G172+K172</f>
        <v/>
      </c>
      <c r="M172" s="24">
        <f>MAX(0,J172-K172)</f>
        <v/>
      </c>
      <c r="N172" s="24">
        <f>MAX(0,K172-J172)</f>
        <v/>
      </c>
      <c r="O172" s="24">
        <f>L172+H172</f>
        <v/>
      </c>
      <c r="P172" s="25">
        <f>IF(K172=0,"",IF(N172&gt;0,"Request exceeded free cores","Placed"))</f>
        <v/>
      </c>
    </row>
    <row r="173">
      <c r="A173" s="32">
        <f>Capacity_Reservations!A173</f>
        <v/>
      </c>
      <c r="B173" s="32">
        <f>Capacity_Reservations!B173</f>
        <v/>
      </c>
      <c r="C173" s="33">
        <f>Capacity_Reservations!C173</f>
        <v/>
      </c>
      <c r="D173" s="33">
        <f>Capacity_Reservations!D173</f>
        <v/>
      </c>
      <c r="E173" s="32">
        <f>Capacity_Reservations!E173</f>
        <v/>
      </c>
      <c r="F173" s="33">
        <f>Capacity_Reservations!F173</f>
        <v/>
      </c>
      <c r="G173" s="47">
        <f>Capacity_Reservations!I173</f>
        <v/>
      </c>
      <c r="H173" s="47">
        <f>Capacity_Reservations!J173</f>
        <v/>
      </c>
      <c r="I173" s="47">
        <f>Capacity_Reservations!K173</f>
        <v/>
      </c>
      <c r="J173" s="47">
        <f>Capacity_Reservations!L173</f>
        <v/>
      </c>
      <c r="K173" s="24">
        <f>IF(Allocation!$C$14&lt;&gt;1,0,IF(D173="Prod",IF(B173=Allocation!$C$9,SUMIF(Request!$A$13:$A$20,E173,Request!$D$13:$D$20),0),IF(D173="NonProd",IF(B173=Allocation!$C$10,SUMIF(Request!$A$13:$A$20,E173,Request!$D$13:$D$20),0),IF(AND(D173="DR",B173=Allocation!$C$11),ROUND(SUMIF(Request!$A$13:$A$20,E173,Request!$D$13:$D$20)*Policy!$B$15,0),0))))</f>
        <v/>
      </c>
      <c r="L173" s="24">
        <f>G173+K173</f>
        <v/>
      </c>
      <c r="M173" s="24">
        <f>MAX(0,J173-K173)</f>
        <v/>
      </c>
      <c r="N173" s="24">
        <f>MAX(0,K173-J173)</f>
        <v/>
      </c>
      <c r="O173" s="24">
        <f>L173+H173</f>
        <v/>
      </c>
      <c r="P173" s="25">
        <f>IF(K173=0,"",IF(N173&gt;0,"Request exceeded free cores","Placed"))</f>
        <v/>
      </c>
    </row>
    <row r="174">
      <c r="A174" s="32">
        <f>Capacity_Reservations!A174</f>
        <v/>
      </c>
      <c r="B174" s="32">
        <f>Capacity_Reservations!B174</f>
        <v/>
      </c>
      <c r="C174" s="33">
        <f>Capacity_Reservations!C174</f>
        <v/>
      </c>
      <c r="D174" s="33">
        <f>Capacity_Reservations!D174</f>
        <v/>
      </c>
      <c r="E174" s="32">
        <f>Capacity_Reservations!E174</f>
        <v/>
      </c>
      <c r="F174" s="33">
        <f>Capacity_Reservations!F174</f>
        <v/>
      </c>
      <c r="G174" s="47">
        <f>Capacity_Reservations!I174</f>
        <v/>
      </c>
      <c r="H174" s="47">
        <f>Capacity_Reservations!J174</f>
        <v/>
      </c>
      <c r="I174" s="47">
        <f>Capacity_Reservations!K174</f>
        <v/>
      </c>
      <c r="J174" s="47">
        <f>Capacity_Reservations!L174</f>
        <v/>
      </c>
      <c r="K174" s="24">
        <f>IF(Allocation!$C$14&lt;&gt;1,0,IF(D174="Prod",IF(B174=Allocation!$C$9,SUMIF(Request!$A$13:$A$20,E174,Request!$D$13:$D$20),0),IF(D174="NonProd",IF(B174=Allocation!$C$10,SUMIF(Request!$A$13:$A$20,E174,Request!$D$13:$D$20),0),IF(AND(D174="DR",B174=Allocation!$C$11),ROUND(SUMIF(Request!$A$13:$A$20,E174,Request!$D$13:$D$20)*Policy!$B$15,0),0))))</f>
        <v/>
      </c>
      <c r="L174" s="24">
        <f>G174+K174</f>
        <v/>
      </c>
      <c r="M174" s="24">
        <f>MAX(0,J174-K174)</f>
        <v/>
      </c>
      <c r="N174" s="24">
        <f>MAX(0,K174-J174)</f>
        <v/>
      </c>
      <c r="O174" s="24">
        <f>L174+H174</f>
        <v/>
      </c>
      <c r="P174" s="25">
        <f>IF(K174=0,"",IF(N174&gt;0,"Request exceeded free cores","Placed"))</f>
        <v/>
      </c>
    </row>
    <row r="175">
      <c r="A175" s="32">
        <f>Capacity_Reservations!A175</f>
        <v/>
      </c>
      <c r="B175" s="32">
        <f>Capacity_Reservations!B175</f>
        <v/>
      </c>
      <c r="C175" s="33">
        <f>Capacity_Reservations!C175</f>
        <v/>
      </c>
      <c r="D175" s="33">
        <f>Capacity_Reservations!D175</f>
        <v/>
      </c>
      <c r="E175" s="32">
        <f>Capacity_Reservations!E175</f>
        <v/>
      </c>
      <c r="F175" s="33">
        <f>Capacity_Reservations!F175</f>
        <v/>
      </c>
      <c r="G175" s="47">
        <f>Capacity_Reservations!I175</f>
        <v/>
      </c>
      <c r="H175" s="47">
        <f>Capacity_Reservations!J175</f>
        <v/>
      </c>
      <c r="I175" s="47">
        <f>Capacity_Reservations!K175</f>
        <v/>
      </c>
      <c r="J175" s="47">
        <f>Capacity_Reservations!L175</f>
        <v/>
      </c>
      <c r="K175" s="24">
        <f>IF(Allocation!$C$14&lt;&gt;1,0,IF(D175="Prod",IF(B175=Allocation!$C$9,SUMIF(Request!$A$13:$A$20,E175,Request!$D$13:$D$20),0),IF(D175="NonProd",IF(B175=Allocation!$C$10,SUMIF(Request!$A$13:$A$20,E175,Request!$D$13:$D$20),0),IF(AND(D175="DR",B175=Allocation!$C$11),ROUND(SUMIF(Request!$A$13:$A$20,E175,Request!$D$13:$D$20)*Policy!$B$15,0),0))))</f>
        <v/>
      </c>
      <c r="L175" s="24">
        <f>G175+K175</f>
        <v/>
      </c>
      <c r="M175" s="24">
        <f>MAX(0,J175-K175)</f>
        <v/>
      </c>
      <c r="N175" s="24">
        <f>MAX(0,K175-J175)</f>
        <v/>
      </c>
      <c r="O175" s="24">
        <f>L175+H175</f>
        <v/>
      </c>
      <c r="P175" s="25">
        <f>IF(K175=0,"",IF(N175&gt;0,"Request exceeded free cores","Placed"))</f>
        <v/>
      </c>
    </row>
    <row r="176">
      <c r="A176" s="32">
        <f>Capacity_Reservations!A176</f>
        <v/>
      </c>
      <c r="B176" s="32">
        <f>Capacity_Reservations!B176</f>
        <v/>
      </c>
      <c r="C176" s="33">
        <f>Capacity_Reservations!C176</f>
        <v/>
      </c>
      <c r="D176" s="33">
        <f>Capacity_Reservations!D176</f>
        <v/>
      </c>
      <c r="E176" s="32">
        <f>Capacity_Reservations!E176</f>
        <v/>
      </c>
      <c r="F176" s="33">
        <f>Capacity_Reservations!F176</f>
        <v/>
      </c>
      <c r="G176" s="47">
        <f>Capacity_Reservations!I176</f>
        <v/>
      </c>
      <c r="H176" s="47">
        <f>Capacity_Reservations!J176</f>
        <v/>
      </c>
      <c r="I176" s="47">
        <f>Capacity_Reservations!K176</f>
        <v/>
      </c>
      <c r="J176" s="47">
        <f>Capacity_Reservations!L176</f>
        <v/>
      </c>
      <c r="K176" s="24">
        <f>IF(Allocation!$C$14&lt;&gt;1,0,IF(D176="Prod",IF(B176=Allocation!$C$9,SUMIF(Request!$A$13:$A$20,E176,Request!$D$13:$D$20),0),IF(D176="NonProd",IF(B176=Allocation!$C$10,SUMIF(Request!$A$13:$A$20,E176,Request!$D$13:$D$20),0),IF(AND(D176="DR",B176=Allocation!$C$11),ROUND(SUMIF(Request!$A$13:$A$20,E176,Request!$D$13:$D$20)*Policy!$B$15,0),0))))</f>
        <v/>
      </c>
      <c r="L176" s="24">
        <f>G176+K176</f>
        <v/>
      </c>
      <c r="M176" s="24">
        <f>MAX(0,J176-K176)</f>
        <v/>
      </c>
      <c r="N176" s="24">
        <f>MAX(0,K176-J176)</f>
        <v/>
      </c>
      <c r="O176" s="24">
        <f>L176+H176</f>
        <v/>
      </c>
      <c r="P176" s="25">
        <f>IF(K176=0,"",IF(N176&gt;0,"Request exceeded free cores","Placed"))</f>
        <v/>
      </c>
    </row>
    <row r="177">
      <c r="A177" s="32">
        <f>Capacity_Reservations!A177</f>
        <v/>
      </c>
      <c r="B177" s="32">
        <f>Capacity_Reservations!B177</f>
        <v/>
      </c>
      <c r="C177" s="33">
        <f>Capacity_Reservations!C177</f>
        <v/>
      </c>
      <c r="D177" s="33">
        <f>Capacity_Reservations!D177</f>
        <v/>
      </c>
      <c r="E177" s="32">
        <f>Capacity_Reservations!E177</f>
        <v/>
      </c>
      <c r="F177" s="33">
        <f>Capacity_Reservations!F177</f>
        <v/>
      </c>
      <c r="G177" s="47">
        <f>Capacity_Reservations!I177</f>
        <v/>
      </c>
      <c r="H177" s="47">
        <f>Capacity_Reservations!J177</f>
        <v/>
      </c>
      <c r="I177" s="47">
        <f>Capacity_Reservations!K177</f>
        <v/>
      </c>
      <c r="J177" s="47">
        <f>Capacity_Reservations!L177</f>
        <v/>
      </c>
      <c r="K177" s="24">
        <f>IF(Allocation!$C$14&lt;&gt;1,0,IF(D177="Prod",IF(B177=Allocation!$C$9,SUMIF(Request!$A$13:$A$20,E177,Request!$D$13:$D$20),0),IF(D177="NonProd",IF(B177=Allocation!$C$10,SUMIF(Request!$A$13:$A$20,E177,Request!$D$13:$D$20),0),IF(AND(D177="DR",B177=Allocation!$C$11),ROUND(SUMIF(Request!$A$13:$A$20,E177,Request!$D$13:$D$20)*Policy!$B$15,0),0))))</f>
        <v/>
      </c>
      <c r="L177" s="24">
        <f>G177+K177</f>
        <v/>
      </c>
      <c r="M177" s="24">
        <f>MAX(0,J177-K177)</f>
        <v/>
      </c>
      <c r="N177" s="24">
        <f>MAX(0,K177-J177)</f>
        <v/>
      </c>
      <c r="O177" s="24">
        <f>L177+H177</f>
        <v/>
      </c>
      <c r="P177" s="25">
        <f>IF(K177=0,"",IF(N177&gt;0,"Request exceeded free cores","Placed"))</f>
        <v/>
      </c>
    </row>
    <row r="178">
      <c r="A178" s="32">
        <f>Capacity_Reservations!A178</f>
        <v/>
      </c>
      <c r="B178" s="32">
        <f>Capacity_Reservations!B178</f>
        <v/>
      </c>
      <c r="C178" s="33">
        <f>Capacity_Reservations!C178</f>
        <v/>
      </c>
      <c r="D178" s="33">
        <f>Capacity_Reservations!D178</f>
        <v/>
      </c>
      <c r="E178" s="32">
        <f>Capacity_Reservations!E178</f>
        <v/>
      </c>
      <c r="F178" s="33">
        <f>Capacity_Reservations!F178</f>
        <v/>
      </c>
      <c r="G178" s="47">
        <f>Capacity_Reservations!I178</f>
        <v/>
      </c>
      <c r="H178" s="47">
        <f>Capacity_Reservations!J178</f>
        <v/>
      </c>
      <c r="I178" s="47">
        <f>Capacity_Reservations!K178</f>
        <v/>
      </c>
      <c r="J178" s="47">
        <f>Capacity_Reservations!L178</f>
        <v/>
      </c>
      <c r="K178" s="24">
        <f>IF(Allocation!$C$14&lt;&gt;1,0,IF(D178="Prod",IF(B178=Allocation!$C$9,SUMIF(Request!$A$13:$A$20,E178,Request!$D$13:$D$20),0),IF(D178="NonProd",IF(B178=Allocation!$C$10,SUMIF(Request!$A$13:$A$20,E178,Request!$D$13:$D$20),0),IF(AND(D178="DR",B178=Allocation!$C$11),ROUND(SUMIF(Request!$A$13:$A$20,E178,Request!$D$13:$D$20)*Policy!$B$15,0),0))))</f>
        <v/>
      </c>
      <c r="L178" s="24">
        <f>G178+K178</f>
        <v/>
      </c>
      <c r="M178" s="24">
        <f>MAX(0,J178-K178)</f>
        <v/>
      </c>
      <c r="N178" s="24">
        <f>MAX(0,K178-J178)</f>
        <v/>
      </c>
      <c r="O178" s="24">
        <f>L178+H178</f>
        <v/>
      </c>
      <c r="P178" s="25">
        <f>IF(K178=0,"",IF(N178&gt;0,"Request exceeded free cores","Placed"))</f>
        <v/>
      </c>
    </row>
    <row r="179">
      <c r="A179" s="32">
        <f>Capacity_Reservations!A179</f>
        <v/>
      </c>
      <c r="B179" s="32">
        <f>Capacity_Reservations!B179</f>
        <v/>
      </c>
      <c r="C179" s="33">
        <f>Capacity_Reservations!C179</f>
        <v/>
      </c>
      <c r="D179" s="33">
        <f>Capacity_Reservations!D179</f>
        <v/>
      </c>
      <c r="E179" s="32">
        <f>Capacity_Reservations!E179</f>
        <v/>
      </c>
      <c r="F179" s="33">
        <f>Capacity_Reservations!F179</f>
        <v/>
      </c>
      <c r="G179" s="47">
        <f>Capacity_Reservations!I179</f>
        <v/>
      </c>
      <c r="H179" s="47">
        <f>Capacity_Reservations!J179</f>
        <v/>
      </c>
      <c r="I179" s="47">
        <f>Capacity_Reservations!K179</f>
        <v/>
      </c>
      <c r="J179" s="47">
        <f>Capacity_Reservations!L179</f>
        <v/>
      </c>
      <c r="K179" s="24">
        <f>IF(Allocation!$C$14&lt;&gt;1,0,IF(D179="Prod",IF(B179=Allocation!$C$9,SUMIF(Request!$A$13:$A$20,E179,Request!$D$13:$D$20),0),IF(D179="NonProd",IF(B179=Allocation!$C$10,SUMIF(Request!$A$13:$A$20,E179,Request!$D$13:$D$20),0),IF(AND(D179="DR",B179=Allocation!$C$11),ROUND(SUMIF(Request!$A$13:$A$20,E179,Request!$D$13:$D$20)*Policy!$B$15,0),0))))</f>
        <v/>
      </c>
      <c r="L179" s="24">
        <f>G179+K179</f>
        <v/>
      </c>
      <c r="M179" s="24">
        <f>MAX(0,J179-K179)</f>
        <v/>
      </c>
      <c r="N179" s="24">
        <f>MAX(0,K179-J179)</f>
        <v/>
      </c>
      <c r="O179" s="24">
        <f>L179+H179</f>
        <v/>
      </c>
      <c r="P179" s="25">
        <f>IF(K179=0,"",IF(N179&gt;0,"Request exceeded free cores","Placed"))</f>
        <v/>
      </c>
    </row>
    <row r="180">
      <c r="A180" s="32">
        <f>Capacity_Reservations!A180</f>
        <v/>
      </c>
      <c r="B180" s="32">
        <f>Capacity_Reservations!B180</f>
        <v/>
      </c>
      <c r="C180" s="33">
        <f>Capacity_Reservations!C180</f>
        <v/>
      </c>
      <c r="D180" s="33">
        <f>Capacity_Reservations!D180</f>
        <v/>
      </c>
      <c r="E180" s="32">
        <f>Capacity_Reservations!E180</f>
        <v/>
      </c>
      <c r="F180" s="33">
        <f>Capacity_Reservations!F180</f>
        <v/>
      </c>
      <c r="G180" s="47">
        <f>Capacity_Reservations!I180</f>
        <v/>
      </c>
      <c r="H180" s="47">
        <f>Capacity_Reservations!J180</f>
        <v/>
      </c>
      <c r="I180" s="47">
        <f>Capacity_Reservations!K180</f>
        <v/>
      </c>
      <c r="J180" s="47">
        <f>Capacity_Reservations!L180</f>
        <v/>
      </c>
      <c r="K180" s="24">
        <f>IF(Allocation!$C$14&lt;&gt;1,0,IF(D180="Prod",IF(B180=Allocation!$C$9,SUMIF(Request!$A$13:$A$20,E180,Request!$D$13:$D$20),0),IF(D180="NonProd",IF(B180=Allocation!$C$10,SUMIF(Request!$A$13:$A$20,E180,Request!$D$13:$D$20),0),IF(AND(D180="DR",B180=Allocation!$C$11),ROUND(SUMIF(Request!$A$13:$A$20,E180,Request!$D$13:$D$20)*Policy!$B$15,0),0))))</f>
        <v/>
      </c>
      <c r="L180" s="24">
        <f>G180+K180</f>
        <v/>
      </c>
      <c r="M180" s="24">
        <f>MAX(0,J180-K180)</f>
        <v/>
      </c>
      <c r="N180" s="24">
        <f>MAX(0,K180-J180)</f>
        <v/>
      </c>
      <c r="O180" s="24">
        <f>L180+H180</f>
        <v/>
      </c>
      <c r="P180" s="25">
        <f>IF(K180=0,"",IF(N180&gt;0,"Request exceeded free cores","Placed"))</f>
        <v/>
      </c>
    </row>
    <row r="181">
      <c r="A181" s="32">
        <f>Capacity_Reservations!A181</f>
        <v/>
      </c>
      <c r="B181" s="32">
        <f>Capacity_Reservations!B181</f>
        <v/>
      </c>
      <c r="C181" s="33">
        <f>Capacity_Reservations!C181</f>
        <v/>
      </c>
      <c r="D181" s="33">
        <f>Capacity_Reservations!D181</f>
        <v/>
      </c>
      <c r="E181" s="32">
        <f>Capacity_Reservations!E181</f>
        <v/>
      </c>
      <c r="F181" s="33">
        <f>Capacity_Reservations!F181</f>
        <v/>
      </c>
      <c r="G181" s="47">
        <f>Capacity_Reservations!I181</f>
        <v/>
      </c>
      <c r="H181" s="47">
        <f>Capacity_Reservations!J181</f>
        <v/>
      </c>
      <c r="I181" s="47">
        <f>Capacity_Reservations!K181</f>
        <v/>
      </c>
      <c r="J181" s="47">
        <f>Capacity_Reservations!L181</f>
        <v/>
      </c>
      <c r="K181" s="24">
        <f>IF(Allocation!$C$14&lt;&gt;1,0,IF(D181="Prod",IF(B181=Allocation!$C$9,SUMIF(Request!$A$13:$A$20,E181,Request!$D$13:$D$20),0),IF(D181="NonProd",IF(B181=Allocation!$C$10,SUMIF(Request!$A$13:$A$20,E181,Request!$D$13:$D$20),0),IF(AND(D181="DR",B181=Allocation!$C$11),ROUND(SUMIF(Request!$A$13:$A$20,E181,Request!$D$13:$D$20)*Policy!$B$15,0),0))))</f>
        <v/>
      </c>
      <c r="L181" s="24">
        <f>G181+K181</f>
        <v/>
      </c>
      <c r="M181" s="24">
        <f>MAX(0,J181-K181)</f>
        <v/>
      </c>
      <c r="N181" s="24">
        <f>MAX(0,K181-J181)</f>
        <v/>
      </c>
      <c r="O181" s="24">
        <f>L181+H181</f>
        <v/>
      </c>
      <c r="P181" s="25">
        <f>IF(K181=0,"",IF(N181&gt;0,"Request exceeded free cores","Placed"))</f>
        <v/>
      </c>
    </row>
    <row r="182">
      <c r="A182" s="32">
        <f>Capacity_Reservations!A182</f>
        <v/>
      </c>
      <c r="B182" s="32">
        <f>Capacity_Reservations!B182</f>
        <v/>
      </c>
      <c r="C182" s="33">
        <f>Capacity_Reservations!C182</f>
        <v/>
      </c>
      <c r="D182" s="33">
        <f>Capacity_Reservations!D182</f>
        <v/>
      </c>
      <c r="E182" s="32">
        <f>Capacity_Reservations!E182</f>
        <v/>
      </c>
      <c r="F182" s="33">
        <f>Capacity_Reservations!F182</f>
        <v/>
      </c>
      <c r="G182" s="47">
        <f>Capacity_Reservations!I182</f>
        <v/>
      </c>
      <c r="H182" s="47">
        <f>Capacity_Reservations!J182</f>
        <v/>
      </c>
      <c r="I182" s="47">
        <f>Capacity_Reservations!K182</f>
        <v/>
      </c>
      <c r="J182" s="47">
        <f>Capacity_Reservations!L182</f>
        <v/>
      </c>
      <c r="K182" s="24">
        <f>IF(Allocation!$C$14&lt;&gt;1,0,IF(D182="Prod",IF(B182=Allocation!$C$9,SUMIF(Request!$A$13:$A$20,E182,Request!$D$13:$D$20),0),IF(D182="NonProd",IF(B182=Allocation!$C$10,SUMIF(Request!$A$13:$A$20,E182,Request!$D$13:$D$20),0),IF(AND(D182="DR",B182=Allocation!$C$11),ROUND(SUMIF(Request!$A$13:$A$20,E182,Request!$D$13:$D$20)*Policy!$B$15,0),0))))</f>
        <v/>
      </c>
      <c r="L182" s="24">
        <f>G182+K182</f>
        <v/>
      </c>
      <c r="M182" s="24">
        <f>MAX(0,J182-K182)</f>
        <v/>
      </c>
      <c r="N182" s="24">
        <f>MAX(0,K182-J182)</f>
        <v/>
      </c>
      <c r="O182" s="24">
        <f>L182+H182</f>
        <v/>
      </c>
      <c r="P182" s="25">
        <f>IF(K182=0,"",IF(N182&gt;0,"Request exceeded free cores","Placed"))</f>
        <v/>
      </c>
    </row>
    <row r="183">
      <c r="A183" s="32">
        <f>Capacity_Reservations!A183</f>
        <v/>
      </c>
      <c r="B183" s="32">
        <f>Capacity_Reservations!B183</f>
        <v/>
      </c>
      <c r="C183" s="33">
        <f>Capacity_Reservations!C183</f>
        <v/>
      </c>
      <c r="D183" s="33">
        <f>Capacity_Reservations!D183</f>
        <v/>
      </c>
      <c r="E183" s="32">
        <f>Capacity_Reservations!E183</f>
        <v/>
      </c>
      <c r="F183" s="33">
        <f>Capacity_Reservations!F183</f>
        <v/>
      </c>
      <c r="G183" s="47">
        <f>Capacity_Reservations!I183</f>
        <v/>
      </c>
      <c r="H183" s="47">
        <f>Capacity_Reservations!J183</f>
        <v/>
      </c>
      <c r="I183" s="47">
        <f>Capacity_Reservations!K183</f>
        <v/>
      </c>
      <c r="J183" s="47">
        <f>Capacity_Reservations!L183</f>
        <v/>
      </c>
      <c r="K183" s="24">
        <f>IF(Allocation!$C$14&lt;&gt;1,0,IF(D183="Prod",IF(B183=Allocation!$C$9,SUMIF(Request!$A$13:$A$20,E183,Request!$D$13:$D$20),0),IF(D183="NonProd",IF(B183=Allocation!$C$10,SUMIF(Request!$A$13:$A$20,E183,Request!$D$13:$D$20),0),IF(AND(D183="DR",B183=Allocation!$C$11),ROUND(SUMIF(Request!$A$13:$A$20,E183,Request!$D$13:$D$20)*Policy!$B$15,0),0))))</f>
        <v/>
      </c>
      <c r="L183" s="24">
        <f>G183+K183</f>
        <v/>
      </c>
      <c r="M183" s="24">
        <f>MAX(0,J183-K183)</f>
        <v/>
      </c>
      <c r="N183" s="24">
        <f>MAX(0,K183-J183)</f>
        <v/>
      </c>
      <c r="O183" s="24">
        <f>L183+H183</f>
        <v/>
      </c>
      <c r="P183" s="25">
        <f>IF(K183=0,"",IF(N183&gt;0,"Request exceeded free cores","Placed"))</f>
        <v/>
      </c>
    </row>
    <row r="184">
      <c r="A184" s="32">
        <f>Capacity_Reservations!A184</f>
        <v/>
      </c>
      <c r="B184" s="32">
        <f>Capacity_Reservations!B184</f>
        <v/>
      </c>
      <c r="C184" s="33">
        <f>Capacity_Reservations!C184</f>
        <v/>
      </c>
      <c r="D184" s="33">
        <f>Capacity_Reservations!D184</f>
        <v/>
      </c>
      <c r="E184" s="32">
        <f>Capacity_Reservations!E184</f>
        <v/>
      </c>
      <c r="F184" s="33">
        <f>Capacity_Reservations!F184</f>
        <v/>
      </c>
      <c r="G184" s="47">
        <f>Capacity_Reservations!I184</f>
        <v/>
      </c>
      <c r="H184" s="47">
        <f>Capacity_Reservations!J184</f>
        <v/>
      </c>
      <c r="I184" s="47">
        <f>Capacity_Reservations!K184</f>
        <v/>
      </c>
      <c r="J184" s="47">
        <f>Capacity_Reservations!L184</f>
        <v/>
      </c>
      <c r="K184" s="24">
        <f>IF(Allocation!$C$14&lt;&gt;1,0,IF(D184="Prod",IF(B184=Allocation!$C$9,SUMIF(Request!$A$13:$A$20,E184,Request!$D$13:$D$20),0),IF(D184="NonProd",IF(B184=Allocation!$C$10,SUMIF(Request!$A$13:$A$20,E184,Request!$D$13:$D$20),0),IF(AND(D184="DR",B184=Allocation!$C$11),ROUND(SUMIF(Request!$A$13:$A$20,E184,Request!$D$13:$D$20)*Policy!$B$15,0),0))))</f>
        <v/>
      </c>
      <c r="L184" s="24">
        <f>G184+K184</f>
        <v/>
      </c>
      <c r="M184" s="24">
        <f>MAX(0,J184-K184)</f>
        <v/>
      </c>
      <c r="N184" s="24">
        <f>MAX(0,K184-J184)</f>
        <v/>
      </c>
      <c r="O184" s="24">
        <f>L184+H184</f>
        <v/>
      </c>
      <c r="P184" s="25">
        <f>IF(K184=0,"",IF(N184&gt;0,"Request exceeded free cores","Placed"))</f>
        <v/>
      </c>
    </row>
    <row r="185">
      <c r="A185" s="32">
        <f>Capacity_Reservations!A185</f>
        <v/>
      </c>
      <c r="B185" s="32">
        <f>Capacity_Reservations!B185</f>
        <v/>
      </c>
      <c r="C185" s="33">
        <f>Capacity_Reservations!C185</f>
        <v/>
      </c>
      <c r="D185" s="33">
        <f>Capacity_Reservations!D185</f>
        <v/>
      </c>
      <c r="E185" s="32">
        <f>Capacity_Reservations!E185</f>
        <v/>
      </c>
      <c r="F185" s="33">
        <f>Capacity_Reservations!F185</f>
        <v/>
      </c>
      <c r="G185" s="47">
        <f>Capacity_Reservations!I185</f>
        <v/>
      </c>
      <c r="H185" s="47">
        <f>Capacity_Reservations!J185</f>
        <v/>
      </c>
      <c r="I185" s="47">
        <f>Capacity_Reservations!K185</f>
        <v/>
      </c>
      <c r="J185" s="47">
        <f>Capacity_Reservations!L185</f>
        <v/>
      </c>
      <c r="K185" s="24">
        <f>IF(Allocation!$C$14&lt;&gt;1,0,IF(D185="Prod",IF(B185=Allocation!$C$9,SUMIF(Request!$A$13:$A$20,E185,Request!$D$13:$D$20),0),IF(D185="NonProd",IF(B185=Allocation!$C$10,SUMIF(Request!$A$13:$A$20,E185,Request!$D$13:$D$20),0),IF(AND(D185="DR",B185=Allocation!$C$11),ROUND(SUMIF(Request!$A$13:$A$20,E185,Request!$D$13:$D$20)*Policy!$B$15,0),0))))</f>
        <v/>
      </c>
      <c r="L185" s="24">
        <f>G185+K185</f>
        <v/>
      </c>
      <c r="M185" s="24">
        <f>MAX(0,J185-K185)</f>
        <v/>
      </c>
      <c r="N185" s="24">
        <f>MAX(0,K185-J185)</f>
        <v/>
      </c>
      <c r="O185" s="24">
        <f>L185+H185</f>
        <v/>
      </c>
      <c r="P185" s="25">
        <f>IF(K185=0,"",IF(N185&gt;0,"Request exceeded free cores","Placed"))</f>
        <v/>
      </c>
    </row>
    <row r="186">
      <c r="A186" s="32">
        <f>Capacity_Reservations!A186</f>
        <v/>
      </c>
      <c r="B186" s="32">
        <f>Capacity_Reservations!B186</f>
        <v/>
      </c>
      <c r="C186" s="33">
        <f>Capacity_Reservations!C186</f>
        <v/>
      </c>
      <c r="D186" s="33">
        <f>Capacity_Reservations!D186</f>
        <v/>
      </c>
      <c r="E186" s="32">
        <f>Capacity_Reservations!E186</f>
        <v/>
      </c>
      <c r="F186" s="33">
        <f>Capacity_Reservations!F186</f>
        <v/>
      </c>
      <c r="G186" s="47">
        <f>Capacity_Reservations!I186</f>
        <v/>
      </c>
      <c r="H186" s="47">
        <f>Capacity_Reservations!J186</f>
        <v/>
      </c>
      <c r="I186" s="47">
        <f>Capacity_Reservations!K186</f>
        <v/>
      </c>
      <c r="J186" s="47">
        <f>Capacity_Reservations!L186</f>
        <v/>
      </c>
      <c r="K186" s="24">
        <f>IF(Allocation!$C$14&lt;&gt;1,0,IF(D186="Prod",IF(B186=Allocation!$C$9,SUMIF(Request!$A$13:$A$20,E186,Request!$D$13:$D$20),0),IF(D186="NonProd",IF(B186=Allocation!$C$10,SUMIF(Request!$A$13:$A$20,E186,Request!$D$13:$D$20),0),IF(AND(D186="DR",B186=Allocation!$C$11),ROUND(SUMIF(Request!$A$13:$A$20,E186,Request!$D$13:$D$20)*Policy!$B$15,0),0))))</f>
        <v/>
      </c>
      <c r="L186" s="24">
        <f>G186+K186</f>
        <v/>
      </c>
      <c r="M186" s="24">
        <f>MAX(0,J186-K186)</f>
        <v/>
      </c>
      <c r="N186" s="24">
        <f>MAX(0,K186-J186)</f>
        <v/>
      </c>
      <c r="O186" s="24">
        <f>L186+H186</f>
        <v/>
      </c>
      <c r="P186" s="25">
        <f>IF(K186=0,"",IF(N186&gt;0,"Request exceeded free cores","Placed"))</f>
        <v/>
      </c>
    </row>
    <row r="187">
      <c r="A187" s="32">
        <f>Capacity_Reservations!A187</f>
        <v/>
      </c>
      <c r="B187" s="32">
        <f>Capacity_Reservations!B187</f>
        <v/>
      </c>
      <c r="C187" s="33">
        <f>Capacity_Reservations!C187</f>
        <v/>
      </c>
      <c r="D187" s="33">
        <f>Capacity_Reservations!D187</f>
        <v/>
      </c>
      <c r="E187" s="32">
        <f>Capacity_Reservations!E187</f>
        <v/>
      </c>
      <c r="F187" s="33">
        <f>Capacity_Reservations!F187</f>
        <v/>
      </c>
      <c r="G187" s="47">
        <f>Capacity_Reservations!I187</f>
        <v/>
      </c>
      <c r="H187" s="47">
        <f>Capacity_Reservations!J187</f>
        <v/>
      </c>
      <c r="I187" s="47">
        <f>Capacity_Reservations!K187</f>
        <v/>
      </c>
      <c r="J187" s="47">
        <f>Capacity_Reservations!L187</f>
        <v/>
      </c>
      <c r="K187" s="24">
        <f>IF(Allocation!$C$14&lt;&gt;1,0,IF(D187="Prod",IF(B187=Allocation!$C$9,SUMIF(Request!$A$13:$A$20,E187,Request!$D$13:$D$20),0),IF(D187="NonProd",IF(B187=Allocation!$C$10,SUMIF(Request!$A$13:$A$20,E187,Request!$D$13:$D$20),0),IF(AND(D187="DR",B187=Allocation!$C$11),ROUND(SUMIF(Request!$A$13:$A$20,E187,Request!$D$13:$D$20)*Policy!$B$15,0),0))))</f>
        <v/>
      </c>
      <c r="L187" s="24">
        <f>G187+K187</f>
        <v/>
      </c>
      <c r="M187" s="24">
        <f>MAX(0,J187-K187)</f>
        <v/>
      </c>
      <c r="N187" s="24">
        <f>MAX(0,K187-J187)</f>
        <v/>
      </c>
      <c r="O187" s="24">
        <f>L187+H187</f>
        <v/>
      </c>
      <c r="P187" s="25">
        <f>IF(K187=0,"",IF(N187&gt;0,"Request exceeded free cores","Placed"))</f>
        <v/>
      </c>
    </row>
    <row r="188">
      <c r="A188" s="32">
        <f>Capacity_Reservations!A188</f>
        <v/>
      </c>
      <c r="B188" s="32">
        <f>Capacity_Reservations!B188</f>
        <v/>
      </c>
      <c r="C188" s="33">
        <f>Capacity_Reservations!C188</f>
        <v/>
      </c>
      <c r="D188" s="33">
        <f>Capacity_Reservations!D188</f>
        <v/>
      </c>
      <c r="E188" s="32">
        <f>Capacity_Reservations!E188</f>
        <v/>
      </c>
      <c r="F188" s="33">
        <f>Capacity_Reservations!F188</f>
        <v/>
      </c>
      <c r="G188" s="47">
        <f>Capacity_Reservations!I188</f>
        <v/>
      </c>
      <c r="H188" s="47">
        <f>Capacity_Reservations!J188</f>
        <v/>
      </c>
      <c r="I188" s="47">
        <f>Capacity_Reservations!K188</f>
        <v/>
      </c>
      <c r="J188" s="47">
        <f>Capacity_Reservations!L188</f>
        <v/>
      </c>
      <c r="K188" s="24">
        <f>IF(Allocation!$C$14&lt;&gt;1,0,IF(D188="Prod",IF(B188=Allocation!$C$9,SUMIF(Request!$A$13:$A$20,E188,Request!$D$13:$D$20),0),IF(D188="NonProd",IF(B188=Allocation!$C$10,SUMIF(Request!$A$13:$A$20,E188,Request!$D$13:$D$20),0),IF(AND(D188="DR",B188=Allocation!$C$11),ROUND(SUMIF(Request!$A$13:$A$20,E188,Request!$D$13:$D$20)*Policy!$B$15,0),0))))</f>
        <v/>
      </c>
      <c r="L188" s="24">
        <f>G188+K188</f>
        <v/>
      </c>
      <c r="M188" s="24">
        <f>MAX(0,J188-K188)</f>
        <v/>
      </c>
      <c r="N188" s="24">
        <f>MAX(0,K188-J188)</f>
        <v/>
      </c>
      <c r="O188" s="24">
        <f>L188+H188</f>
        <v/>
      </c>
      <c r="P188" s="25">
        <f>IF(K188=0,"",IF(N188&gt;0,"Request exceeded free cores","Placed"))</f>
        <v/>
      </c>
    </row>
    <row r="189">
      <c r="A189" s="32">
        <f>Capacity_Reservations!A189</f>
        <v/>
      </c>
      <c r="B189" s="32">
        <f>Capacity_Reservations!B189</f>
        <v/>
      </c>
      <c r="C189" s="33">
        <f>Capacity_Reservations!C189</f>
        <v/>
      </c>
      <c r="D189" s="33">
        <f>Capacity_Reservations!D189</f>
        <v/>
      </c>
      <c r="E189" s="32">
        <f>Capacity_Reservations!E189</f>
        <v/>
      </c>
      <c r="F189" s="33">
        <f>Capacity_Reservations!F189</f>
        <v/>
      </c>
      <c r="G189" s="47">
        <f>Capacity_Reservations!I189</f>
        <v/>
      </c>
      <c r="H189" s="47">
        <f>Capacity_Reservations!J189</f>
        <v/>
      </c>
      <c r="I189" s="47">
        <f>Capacity_Reservations!K189</f>
        <v/>
      </c>
      <c r="J189" s="47">
        <f>Capacity_Reservations!L189</f>
        <v/>
      </c>
      <c r="K189" s="24">
        <f>IF(Allocation!$C$14&lt;&gt;1,0,IF(D189="Prod",IF(B189=Allocation!$C$9,SUMIF(Request!$A$13:$A$20,E189,Request!$D$13:$D$20),0),IF(D189="NonProd",IF(B189=Allocation!$C$10,SUMIF(Request!$A$13:$A$20,E189,Request!$D$13:$D$20),0),IF(AND(D189="DR",B189=Allocation!$C$11),ROUND(SUMIF(Request!$A$13:$A$20,E189,Request!$D$13:$D$20)*Policy!$B$15,0),0))))</f>
        <v/>
      </c>
      <c r="L189" s="24">
        <f>G189+K189</f>
        <v/>
      </c>
      <c r="M189" s="24">
        <f>MAX(0,J189-K189)</f>
        <v/>
      </c>
      <c r="N189" s="24">
        <f>MAX(0,K189-J189)</f>
        <v/>
      </c>
      <c r="O189" s="24">
        <f>L189+H189</f>
        <v/>
      </c>
      <c r="P189" s="25">
        <f>IF(K189=0,"",IF(N189&gt;0,"Request exceeded free cores","Placed"))</f>
        <v/>
      </c>
    </row>
    <row r="190">
      <c r="A190" s="32">
        <f>Capacity_Reservations!A190</f>
        <v/>
      </c>
      <c r="B190" s="32">
        <f>Capacity_Reservations!B190</f>
        <v/>
      </c>
      <c r="C190" s="33">
        <f>Capacity_Reservations!C190</f>
        <v/>
      </c>
      <c r="D190" s="33">
        <f>Capacity_Reservations!D190</f>
        <v/>
      </c>
      <c r="E190" s="32">
        <f>Capacity_Reservations!E190</f>
        <v/>
      </c>
      <c r="F190" s="33">
        <f>Capacity_Reservations!F190</f>
        <v/>
      </c>
      <c r="G190" s="47">
        <f>Capacity_Reservations!I190</f>
        <v/>
      </c>
      <c r="H190" s="47">
        <f>Capacity_Reservations!J190</f>
        <v/>
      </c>
      <c r="I190" s="47">
        <f>Capacity_Reservations!K190</f>
        <v/>
      </c>
      <c r="J190" s="47">
        <f>Capacity_Reservations!L190</f>
        <v/>
      </c>
      <c r="K190" s="24">
        <f>IF(Allocation!$C$14&lt;&gt;1,0,IF(D190="Prod",IF(B190=Allocation!$C$9,SUMIF(Request!$A$13:$A$20,E190,Request!$D$13:$D$20),0),IF(D190="NonProd",IF(B190=Allocation!$C$10,SUMIF(Request!$A$13:$A$20,E190,Request!$D$13:$D$20),0),IF(AND(D190="DR",B190=Allocation!$C$11),ROUND(SUMIF(Request!$A$13:$A$20,E190,Request!$D$13:$D$20)*Policy!$B$15,0),0))))</f>
        <v/>
      </c>
      <c r="L190" s="24">
        <f>G190+K190</f>
        <v/>
      </c>
      <c r="M190" s="24">
        <f>MAX(0,J190-K190)</f>
        <v/>
      </c>
      <c r="N190" s="24">
        <f>MAX(0,K190-J190)</f>
        <v/>
      </c>
      <c r="O190" s="24">
        <f>L190+H190</f>
        <v/>
      </c>
      <c r="P190" s="25">
        <f>IF(K190=0,"",IF(N190&gt;0,"Request exceeded free cores","Placed"))</f>
        <v/>
      </c>
    </row>
    <row r="191">
      <c r="A191" s="32">
        <f>Capacity_Reservations!A191</f>
        <v/>
      </c>
      <c r="B191" s="32">
        <f>Capacity_Reservations!B191</f>
        <v/>
      </c>
      <c r="C191" s="33">
        <f>Capacity_Reservations!C191</f>
        <v/>
      </c>
      <c r="D191" s="33">
        <f>Capacity_Reservations!D191</f>
        <v/>
      </c>
      <c r="E191" s="32">
        <f>Capacity_Reservations!E191</f>
        <v/>
      </c>
      <c r="F191" s="33">
        <f>Capacity_Reservations!F191</f>
        <v/>
      </c>
      <c r="G191" s="47">
        <f>Capacity_Reservations!I191</f>
        <v/>
      </c>
      <c r="H191" s="47">
        <f>Capacity_Reservations!J191</f>
        <v/>
      </c>
      <c r="I191" s="47">
        <f>Capacity_Reservations!K191</f>
        <v/>
      </c>
      <c r="J191" s="47">
        <f>Capacity_Reservations!L191</f>
        <v/>
      </c>
      <c r="K191" s="24">
        <f>IF(Allocation!$C$14&lt;&gt;1,0,IF(D191="Prod",IF(B191=Allocation!$C$9,SUMIF(Request!$A$13:$A$20,E191,Request!$D$13:$D$20),0),IF(D191="NonProd",IF(B191=Allocation!$C$10,SUMIF(Request!$A$13:$A$20,E191,Request!$D$13:$D$20),0),IF(AND(D191="DR",B191=Allocation!$C$11),ROUND(SUMIF(Request!$A$13:$A$20,E191,Request!$D$13:$D$20)*Policy!$B$15,0),0))))</f>
        <v/>
      </c>
      <c r="L191" s="24">
        <f>G191+K191</f>
        <v/>
      </c>
      <c r="M191" s="24">
        <f>MAX(0,J191-K191)</f>
        <v/>
      </c>
      <c r="N191" s="24">
        <f>MAX(0,K191-J191)</f>
        <v/>
      </c>
      <c r="O191" s="24">
        <f>L191+H191</f>
        <v/>
      </c>
      <c r="P191" s="25">
        <f>IF(K191=0,"",IF(N191&gt;0,"Request exceeded free cores","Placed"))</f>
        <v/>
      </c>
    </row>
    <row r="192">
      <c r="A192" s="32">
        <f>Capacity_Reservations!A192</f>
        <v/>
      </c>
      <c r="B192" s="32">
        <f>Capacity_Reservations!B192</f>
        <v/>
      </c>
      <c r="C192" s="33">
        <f>Capacity_Reservations!C192</f>
        <v/>
      </c>
      <c r="D192" s="33">
        <f>Capacity_Reservations!D192</f>
        <v/>
      </c>
      <c r="E192" s="32">
        <f>Capacity_Reservations!E192</f>
        <v/>
      </c>
      <c r="F192" s="33">
        <f>Capacity_Reservations!F192</f>
        <v/>
      </c>
      <c r="G192" s="47">
        <f>Capacity_Reservations!I192</f>
        <v/>
      </c>
      <c r="H192" s="47">
        <f>Capacity_Reservations!J192</f>
        <v/>
      </c>
      <c r="I192" s="47">
        <f>Capacity_Reservations!K192</f>
        <v/>
      </c>
      <c r="J192" s="47">
        <f>Capacity_Reservations!L192</f>
        <v/>
      </c>
      <c r="K192" s="24">
        <f>IF(Allocation!$C$14&lt;&gt;1,0,IF(D192="Prod",IF(B192=Allocation!$C$9,SUMIF(Request!$A$13:$A$20,E192,Request!$D$13:$D$20),0),IF(D192="NonProd",IF(B192=Allocation!$C$10,SUMIF(Request!$A$13:$A$20,E192,Request!$D$13:$D$20),0),IF(AND(D192="DR",B192=Allocation!$C$11),ROUND(SUMIF(Request!$A$13:$A$20,E192,Request!$D$13:$D$20)*Policy!$B$15,0),0))))</f>
        <v/>
      </c>
      <c r="L192" s="24">
        <f>G192+K192</f>
        <v/>
      </c>
      <c r="M192" s="24">
        <f>MAX(0,J192-K192)</f>
        <v/>
      </c>
      <c r="N192" s="24">
        <f>MAX(0,K192-J192)</f>
        <v/>
      </c>
      <c r="O192" s="24">
        <f>L192+H192</f>
        <v/>
      </c>
      <c r="P192" s="25">
        <f>IF(K192=0,"",IF(N192&gt;0,"Request exceeded free cores","Placed"))</f>
        <v/>
      </c>
    </row>
    <row r="193">
      <c r="A193" s="32">
        <f>Capacity_Reservations!A193</f>
        <v/>
      </c>
      <c r="B193" s="32">
        <f>Capacity_Reservations!B193</f>
        <v/>
      </c>
      <c r="C193" s="33">
        <f>Capacity_Reservations!C193</f>
        <v/>
      </c>
      <c r="D193" s="33">
        <f>Capacity_Reservations!D193</f>
        <v/>
      </c>
      <c r="E193" s="32">
        <f>Capacity_Reservations!E193</f>
        <v/>
      </c>
      <c r="F193" s="33">
        <f>Capacity_Reservations!F193</f>
        <v/>
      </c>
      <c r="G193" s="47">
        <f>Capacity_Reservations!I193</f>
        <v/>
      </c>
      <c r="H193" s="47">
        <f>Capacity_Reservations!J193</f>
        <v/>
      </c>
      <c r="I193" s="47">
        <f>Capacity_Reservations!K193</f>
        <v/>
      </c>
      <c r="J193" s="47">
        <f>Capacity_Reservations!L193</f>
        <v/>
      </c>
      <c r="K193" s="24">
        <f>IF(Allocation!$C$14&lt;&gt;1,0,IF(D193="Prod",IF(B193=Allocation!$C$9,SUMIF(Request!$A$13:$A$20,E193,Request!$D$13:$D$20),0),IF(D193="NonProd",IF(B193=Allocation!$C$10,SUMIF(Request!$A$13:$A$20,E193,Request!$D$13:$D$20),0),IF(AND(D193="DR",B193=Allocation!$C$11),ROUND(SUMIF(Request!$A$13:$A$20,E193,Request!$D$13:$D$20)*Policy!$B$15,0),0))))</f>
        <v/>
      </c>
      <c r="L193" s="24">
        <f>G193+K193</f>
        <v/>
      </c>
      <c r="M193" s="24">
        <f>MAX(0,J193-K193)</f>
        <v/>
      </c>
      <c r="N193" s="24">
        <f>MAX(0,K193-J193)</f>
        <v/>
      </c>
      <c r="O193" s="24">
        <f>L193+H193</f>
        <v/>
      </c>
      <c r="P193" s="25">
        <f>IF(K193=0,"",IF(N193&gt;0,"Request exceeded free cores","Placed"))</f>
        <v/>
      </c>
    </row>
    <row r="194">
      <c r="A194" s="32">
        <f>Capacity_Reservations!A194</f>
        <v/>
      </c>
      <c r="B194" s="32">
        <f>Capacity_Reservations!B194</f>
        <v/>
      </c>
      <c r="C194" s="33">
        <f>Capacity_Reservations!C194</f>
        <v/>
      </c>
      <c r="D194" s="33">
        <f>Capacity_Reservations!D194</f>
        <v/>
      </c>
      <c r="E194" s="32">
        <f>Capacity_Reservations!E194</f>
        <v/>
      </c>
      <c r="F194" s="33">
        <f>Capacity_Reservations!F194</f>
        <v/>
      </c>
      <c r="G194" s="47">
        <f>Capacity_Reservations!I194</f>
        <v/>
      </c>
      <c r="H194" s="47">
        <f>Capacity_Reservations!J194</f>
        <v/>
      </c>
      <c r="I194" s="47">
        <f>Capacity_Reservations!K194</f>
        <v/>
      </c>
      <c r="J194" s="47">
        <f>Capacity_Reservations!L194</f>
        <v/>
      </c>
      <c r="K194" s="24">
        <f>IF(Allocation!$C$14&lt;&gt;1,0,IF(D194="Prod",IF(B194=Allocation!$C$9,SUMIF(Request!$A$13:$A$20,E194,Request!$D$13:$D$20),0),IF(D194="NonProd",IF(B194=Allocation!$C$10,SUMIF(Request!$A$13:$A$20,E194,Request!$D$13:$D$20),0),IF(AND(D194="DR",B194=Allocation!$C$11),ROUND(SUMIF(Request!$A$13:$A$20,E194,Request!$D$13:$D$20)*Policy!$B$15,0),0))))</f>
        <v/>
      </c>
      <c r="L194" s="24">
        <f>G194+K194</f>
        <v/>
      </c>
      <c r="M194" s="24">
        <f>MAX(0,J194-K194)</f>
        <v/>
      </c>
      <c r="N194" s="24">
        <f>MAX(0,K194-J194)</f>
        <v/>
      </c>
      <c r="O194" s="24">
        <f>L194+H194</f>
        <v/>
      </c>
      <c r="P194" s="25">
        <f>IF(K194=0,"",IF(N194&gt;0,"Request exceeded free cores","Placed"))</f>
        <v/>
      </c>
    </row>
    <row r="195">
      <c r="A195" s="32">
        <f>Capacity_Reservations!A195</f>
        <v/>
      </c>
      <c r="B195" s="32">
        <f>Capacity_Reservations!B195</f>
        <v/>
      </c>
      <c r="C195" s="33">
        <f>Capacity_Reservations!C195</f>
        <v/>
      </c>
      <c r="D195" s="33">
        <f>Capacity_Reservations!D195</f>
        <v/>
      </c>
      <c r="E195" s="32">
        <f>Capacity_Reservations!E195</f>
        <v/>
      </c>
      <c r="F195" s="33">
        <f>Capacity_Reservations!F195</f>
        <v/>
      </c>
      <c r="G195" s="47">
        <f>Capacity_Reservations!I195</f>
        <v/>
      </c>
      <c r="H195" s="47">
        <f>Capacity_Reservations!J195</f>
        <v/>
      </c>
      <c r="I195" s="47">
        <f>Capacity_Reservations!K195</f>
        <v/>
      </c>
      <c r="J195" s="47">
        <f>Capacity_Reservations!L195</f>
        <v/>
      </c>
      <c r="K195" s="24">
        <f>IF(Allocation!$C$14&lt;&gt;1,0,IF(D195="Prod",IF(B195=Allocation!$C$9,SUMIF(Request!$A$13:$A$20,E195,Request!$D$13:$D$20),0),IF(D195="NonProd",IF(B195=Allocation!$C$10,SUMIF(Request!$A$13:$A$20,E195,Request!$D$13:$D$20),0),IF(AND(D195="DR",B195=Allocation!$C$11),ROUND(SUMIF(Request!$A$13:$A$20,E195,Request!$D$13:$D$20)*Policy!$B$15,0),0))))</f>
        <v/>
      </c>
      <c r="L195" s="24">
        <f>G195+K195</f>
        <v/>
      </c>
      <c r="M195" s="24">
        <f>MAX(0,J195-K195)</f>
        <v/>
      </c>
      <c r="N195" s="24">
        <f>MAX(0,K195-J195)</f>
        <v/>
      </c>
      <c r="O195" s="24">
        <f>L195+H195</f>
        <v/>
      </c>
      <c r="P195" s="25">
        <f>IF(K195=0,"",IF(N195&gt;0,"Request exceeded free cores","Placed"))</f>
        <v/>
      </c>
    </row>
    <row r="196">
      <c r="A196" s="32">
        <f>Capacity_Reservations!A196</f>
        <v/>
      </c>
      <c r="B196" s="32">
        <f>Capacity_Reservations!B196</f>
        <v/>
      </c>
      <c r="C196" s="33">
        <f>Capacity_Reservations!C196</f>
        <v/>
      </c>
      <c r="D196" s="33">
        <f>Capacity_Reservations!D196</f>
        <v/>
      </c>
      <c r="E196" s="32">
        <f>Capacity_Reservations!E196</f>
        <v/>
      </c>
      <c r="F196" s="33">
        <f>Capacity_Reservations!F196</f>
        <v/>
      </c>
      <c r="G196" s="47">
        <f>Capacity_Reservations!I196</f>
        <v/>
      </c>
      <c r="H196" s="47">
        <f>Capacity_Reservations!J196</f>
        <v/>
      </c>
      <c r="I196" s="47">
        <f>Capacity_Reservations!K196</f>
        <v/>
      </c>
      <c r="J196" s="47">
        <f>Capacity_Reservations!L196</f>
        <v/>
      </c>
      <c r="K196" s="24">
        <f>IF(Allocation!$C$14&lt;&gt;1,0,IF(D196="Prod",IF(B196=Allocation!$C$9,SUMIF(Request!$A$13:$A$20,E196,Request!$D$13:$D$20),0),IF(D196="NonProd",IF(B196=Allocation!$C$10,SUMIF(Request!$A$13:$A$20,E196,Request!$D$13:$D$20),0),IF(AND(D196="DR",B196=Allocation!$C$11),ROUND(SUMIF(Request!$A$13:$A$20,E196,Request!$D$13:$D$20)*Policy!$B$15,0),0))))</f>
        <v/>
      </c>
      <c r="L196" s="24">
        <f>G196+K196</f>
        <v/>
      </c>
      <c r="M196" s="24">
        <f>MAX(0,J196-K196)</f>
        <v/>
      </c>
      <c r="N196" s="24">
        <f>MAX(0,K196-J196)</f>
        <v/>
      </c>
      <c r="O196" s="24">
        <f>L196+H196</f>
        <v/>
      </c>
      <c r="P196" s="25">
        <f>IF(K196=0,"",IF(N196&gt;0,"Request exceeded free cores","Placed"))</f>
        <v/>
      </c>
    </row>
    <row r="197">
      <c r="A197" s="32">
        <f>Capacity_Reservations!A197</f>
        <v/>
      </c>
      <c r="B197" s="32">
        <f>Capacity_Reservations!B197</f>
        <v/>
      </c>
      <c r="C197" s="33">
        <f>Capacity_Reservations!C197</f>
        <v/>
      </c>
      <c r="D197" s="33">
        <f>Capacity_Reservations!D197</f>
        <v/>
      </c>
      <c r="E197" s="32">
        <f>Capacity_Reservations!E197</f>
        <v/>
      </c>
      <c r="F197" s="33">
        <f>Capacity_Reservations!F197</f>
        <v/>
      </c>
      <c r="G197" s="47">
        <f>Capacity_Reservations!I197</f>
        <v/>
      </c>
      <c r="H197" s="47">
        <f>Capacity_Reservations!J197</f>
        <v/>
      </c>
      <c r="I197" s="47">
        <f>Capacity_Reservations!K197</f>
        <v/>
      </c>
      <c r="J197" s="47">
        <f>Capacity_Reservations!L197</f>
        <v/>
      </c>
      <c r="K197" s="24">
        <f>IF(Allocation!$C$14&lt;&gt;1,0,IF(D197="Prod",IF(B197=Allocation!$C$9,SUMIF(Request!$A$13:$A$20,E197,Request!$D$13:$D$20),0),IF(D197="NonProd",IF(B197=Allocation!$C$10,SUMIF(Request!$A$13:$A$20,E197,Request!$D$13:$D$20),0),IF(AND(D197="DR",B197=Allocation!$C$11),ROUND(SUMIF(Request!$A$13:$A$20,E197,Request!$D$13:$D$20)*Policy!$B$15,0),0))))</f>
        <v/>
      </c>
      <c r="L197" s="24">
        <f>G197+K197</f>
        <v/>
      </c>
      <c r="M197" s="24">
        <f>MAX(0,J197-K197)</f>
        <v/>
      </c>
      <c r="N197" s="24">
        <f>MAX(0,K197-J197)</f>
        <v/>
      </c>
      <c r="O197" s="24">
        <f>L197+H197</f>
        <v/>
      </c>
      <c r="P197" s="25">
        <f>IF(K197=0,"",IF(N197&gt;0,"Request exceeded free cores","Placed"))</f>
        <v/>
      </c>
    </row>
    <row r="198">
      <c r="A198" s="32">
        <f>Capacity_Reservations!A198</f>
        <v/>
      </c>
      <c r="B198" s="32">
        <f>Capacity_Reservations!B198</f>
        <v/>
      </c>
      <c r="C198" s="33">
        <f>Capacity_Reservations!C198</f>
        <v/>
      </c>
      <c r="D198" s="33">
        <f>Capacity_Reservations!D198</f>
        <v/>
      </c>
      <c r="E198" s="32">
        <f>Capacity_Reservations!E198</f>
        <v/>
      </c>
      <c r="F198" s="33">
        <f>Capacity_Reservations!F198</f>
        <v/>
      </c>
      <c r="G198" s="47">
        <f>Capacity_Reservations!I198</f>
        <v/>
      </c>
      <c r="H198" s="47">
        <f>Capacity_Reservations!J198</f>
        <v/>
      </c>
      <c r="I198" s="47">
        <f>Capacity_Reservations!K198</f>
        <v/>
      </c>
      <c r="J198" s="47">
        <f>Capacity_Reservations!L198</f>
        <v/>
      </c>
      <c r="K198" s="24">
        <f>IF(Allocation!$C$14&lt;&gt;1,0,IF(D198="Prod",IF(B198=Allocation!$C$9,SUMIF(Request!$A$13:$A$20,E198,Request!$D$13:$D$20),0),IF(D198="NonProd",IF(B198=Allocation!$C$10,SUMIF(Request!$A$13:$A$20,E198,Request!$D$13:$D$20),0),IF(AND(D198="DR",B198=Allocation!$C$11),ROUND(SUMIF(Request!$A$13:$A$20,E198,Request!$D$13:$D$20)*Policy!$B$15,0),0))))</f>
        <v/>
      </c>
      <c r="L198" s="24">
        <f>G198+K198</f>
        <v/>
      </c>
      <c r="M198" s="24">
        <f>MAX(0,J198-K198)</f>
        <v/>
      </c>
      <c r="N198" s="24">
        <f>MAX(0,K198-J198)</f>
        <v/>
      </c>
      <c r="O198" s="24">
        <f>L198+H198</f>
        <v/>
      </c>
      <c r="P198" s="25">
        <f>IF(K198=0,"",IF(N198&gt;0,"Request exceeded free cores","Placed"))</f>
        <v/>
      </c>
    </row>
    <row r="199">
      <c r="A199" s="32">
        <f>Capacity_Reservations!A199</f>
        <v/>
      </c>
      <c r="B199" s="32">
        <f>Capacity_Reservations!B199</f>
        <v/>
      </c>
      <c r="C199" s="33">
        <f>Capacity_Reservations!C199</f>
        <v/>
      </c>
      <c r="D199" s="33">
        <f>Capacity_Reservations!D199</f>
        <v/>
      </c>
      <c r="E199" s="32">
        <f>Capacity_Reservations!E199</f>
        <v/>
      </c>
      <c r="F199" s="33">
        <f>Capacity_Reservations!F199</f>
        <v/>
      </c>
      <c r="G199" s="47">
        <f>Capacity_Reservations!I199</f>
        <v/>
      </c>
      <c r="H199" s="47">
        <f>Capacity_Reservations!J199</f>
        <v/>
      </c>
      <c r="I199" s="47">
        <f>Capacity_Reservations!K199</f>
        <v/>
      </c>
      <c r="J199" s="47">
        <f>Capacity_Reservations!L199</f>
        <v/>
      </c>
      <c r="K199" s="24">
        <f>IF(Allocation!$C$14&lt;&gt;1,0,IF(D199="Prod",IF(B199=Allocation!$C$9,SUMIF(Request!$A$13:$A$20,E199,Request!$D$13:$D$20),0),IF(D199="NonProd",IF(B199=Allocation!$C$10,SUMIF(Request!$A$13:$A$20,E199,Request!$D$13:$D$20),0),IF(AND(D199="DR",B199=Allocation!$C$11),ROUND(SUMIF(Request!$A$13:$A$20,E199,Request!$D$13:$D$20)*Policy!$B$15,0),0))))</f>
        <v/>
      </c>
      <c r="L199" s="24">
        <f>G199+K199</f>
        <v/>
      </c>
      <c r="M199" s="24">
        <f>MAX(0,J199-K199)</f>
        <v/>
      </c>
      <c r="N199" s="24">
        <f>MAX(0,K199-J199)</f>
        <v/>
      </c>
      <c r="O199" s="24">
        <f>L199+H199</f>
        <v/>
      </c>
      <c r="P199" s="25">
        <f>IF(K199=0,"",IF(N199&gt;0,"Request exceeded free cores","Placed"))</f>
        <v/>
      </c>
    </row>
    <row r="200">
      <c r="A200" s="32">
        <f>Capacity_Reservations!A200</f>
        <v/>
      </c>
      <c r="B200" s="32">
        <f>Capacity_Reservations!B200</f>
        <v/>
      </c>
      <c r="C200" s="33">
        <f>Capacity_Reservations!C200</f>
        <v/>
      </c>
      <c r="D200" s="33">
        <f>Capacity_Reservations!D200</f>
        <v/>
      </c>
      <c r="E200" s="32">
        <f>Capacity_Reservations!E200</f>
        <v/>
      </c>
      <c r="F200" s="33">
        <f>Capacity_Reservations!F200</f>
        <v/>
      </c>
      <c r="G200" s="47">
        <f>Capacity_Reservations!I200</f>
        <v/>
      </c>
      <c r="H200" s="47">
        <f>Capacity_Reservations!J200</f>
        <v/>
      </c>
      <c r="I200" s="47">
        <f>Capacity_Reservations!K200</f>
        <v/>
      </c>
      <c r="J200" s="47">
        <f>Capacity_Reservations!L200</f>
        <v/>
      </c>
      <c r="K200" s="24">
        <f>IF(Allocation!$C$14&lt;&gt;1,0,IF(D200="Prod",IF(B200=Allocation!$C$9,SUMIF(Request!$A$13:$A$20,E200,Request!$D$13:$D$20),0),IF(D200="NonProd",IF(B200=Allocation!$C$10,SUMIF(Request!$A$13:$A$20,E200,Request!$D$13:$D$20),0),IF(AND(D200="DR",B200=Allocation!$C$11),ROUND(SUMIF(Request!$A$13:$A$20,E200,Request!$D$13:$D$20)*Policy!$B$15,0),0))))</f>
        <v/>
      </c>
      <c r="L200" s="24">
        <f>G200+K200</f>
        <v/>
      </c>
      <c r="M200" s="24">
        <f>MAX(0,J200-K200)</f>
        <v/>
      </c>
      <c r="N200" s="24">
        <f>MAX(0,K200-J200)</f>
        <v/>
      </c>
      <c r="O200" s="24">
        <f>L200+H200</f>
        <v/>
      </c>
      <c r="P200" s="25">
        <f>IF(K200=0,"",IF(N200&gt;0,"Request exceeded free cores","Placed"))</f>
        <v/>
      </c>
    </row>
    <row r="201">
      <c r="A201" s="32">
        <f>Capacity_Reservations!A201</f>
        <v/>
      </c>
      <c r="B201" s="32">
        <f>Capacity_Reservations!B201</f>
        <v/>
      </c>
      <c r="C201" s="33">
        <f>Capacity_Reservations!C201</f>
        <v/>
      </c>
      <c r="D201" s="33">
        <f>Capacity_Reservations!D201</f>
        <v/>
      </c>
      <c r="E201" s="32">
        <f>Capacity_Reservations!E201</f>
        <v/>
      </c>
      <c r="F201" s="33">
        <f>Capacity_Reservations!F201</f>
        <v/>
      </c>
      <c r="G201" s="47">
        <f>Capacity_Reservations!I201</f>
        <v/>
      </c>
      <c r="H201" s="47">
        <f>Capacity_Reservations!J201</f>
        <v/>
      </c>
      <c r="I201" s="47">
        <f>Capacity_Reservations!K201</f>
        <v/>
      </c>
      <c r="J201" s="47">
        <f>Capacity_Reservations!L201</f>
        <v/>
      </c>
      <c r="K201" s="24">
        <f>IF(Allocation!$C$14&lt;&gt;1,0,IF(D201="Prod",IF(B201=Allocation!$C$9,SUMIF(Request!$A$13:$A$20,E201,Request!$D$13:$D$20),0),IF(D201="NonProd",IF(B201=Allocation!$C$10,SUMIF(Request!$A$13:$A$20,E201,Request!$D$13:$D$20),0),IF(AND(D201="DR",B201=Allocation!$C$11),ROUND(SUMIF(Request!$A$13:$A$20,E201,Request!$D$13:$D$20)*Policy!$B$15,0),0))))</f>
        <v/>
      </c>
      <c r="L201" s="24">
        <f>G201+K201</f>
        <v/>
      </c>
      <c r="M201" s="24">
        <f>MAX(0,J201-K201)</f>
        <v/>
      </c>
      <c r="N201" s="24">
        <f>MAX(0,K201-J201)</f>
        <v/>
      </c>
      <c r="O201" s="24">
        <f>L201+H201</f>
        <v/>
      </c>
      <c r="P201" s="25">
        <f>IF(K201=0,"",IF(N201&gt;0,"Request exceeded free cores","Placed"))</f>
        <v/>
      </c>
    </row>
    <row r="202">
      <c r="A202" s="32">
        <f>Capacity_Reservations!A202</f>
        <v/>
      </c>
      <c r="B202" s="32">
        <f>Capacity_Reservations!B202</f>
        <v/>
      </c>
      <c r="C202" s="33">
        <f>Capacity_Reservations!C202</f>
        <v/>
      </c>
      <c r="D202" s="33">
        <f>Capacity_Reservations!D202</f>
        <v/>
      </c>
      <c r="E202" s="32">
        <f>Capacity_Reservations!E202</f>
        <v/>
      </c>
      <c r="F202" s="33">
        <f>Capacity_Reservations!F202</f>
        <v/>
      </c>
      <c r="G202" s="47">
        <f>Capacity_Reservations!I202</f>
        <v/>
      </c>
      <c r="H202" s="47">
        <f>Capacity_Reservations!J202</f>
        <v/>
      </c>
      <c r="I202" s="47">
        <f>Capacity_Reservations!K202</f>
        <v/>
      </c>
      <c r="J202" s="47">
        <f>Capacity_Reservations!L202</f>
        <v/>
      </c>
      <c r="K202" s="24">
        <f>IF(Allocation!$C$14&lt;&gt;1,0,IF(D202="Prod",IF(B202=Allocation!$C$9,SUMIF(Request!$A$13:$A$20,E202,Request!$D$13:$D$20),0),IF(D202="NonProd",IF(B202=Allocation!$C$10,SUMIF(Request!$A$13:$A$20,E202,Request!$D$13:$D$20),0),IF(AND(D202="DR",B202=Allocation!$C$11),ROUND(SUMIF(Request!$A$13:$A$20,E202,Request!$D$13:$D$20)*Policy!$B$15,0),0))))</f>
        <v/>
      </c>
      <c r="L202" s="24">
        <f>G202+K202</f>
        <v/>
      </c>
      <c r="M202" s="24">
        <f>MAX(0,J202-K202)</f>
        <v/>
      </c>
      <c r="N202" s="24">
        <f>MAX(0,K202-J202)</f>
        <v/>
      </c>
      <c r="O202" s="24">
        <f>L202+H202</f>
        <v/>
      </c>
      <c r="P202" s="25">
        <f>IF(K202=0,"",IF(N202&gt;0,"Request exceeded free cores","Placed"))</f>
        <v/>
      </c>
    </row>
    <row r="203">
      <c r="A203" s="32">
        <f>Capacity_Reservations!A203</f>
        <v/>
      </c>
      <c r="B203" s="32">
        <f>Capacity_Reservations!B203</f>
        <v/>
      </c>
      <c r="C203" s="33">
        <f>Capacity_Reservations!C203</f>
        <v/>
      </c>
      <c r="D203" s="33">
        <f>Capacity_Reservations!D203</f>
        <v/>
      </c>
      <c r="E203" s="32">
        <f>Capacity_Reservations!E203</f>
        <v/>
      </c>
      <c r="F203" s="33">
        <f>Capacity_Reservations!F203</f>
        <v/>
      </c>
      <c r="G203" s="47">
        <f>Capacity_Reservations!I203</f>
        <v/>
      </c>
      <c r="H203" s="47">
        <f>Capacity_Reservations!J203</f>
        <v/>
      </c>
      <c r="I203" s="47">
        <f>Capacity_Reservations!K203</f>
        <v/>
      </c>
      <c r="J203" s="47">
        <f>Capacity_Reservations!L203</f>
        <v/>
      </c>
      <c r="K203" s="24">
        <f>IF(Allocation!$C$14&lt;&gt;1,0,IF(D203="Prod",IF(B203=Allocation!$C$9,SUMIF(Request!$A$13:$A$20,E203,Request!$D$13:$D$20),0),IF(D203="NonProd",IF(B203=Allocation!$C$10,SUMIF(Request!$A$13:$A$20,E203,Request!$D$13:$D$20),0),IF(AND(D203="DR",B203=Allocation!$C$11),ROUND(SUMIF(Request!$A$13:$A$20,E203,Request!$D$13:$D$20)*Policy!$B$15,0),0))))</f>
        <v/>
      </c>
      <c r="L203" s="24">
        <f>G203+K203</f>
        <v/>
      </c>
      <c r="M203" s="24">
        <f>MAX(0,J203-K203)</f>
        <v/>
      </c>
      <c r="N203" s="24">
        <f>MAX(0,K203-J203)</f>
        <v/>
      </c>
      <c r="O203" s="24">
        <f>L203+H203</f>
        <v/>
      </c>
      <c r="P203" s="25">
        <f>IF(K203=0,"",IF(N203&gt;0,"Request exceeded free cores","Placed"))</f>
        <v/>
      </c>
    </row>
    <row r="204">
      <c r="A204" s="32">
        <f>Capacity_Reservations!A204</f>
        <v/>
      </c>
      <c r="B204" s="32">
        <f>Capacity_Reservations!B204</f>
        <v/>
      </c>
      <c r="C204" s="33">
        <f>Capacity_Reservations!C204</f>
        <v/>
      </c>
      <c r="D204" s="33">
        <f>Capacity_Reservations!D204</f>
        <v/>
      </c>
      <c r="E204" s="32">
        <f>Capacity_Reservations!E204</f>
        <v/>
      </c>
      <c r="F204" s="33">
        <f>Capacity_Reservations!F204</f>
        <v/>
      </c>
      <c r="G204" s="47">
        <f>Capacity_Reservations!I204</f>
        <v/>
      </c>
      <c r="H204" s="47">
        <f>Capacity_Reservations!J204</f>
        <v/>
      </c>
      <c r="I204" s="47">
        <f>Capacity_Reservations!K204</f>
        <v/>
      </c>
      <c r="J204" s="47">
        <f>Capacity_Reservations!L204</f>
        <v/>
      </c>
      <c r="K204" s="24">
        <f>IF(Allocation!$C$14&lt;&gt;1,0,IF(D204="Prod",IF(B204=Allocation!$C$9,SUMIF(Request!$A$13:$A$20,E204,Request!$D$13:$D$20),0),IF(D204="NonProd",IF(B204=Allocation!$C$10,SUMIF(Request!$A$13:$A$20,E204,Request!$D$13:$D$20),0),IF(AND(D204="DR",B204=Allocation!$C$11),ROUND(SUMIF(Request!$A$13:$A$20,E204,Request!$D$13:$D$20)*Policy!$B$15,0),0))))</f>
        <v/>
      </c>
      <c r="L204" s="24">
        <f>G204+K204</f>
        <v/>
      </c>
      <c r="M204" s="24">
        <f>MAX(0,J204-K204)</f>
        <v/>
      </c>
      <c r="N204" s="24">
        <f>MAX(0,K204-J204)</f>
        <v/>
      </c>
      <c r="O204" s="24">
        <f>L204+H204</f>
        <v/>
      </c>
      <c r="P204" s="25">
        <f>IF(K204=0,"",IF(N204&gt;0,"Request exceeded free cores","Placed"))</f>
        <v/>
      </c>
    </row>
    <row r="205">
      <c r="A205" s="32">
        <f>Capacity_Reservations!A205</f>
        <v/>
      </c>
      <c r="B205" s="32">
        <f>Capacity_Reservations!B205</f>
        <v/>
      </c>
      <c r="C205" s="33">
        <f>Capacity_Reservations!C205</f>
        <v/>
      </c>
      <c r="D205" s="33">
        <f>Capacity_Reservations!D205</f>
        <v/>
      </c>
      <c r="E205" s="32">
        <f>Capacity_Reservations!E205</f>
        <v/>
      </c>
      <c r="F205" s="33">
        <f>Capacity_Reservations!F205</f>
        <v/>
      </c>
      <c r="G205" s="47">
        <f>Capacity_Reservations!I205</f>
        <v/>
      </c>
      <c r="H205" s="47">
        <f>Capacity_Reservations!J205</f>
        <v/>
      </c>
      <c r="I205" s="47">
        <f>Capacity_Reservations!K205</f>
        <v/>
      </c>
      <c r="J205" s="47">
        <f>Capacity_Reservations!L205</f>
        <v/>
      </c>
      <c r="K205" s="24">
        <f>IF(Allocation!$C$14&lt;&gt;1,0,IF(D205="Prod",IF(B205=Allocation!$C$9,SUMIF(Request!$A$13:$A$20,E205,Request!$D$13:$D$20),0),IF(D205="NonProd",IF(B205=Allocation!$C$10,SUMIF(Request!$A$13:$A$20,E205,Request!$D$13:$D$20),0),IF(AND(D205="DR",B205=Allocation!$C$11),ROUND(SUMIF(Request!$A$13:$A$20,E205,Request!$D$13:$D$20)*Policy!$B$15,0),0))))</f>
        <v/>
      </c>
      <c r="L205" s="24">
        <f>G205+K205</f>
        <v/>
      </c>
      <c r="M205" s="24">
        <f>MAX(0,J205-K205)</f>
        <v/>
      </c>
      <c r="N205" s="24">
        <f>MAX(0,K205-J205)</f>
        <v/>
      </c>
      <c r="O205" s="24">
        <f>L205+H205</f>
        <v/>
      </c>
      <c r="P205" s="25">
        <f>IF(K205=0,"",IF(N205&gt;0,"Request exceeded free cores","Placed"))</f>
        <v/>
      </c>
    </row>
    <row r="206">
      <c r="A206" s="32">
        <f>Capacity_Reservations!A206</f>
        <v/>
      </c>
      <c r="B206" s="32">
        <f>Capacity_Reservations!B206</f>
        <v/>
      </c>
      <c r="C206" s="33">
        <f>Capacity_Reservations!C206</f>
        <v/>
      </c>
      <c r="D206" s="33">
        <f>Capacity_Reservations!D206</f>
        <v/>
      </c>
      <c r="E206" s="32">
        <f>Capacity_Reservations!E206</f>
        <v/>
      </c>
      <c r="F206" s="33">
        <f>Capacity_Reservations!F206</f>
        <v/>
      </c>
      <c r="G206" s="47">
        <f>Capacity_Reservations!I206</f>
        <v/>
      </c>
      <c r="H206" s="47">
        <f>Capacity_Reservations!J206</f>
        <v/>
      </c>
      <c r="I206" s="47">
        <f>Capacity_Reservations!K206</f>
        <v/>
      </c>
      <c r="J206" s="47">
        <f>Capacity_Reservations!L206</f>
        <v/>
      </c>
      <c r="K206" s="24">
        <f>IF(Allocation!$C$14&lt;&gt;1,0,IF(D206="Prod",IF(B206=Allocation!$C$9,SUMIF(Request!$A$13:$A$20,E206,Request!$D$13:$D$20),0),IF(D206="NonProd",IF(B206=Allocation!$C$10,SUMIF(Request!$A$13:$A$20,E206,Request!$D$13:$D$20),0),IF(AND(D206="DR",B206=Allocation!$C$11),ROUND(SUMIF(Request!$A$13:$A$20,E206,Request!$D$13:$D$20)*Policy!$B$15,0),0))))</f>
        <v/>
      </c>
      <c r="L206" s="24">
        <f>G206+K206</f>
        <v/>
      </c>
      <c r="M206" s="24">
        <f>MAX(0,J206-K206)</f>
        <v/>
      </c>
      <c r="N206" s="24">
        <f>MAX(0,K206-J206)</f>
        <v/>
      </c>
      <c r="O206" s="24">
        <f>L206+H206</f>
        <v/>
      </c>
      <c r="P206" s="25">
        <f>IF(K206=0,"",IF(N206&gt;0,"Request exceeded free cores","Placed"))</f>
        <v/>
      </c>
    </row>
    <row r="207">
      <c r="A207" s="32">
        <f>Capacity_Reservations!A207</f>
        <v/>
      </c>
      <c r="B207" s="32">
        <f>Capacity_Reservations!B207</f>
        <v/>
      </c>
      <c r="C207" s="33">
        <f>Capacity_Reservations!C207</f>
        <v/>
      </c>
      <c r="D207" s="33">
        <f>Capacity_Reservations!D207</f>
        <v/>
      </c>
      <c r="E207" s="32">
        <f>Capacity_Reservations!E207</f>
        <v/>
      </c>
      <c r="F207" s="33">
        <f>Capacity_Reservations!F207</f>
        <v/>
      </c>
      <c r="G207" s="47">
        <f>Capacity_Reservations!I207</f>
        <v/>
      </c>
      <c r="H207" s="47">
        <f>Capacity_Reservations!J207</f>
        <v/>
      </c>
      <c r="I207" s="47">
        <f>Capacity_Reservations!K207</f>
        <v/>
      </c>
      <c r="J207" s="47">
        <f>Capacity_Reservations!L207</f>
        <v/>
      </c>
      <c r="K207" s="24">
        <f>IF(Allocation!$C$14&lt;&gt;1,0,IF(D207="Prod",IF(B207=Allocation!$C$9,SUMIF(Request!$A$13:$A$20,E207,Request!$D$13:$D$20),0),IF(D207="NonProd",IF(B207=Allocation!$C$10,SUMIF(Request!$A$13:$A$20,E207,Request!$D$13:$D$20),0),IF(AND(D207="DR",B207=Allocation!$C$11),ROUND(SUMIF(Request!$A$13:$A$20,E207,Request!$D$13:$D$20)*Policy!$B$15,0),0))))</f>
        <v/>
      </c>
      <c r="L207" s="24">
        <f>G207+K207</f>
        <v/>
      </c>
      <c r="M207" s="24">
        <f>MAX(0,J207-K207)</f>
        <v/>
      </c>
      <c r="N207" s="24">
        <f>MAX(0,K207-J207)</f>
        <v/>
      </c>
      <c r="O207" s="24">
        <f>L207+H207</f>
        <v/>
      </c>
      <c r="P207" s="25">
        <f>IF(K207=0,"",IF(N207&gt;0,"Request exceeded free cores","Placed"))</f>
        <v/>
      </c>
    </row>
    <row r="208">
      <c r="A208" s="32">
        <f>Capacity_Reservations!A208</f>
        <v/>
      </c>
      <c r="B208" s="32">
        <f>Capacity_Reservations!B208</f>
        <v/>
      </c>
      <c r="C208" s="33">
        <f>Capacity_Reservations!C208</f>
        <v/>
      </c>
      <c r="D208" s="33">
        <f>Capacity_Reservations!D208</f>
        <v/>
      </c>
      <c r="E208" s="32">
        <f>Capacity_Reservations!E208</f>
        <v/>
      </c>
      <c r="F208" s="33">
        <f>Capacity_Reservations!F208</f>
        <v/>
      </c>
      <c r="G208" s="47">
        <f>Capacity_Reservations!I208</f>
        <v/>
      </c>
      <c r="H208" s="47">
        <f>Capacity_Reservations!J208</f>
        <v/>
      </c>
      <c r="I208" s="47">
        <f>Capacity_Reservations!K208</f>
        <v/>
      </c>
      <c r="J208" s="47">
        <f>Capacity_Reservations!L208</f>
        <v/>
      </c>
      <c r="K208" s="24">
        <f>IF(Allocation!$C$14&lt;&gt;1,0,IF(D208="Prod",IF(B208=Allocation!$C$9,SUMIF(Request!$A$13:$A$20,E208,Request!$D$13:$D$20),0),IF(D208="NonProd",IF(B208=Allocation!$C$10,SUMIF(Request!$A$13:$A$20,E208,Request!$D$13:$D$20),0),IF(AND(D208="DR",B208=Allocation!$C$11),ROUND(SUMIF(Request!$A$13:$A$20,E208,Request!$D$13:$D$20)*Policy!$B$15,0),0))))</f>
        <v/>
      </c>
      <c r="L208" s="24">
        <f>G208+K208</f>
        <v/>
      </c>
      <c r="M208" s="24">
        <f>MAX(0,J208-K208)</f>
        <v/>
      </c>
      <c r="N208" s="24">
        <f>MAX(0,K208-J208)</f>
        <v/>
      </c>
      <c r="O208" s="24">
        <f>L208+H208</f>
        <v/>
      </c>
      <c r="P208" s="25">
        <f>IF(K208=0,"",IF(N208&gt;0,"Request exceeded free cores","Placed"))</f>
        <v/>
      </c>
    </row>
    <row r="209">
      <c r="A209" s="32">
        <f>Capacity_Reservations!A209</f>
        <v/>
      </c>
      <c r="B209" s="32">
        <f>Capacity_Reservations!B209</f>
        <v/>
      </c>
      <c r="C209" s="33">
        <f>Capacity_Reservations!C209</f>
        <v/>
      </c>
      <c r="D209" s="33">
        <f>Capacity_Reservations!D209</f>
        <v/>
      </c>
      <c r="E209" s="32">
        <f>Capacity_Reservations!E209</f>
        <v/>
      </c>
      <c r="F209" s="33">
        <f>Capacity_Reservations!F209</f>
        <v/>
      </c>
      <c r="G209" s="47">
        <f>Capacity_Reservations!I209</f>
        <v/>
      </c>
      <c r="H209" s="47">
        <f>Capacity_Reservations!J209</f>
        <v/>
      </c>
      <c r="I209" s="47">
        <f>Capacity_Reservations!K209</f>
        <v/>
      </c>
      <c r="J209" s="47">
        <f>Capacity_Reservations!L209</f>
        <v/>
      </c>
      <c r="K209" s="24">
        <f>IF(Allocation!$C$14&lt;&gt;1,0,IF(D209="Prod",IF(B209=Allocation!$C$9,SUMIF(Request!$A$13:$A$20,E209,Request!$D$13:$D$20),0),IF(D209="NonProd",IF(B209=Allocation!$C$10,SUMIF(Request!$A$13:$A$20,E209,Request!$D$13:$D$20),0),IF(AND(D209="DR",B209=Allocation!$C$11),ROUND(SUMIF(Request!$A$13:$A$20,E209,Request!$D$13:$D$20)*Policy!$B$15,0),0))))</f>
        <v/>
      </c>
      <c r="L209" s="24">
        <f>G209+K209</f>
        <v/>
      </c>
      <c r="M209" s="24">
        <f>MAX(0,J209-K209)</f>
        <v/>
      </c>
      <c r="N209" s="24">
        <f>MAX(0,K209-J209)</f>
        <v/>
      </c>
      <c r="O209" s="24">
        <f>L209+H209</f>
        <v/>
      </c>
      <c r="P209" s="25">
        <f>IF(K209=0,"",IF(N209&gt;0,"Request exceeded free cores","Placed"))</f>
        <v/>
      </c>
    </row>
    <row r="210">
      <c r="A210" s="32">
        <f>Capacity_Reservations!A210</f>
        <v/>
      </c>
      <c r="B210" s="32">
        <f>Capacity_Reservations!B210</f>
        <v/>
      </c>
      <c r="C210" s="33">
        <f>Capacity_Reservations!C210</f>
        <v/>
      </c>
      <c r="D210" s="33">
        <f>Capacity_Reservations!D210</f>
        <v/>
      </c>
      <c r="E210" s="32">
        <f>Capacity_Reservations!E210</f>
        <v/>
      </c>
      <c r="F210" s="33">
        <f>Capacity_Reservations!F210</f>
        <v/>
      </c>
      <c r="G210" s="47">
        <f>Capacity_Reservations!I210</f>
        <v/>
      </c>
      <c r="H210" s="47">
        <f>Capacity_Reservations!J210</f>
        <v/>
      </c>
      <c r="I210" s="47">
        <f>Capacity_Reservations!K210</f>
        <v/>
      </c>
      <c r="J210" s="47">
        <f>Capacity_Reservations!L210</f>
        <v/>
      </c>
      <c r="K210" s="24">
        <f>IF(Allocation!$C$14&lt;&gt;1,0,IF(D210="Prod",IF(B210=Allocation!$C$9,SUMIF(Request!$A$13:$A$20,E210,Request!$D$13:$D$20),0),IF(D210="NonProd",IF(B210=Allocation!$C$10,SUMIF(Request!$A$13:$A$20,E210,Request!$D$13:$D$20),0),IF(AND(D210="DR",B210=Allocation!$C$11),ROUND(SUMIF(Request!$A$13:$A$20,E210,Request!$D$13:$D$20)*Policy!$B$15,0),0))))</f>
        <v/>
      </c>
      <c r="L210" s="24">
        <f>G210+K210</f>
        <v/>
      </c>
      <c r="M210" s="24">
        <f>MAX(0,J210-K210)</f>
        <v/>
      </c>
      <c r="N210" s="24">
        <f>MAX(0,K210-J210)</f>
        <v/>
      </c>
      <c r="O210" s="24">
        <f>L210+H210</f>
        <v/>
      </c>
      <c r="P210" s="25">
        <f>IF(K210=0,"",IF(N210&gt;0,"Request exceeded free cores","Placed"))</f>
        <v/>
      </c>
    </row>
    <row r="211">
      <c r="A211" s="32">
        <f>Capacity_Reservations!A211</f>
        <v/>
      </c>
      <c r="B211" s="32">
        <f>Capacity_Reservations!B211</f>
        <v/>
      </c>
      <c r="C211" s="33">
        <f>Capacity_Reservations!C211</f>
        <v/>
      </c>
      <c r="D211" s="33">
        <f>Capacity_Reservations!D211</f>
        <v/>
      </c>
      <c r="E211" s="32">
        <f>Capacity_Reservations!E211</f>
        <v/>
      </c>
      <c r="F211" s="33">
        <f>Capacity_Reservations!F211</f>
        <v/>
      </c>
      <c r="G211" s="47">
        <f>Capacity_Reservations!I211</f>
        <v/>
      </c>
      <c r="H211" s="47">
        <f>Capacity_Reservations!J211</f>
        <v/>
      </c>
      <c r="I211" s="47">
        <f>Capacity_Reservations!K211</f>
        <v/>
      </c>
      <c r="J211" s="47">
        <f>Capacity_Reservations!L211</f>
        <v/>
      </c>
      <c r="K211" s="24">
        <f>IF(Allocation!$C$14&lt;&gt;1,0,IF(D211="Prod",IF(B211=Allocation!$C$9,SUMIF(Request!$A$13:$A$20,E211,Request!$D$13:$D$20),0),IF(D211="NonProd",IF(B211=Allocation!$C$10,SUMIF(Request!$A$13:$A$20,E211,Request!$D$13:$D$20),0),IF(AND(D211="DR",B211=Allocation!$C$11),ROUND(SUMIF(Request!$A$13:$A$20,E211,Request!$D$13:$D$20)*Policy!$B$15,0),0))))</f>
        <v/>
      </c>
      <c r="L211" s="24">
        <f>G211+K211</f>
        <v/>
      </c>
      <c r="M211" s="24">
        <f>MAX(0,J211-K211)</f>
        <v/>
      </c>
      <c r="N211" s="24">
        <f>MAX(0,K211-J211)</f>
        <v/>
      </c>
      <c r="O211" s="24">
        <f>L211+H211</f>
        <v/>
      </c>
      <c r="P211" s="25">
        <f>IF(K211=0,"",IF(N211&gt;0,"Request exceeded free cores","Placed"))</f>
        <v/>
      </c>
    </row>
    <row r="212">
      <c r="A212" s="32">
        <f>Capacity_Reservations!A212</f>
        <v/>
      </c>
      <c r="B212" s="32">
        <f>Capacity_Reservations!B212</f>
        <v/>
      </c>
      <c r="C212" s="33">
        <f>Capacity_Reservations!C212</f>
        <v/>
      </c>
      <c r="D212" s="33">
        <f>Capacity_Reservations!D212</f>
        <v/>
      </c>
      <c r="E212" s="32">
        <f>Capacity_Reservations!E212</f>
        <v/>
      </c>
      <c r="F212" s="33">
        <f>Capacity_Reservations!F212</f>
        <v/>
      </c>
      <c r="G212" s="47">
        <f>Capacity_Reservations!I212</f>
        <v/>
      </c>
      <c r="H212" s="47">
        <f>Capacity_Reservations!J212</f>
        <v/>
      </c>
      <c r="I212" s="47">
        <f>Capacity_Reservations!K212</f>
        <v/>
      </c>
      <c r="J212" s="47">
        <f>Capacity_Reservations!L212</f>
        <v/>
      </c>
      <c r="K212" s="24">
        <f>IF(Allocation!$C$14&lt;&gt;1,0,IF(D212="Prod",IF(B212=Allocation!$C$9,SUMIF(Request!$A$13:$A$20,E212,Request!$D$13:$D$20),0),IF(D212="NonProd",IF(B212=Allocation!$C$10,SUMIF(Request!$A$13:$A$20,E212,Request!$D$13:$D$20),0),IF(AND(D212="DR",B212=Allocation!$C$11),ROUND(SUMIF(Request!$A$13:$A$20,E212,Request!$D$13:$D$20)*Policy!$B$15,0),0))))</f>
        <v/>
      </c>
      <c r="L212" s="24">
        <f>G212+K212</f>
        <v/>
      </c>
      <c r="M212" s="24">
        <f>MAX(0,J212-K212)</f>
        <v/>
      </c>
      <c r="N212" s="24">
        <f>MAX(0,K212-J212)</f>
        <v/>
      </c>
      <c r="O212" s="24">
        <f>L212+H212</f>
        <v/>
      </c>
      <c r="P212" s="25">
        <f>IF(K212=0,"",IF(N212&gt;0,"Request exceeded free cores","Placed"))</f>
        <v/>
      </c>
    </row>
    <row r="213">
      <c r="A213" s="32">
        <f>Capacity_Reservations!A213</f>
        <v/>
      </c>
      <c r="B213" s="32">
        <f>Capacity_Reservations!B213</f>
        <v/>
      </c>
      <c r="C213" s="33">
        <f>Capacity_Reservations!C213</f>
        <v/>
      </c>
      <c r="D213" s="33">
        <f>Capacity_Reservations!D213</f>
        <v/>
      </c>
      <c r="E213" s="32">
        <f>Capacity_Reservations!E213</f>
        <v/>
      </c>
      <c r="F213" s="33">
        <f>Capacity_Reservations!F213</f>
        <v/>
      </c>
      <c r="G213" s="47">
        <f>Capacity_Reservations!I213</f>
        <v/>
      </c>
      <c r="H213" s="47">
        <f>Capacity_Reservations!J213</f>
        <v/>
      </c>
      <c r="I213" s="47">
        <f>Capacity_Reservations!K213</f>
        <v/>
      </c>
      <c r="J213" s="47">
        <f>Capacity_Reservations!L213</f>
        <v/>
      </c>
      <c r="K213" s="24">
        <f>IF(Allocation!$C$14&lt;&gt;1,0,IF(D213="Prod",IF(B213=Allocation!$C$9,SUMIF(Request!$A$13:$A$20,E213,Request!$D$13:$D$20),0),IF(D213="NonProd",IF(B213=Allocation!$C$10,SUMIF(Request!$A$13:$A$20,E213,Request!$D$13:$D$20),0),IF(AND(D213="DR",B213=Allocation!$C$11),ROUND(SUMIF(Request!$A$13:$A$20,E213,Request!$D$13:$D$20)*Policy!$B$15,0),0))))</f>
        <v/>
      </c>
      <c r="L213" s="24">
        <f>G213+K213</f>
        <v/>
      </c>
      <c r="M213" s="24">
        <f>MAX(0,J213-K213)</f>
        <v/>
      </c>
      <c r="N213" s="24">
        <f>MAX(0,K213-J213)</f>
        <v/>
      </c>
      <c r="O213" s="24">
        <f>L213+H213</f>
        <v/>
      </c>
      <c r="P213" s="25">
        <f>IF(K213=0,"",IF(N213&gt;0,"Request exceeded free cores","Placed"))</f>
        <v/>
      </c>
    </row>
    <row r="214">
      <c r="A214" s="32">
        <f>Capacity_Reservations!A214</f>
        <v/>
      </c>
      <c r="B214" s="32">
        <f>Capacity_Reservations!B214</f>
        <v/>
      </c>
      <c r="C214" s="33">
        <f>Capacity_Reservations!C214</f>
        <v/>
      </c>
      <c r="D214" s="33">
        <f>Capacity_Reservations!D214</f>
        <v/>
      </c>
      <c r="E214" s="32">
        <f>Capacity_Reservations!E214</f>
        <v/>
      </c>
      <c r="F214" s="33">
        <f>Capacity_Reservations!F214</f>
        <v/>
      </c>
      <c r="G214" s="47">
        <f>Capacity_Reservations!I214</f>
        <v/>
      </c>
      <c r="H214" s="47">
        <f>Capacity_Reservations!J214</f>
        <v/>
      </c>
      <c r="I214" s="47">
        <f>Capacity_Reservations!K214</f>
        <v/>
      </c>
      <c r="J214" s="47">
        <f>Capacity_Reservations!L214</f>
        <v/>
      </c>
      <c r="K214" s="24">
        <f>IF(Allocation!$C$14&lt;&gt;1,0,IF(D214="Prod",IF(B214=Allocation!$C$9,SUMIF(Request!$A$13:$A$20,E214,Request!$D$13:$D$20),0),IF(D214="NonProd",IF(B214=Allocation!$C$10,SUMIF(Request!$A$13:$A$20,E214,Request!$D$13:$D$20),0),IF(AND(D214="DR",B214=Allocation!$C$11),ROUND(SUMIF(Request!$A$13:$A$20,E214,Request!$D$13:$D$20)*Policy!$B$15,0),0))))</f>
        <v/>
      </c>
      <c r="L214" s="24">
        <f>G214+K214</f>
        <v/>
      </c>
      <c r="M214" s="24">
        <f>MAX(0,J214-K214)</f>
        <v/>
      </c>
      <c r="N214" s="24">
        <f>MAX(0,K214-J214)</f>
        <v/>
      </c>
      <c r="O214" s="24">
        <f>L214+H214</f>
        <v/>
      </c>
      <c r="P214" s="25">
        <f>IF(K214=0,"",IF(N214&gt;0,"Request exceeded free cores","Placed"))</f>
        <v/>
      </c>
    </row>
    <row r="215">
      <c r="A215" s="32">
        <f>Capacity_Reservations!A215</f>
        <v/>
      </c>
      <c r="B215" s="32">
        <f>Capacity_Reservations!B215</f>
        <v/>
      </c>
      <c r="C215" s="33">
        <f>Capacity_Reservations!C215</f>
        <v/>
      </c>
      <c r="D215" s="33">
        <f>Capacity_Reservations!D215</f>
        <v/>
      </c>
      <c r="E215" s="32">
        <f>Capacity_Reservations!E215</f>
        <v/>
      </c>
      <c r="F215" s="33">
        <f>Capacity_Reservations!F215</f>
        <v/>
      </c>
      <c r="G215" s="47">
        <f>Capacity_Reservations!I215</f>
        <v/>
      </c>
      <c r="H215" s="47">
        <f>Capacity_Reservations!J215</f>
        <v/>
      </c>
      <c r="I215" s="47">
        <f>Capacity_Reservations!K215</f>
        <v/>
      </c>
      <c r="J215" s="47">
        <f>Capacity_Reservations!L215</f>
        <v/>
      </c>
      <c r="K215" s="24">
        <f>IF(Allocation!$C$14&lt;&gt;1,0,IF(D215="Prod",IF(B215=Allocation!$C$9,SUMIF(Request!$A$13:$A$20,E215,Request!$D$13:$D$20),0),IF(D215="NonProd",IF(B215=Allocation!$C$10,SUMIF(Request!$A$13:$A$20,E215,Request!$D$13:$D$20),0),IF(AND(D215="DR",B215=Allocation!$C$11),ROUND(SUMIF(Request!$A$13:$A$20,E215,Request!$D$13:$D$20)*Policy!$B$15,0),0))))</f>
        <v/>
      </c>
      <c r="L215" s="24">
        <f>G215+K215</f>
        <v/>
      </c>
      <c r="M215" s="24">
        <f>MAX(0,J215-K215)</f>
        <v/>
      </c>
      <c r="N215" s="24">
        <f>MAX(0,K215-J215)</f>
        <v/>
      </c>
      <c r="O215" s="24">
        <f>L215+H215</f>
        <v/>
      </c>
      <c r="P215" s="25">
        <f>IF(K215=0,"",IF(N215&gt;0,"Request exceeded free cores","Placed"))</f>
        <v/>
      </c>
    </row>
    <row r="216">
      <c r="A216" s="32">
        <f>Capacity_Reservations!A216</f>
        <v/>
      </c>
      <c r="B216" s="32">
        <f>Capacity_Reservations!B216</f>
        <v/>
      </c>
      <c r="C216" s="33">
        <f>Capacity_Reservations!C216</f>
        <v/>
      </c>
      <c r="D216" s="33">
        <f>Capacity_Reservations!D216</f>
        <v/>
      </c>
      <c r="E216" s="32">
        <f>Capacity_Reservations!E216</f>
        <v/>
      </c>
      <c r="F216" s="33">
        <f>Capacity_Reservations!F216</f>
        <v/>
      </c>
      <c r="G216" s="47">
        <f>Capacity_Reservations!I216</f>
        <v/>
      </c>
      <c r="H216" s="47">
        <f>Capacity_Reservations!J216</f>
        <v/>
      </c>
      <c r="I216" s="47">
        <f>Capacity_Reservations!K216</f>
        <v/>
      </c>
      <c r="J216" s="47">
        <f>Capacity_Reservations!L216</f>
        <v/>
      </c>
      <c r="K216" s="24">
        <f>IF(Allocation!$C$14&lt;&gt;1,0,IF(D216="Prod",IF(B216=Allocation!$C$9,SUMIF(Request!$A$13:$A$20,E216,Request!$D$13:$D$20),0),IF(D216="NonProd",IF(B216=Allocation!$C$10,SUMIF(Request!$A$13:$A$20,E216,Request!$D$13:$D$20),0),IF(AND(D216="DR",B216=Allocation!$C$11),ROUND(SUMIF(Request!$A$13:$A$20,E216,Request!$D$13:$D$20)*Policy!$B$15,0),0))))</f>
        <v/>
      </c>
      <c r="L216" s="24">
        <f>G216+K216</f>
        <v/>
      </c>
      <c r="M216" s="24">
        <f>MAX(0,J216-K216)</f>
        <v/>
      </c>
      <c r="N216" s="24">
        <f>MAX(0,K216-J216)</f>
        <v/>
      </c>
      <c r="O216" s="24">
        <f>L216+H216</f>
        <v/>
      </c>
      <c r="P216" s="25">
        <f>IF(K216=0,"",IF(N216&gt;0,"Request exceeded free cores","Placed"))</f>
        <v/>
      </c>
    </row>
    <row r="217">
      <c r="A217" s="32">
        <f>Capacity_Reservations!A217</f>
        <v/>
      </c>
      <c r="B217" s="32">
        <f>Capacity_Reservations!B217</f>
        <v/>
      </c>
      <c r="C217" s="33">
        <f>Capacity_Reservations!C217</f>
        <v/>
      </c>
      <c r="D217" s="33">
        <f>Capacity_Reservations!D217</f>
        <v/>
      </c>
      <c r="E217" s="32">
        <f>Capacity_Reservations!E217</f>
        <v/>
      </c>
      <c r="F217" s="33">
        <f>Capacity_Reservations!F217</f>
        <v/>
      </c>
      <c r="G217" s="47">
        <f>Capacity_Reservations!I217</f>
        <v/>
      </c>
      <c r="H217" s="47">
        <f>Capacity_Reservations!J217</f>
        <v/>
      </c>
      <c r="I217" s="47">
        <f>Capacity_Reservations!K217</f>
        <v/>
      </c>
      <c r="J217" s="47">
        <f>Capacity_Reservations!L217</f>
        <v/>
      </c>
      <c r="K217" s="24">
        <f>IF(Allocation!$C$14&lt;&gt;1,0,IF(D217="Prod",IF(B217=Allocation!$C$9,SUMIF(Request!$A$13:$A$20,E217,Request!$D$13:$D$20),0),IF(D217="NonProd",IF(B217=Allocation!$C$10,SUMIF(Request!$A$13:$A$20,E217,Request!$D$13:$D$20),0),IF(AND(D217="DR",B217=Allocation!$C$11),ROUND(SUMIF(Request!$A$13:$A$20,E217,Request!$D$13:$D$20)*Policy!$B$15,0),0))))</f>
        <v/>
      </c>
      <c r="L217" s="24">
        <f>G217+K217</f>
        <v/>
      </c>
      <c r="M217" s="24">
        <f>MAX(0,J217-K217)</f>
        <v/>
      </c>
      <c r="N217" s="24">
        <f>MAX(0,K217-J217)</f>
        <v/>
      </c>
      <c r="O217" s="24">
        <f>L217+H217</f>
        <v/>
      </c>
      <c r="P217" s="25">
        <f>IF(K217=0,"",IF(N217&gt;0,"Request exceeded free cores","Placed"))</f>
        <v/>
      </c>
    </row>
    <row r="218">
      <c r="A218" s="32">
        <f>Capacity_Reservations!A218</f>
        <v/>
      </c>
      <c r="B218" s="32">
        <f>Capacity_Reservations!B218</f>
        <v/>
      </c>
      <c r="C218" s="33">
        <f>Capacity_Reservations!C218</f>
        <v/>
      </c>
      <c r="D218" s="33">
        <f>Capacity_Reservations!D218</f>
        <v/>
      </c>
      <c r="E218" s="32">
        <f>Capacity_Reservations!E218</f>
        <v/>
      </c>
      <c r="F218" s="33">
        <f>Capacity_Reservations!F218</f>
        <v/>
      </c>
      <c r="G218" s="47">
        <f>Capacity_Reservations!I218</f>
        <v/>
      </c>
      <c r="H218" s="47">
        <f>Capacity_Reservations!J218</f>
        <v/>
      </c>
      <c r="I218" s="47">
        <f>Capacity_Reservations!K218</f>
        <v/>
      </c>
      <c r="J218" s="47">
        <f>Capacity_Reservations!L218</f>
        <v/>
      </c>
      <c r="K218" s="24">
        <f>IF(Allocation!$C$14&lt;&gt;1,0,IF(D218="Prod",IF(B218=Allocation!$C$9,SUMIF(Request!$A$13:$A$20,E218,Request!$D$13:$D$20),0),IF(D218="NonProd",IF(B218=Allocation!$C$10,SUMIF(Request!$A$13:$A$20,E218,Request!$D$13:$D$20),0),IF(AND(D218="DR",B218=Allocation!$C$11),ROUND(SUMIF(Request!$A$13:$A$20,E218,Request!$D$13:$D$20)*Policy!$B$15,0),0))))</f>
        <v/>
      </c>
      <c r="L218" s="24">
        <f>G218+K218</f>
        <v/>
      </c>
      <c r="M218" s="24">
        <f>MAX(0,J218-K218)</f>
        <v/>
      </c>
      <c r="N218" s="24">
        <f>MAX(0,K218-J218)</f>
        <v/>
      </c>
      <c r="O218" s="24">
        <f>L218+H218</f>
        <v/>
      </c>
      <c r="P218" s="25">
        <f>IF(K218=0,"",IF(N218&gt;0,"Request exceeded free cores","Placed"))</f>
        <v/>
      </c>
    </row>
    <row r="219">
      <c r="A219" s="32">
        <f>Capacity_Reservations!A219</f>
        <v/>
      </c>
      <c r="B219" s="32">
        <f>Capacity_Reservations!B219</f>
        <v/>
      </c>
      <c r="C219" s="33">
        <f>Capacity_Reservations!C219</f>
        <v/>
      </c>
      <c r="D219" s="33">
        <f>Capacity_Reservations!D219</f>
        <v/>
      </c>
      <c r="E219" s="32">
        <f>Capacity_Reservations!E219</f>
        <v/>
      </c>
      <c r="F219" s="33">
        <f>Capacity_Reservations!F219</f>
        <v/>
      </c>
      <c r="G219" s="47">
        <f>Capacity_Reservations!I219</f>
        <v/>
      </c>
      <c r="H219" s="47">
        <f>Capacity_Reservations!J219</f>
        <v/>
      </c>
      <c r="I219" s="47">
        <f>Capacity_Reservations!K219</f>
        <v/>
      </c>
      <c r="J219" s="47">
        <f>Capacity_Reservations!L219</f>
        <v/>
      </c>
      <c r="K219" s="24">
        <f>IF(Allocation!$C$14&lt;&gt;1,0,IF(D219="Prod",IF(B219=Allocation!$C$9,SUMIF(Request!$A$13:$A$20,E219,Request!$D$13:$D$20),0),IF(D219="NonProd",IF(B219=Allocation!$C$10,SUMIF(Request!$A$13:$A$20,E219,Request!$D$13:$D$20),0),IF(AND(D219="DR",B219=Allocation!$C$11),ROUND(SUMIF(Request!$A$13:$A$20,E219,Request!$D$13:$D$20)*Policy!$B$15,0),0))))</f>
        <v/>
      </c>
      <c r="L219" s="24">
        <f>G219+K219</f>
        <v/>
      </c>
      <c r="M219" s="24">
        <f>MAX(0,J219-K219)</f>
        <v/>
      </c>
      <c r="N219" s="24">
        <f>MAX(0,K219-J219)</f>
        <v/>
      </c>
      <c r="O219" s="24">
        <f>L219+H219</f>
        <v/>
      </c>
      <c r="P219" s="25">
        <f>IF(K219=0,"",IF(N219&gt;0,"Request exceeded free cores","Placed"))</f>
        <v/>
      </c>
    </row>
    <row r="220">
      <c r="A220" s="32">
        <f>Capacity_Reservations!A220</f>
        <v/>
      </c>
      <c r="B220" s="32">
        <f>Capacity_Reservations!B220</f>
        <v/>
      </c>
      <c r="C220" s="33">
        <f>Capacity_Reservations!C220</f>
        <v/>
      </c>
      <c r="D220" s="33">
        <f>Capacity_Reservations!D220</f>
        <v/>
      </c>
      <c r="E220" s="32">
        <f>Capacity_Reservations!E220</f>
        <v/>
      </c>
      <c r="F220" s="33">
        <f>Capacity_Reservations!F220</f>
        <v/>
      </c>
      <c r="G220" s="47">
        <f>Capacity_Reservations!I220</f>
        <v/>
      </c>
      <c r="H220" s="47">
        <f>Capacity_Reservations!J220</f>
        <v/>
      </c>
      <c r="I220" s="47">
        <f>Capacity_Reservations!K220</f>
        <v/>
      </c>
      <c r="J220" s="47">
        <f>Capacity_Reservations!L220</f>
        <v/>
      </c>
      <c r="K220" s="24">
        <f>IF(Allocation!$C$14&lt;&gt;1,0,IF(D220="Prod",IF(B220=Allocation!$C$9,SUMIF(Request!$A$13:$A$20,E220,Request!$D$13:$D$20),0),IF(D220="NonProd",IF(B220=Allocation!$C$10,SUMIF(Request!$A$13:$A$20,E220,Request!$D$13:$D$20),0),IF(AND(D220="DR",B220=Allocation!$C$11),ROUND(SUMIF(Request!$A$13:$A$20,E220,Request!$D$13:$D$20)*Policy!$B$15,0),0))))</f>
        <v/>
      </c>
      <c r="L220" s="24">
        <f>G220+K220</f>
        <v/>
      </c>
      <c r="M220" s="24">
        <f>MAX(0,J220-K220)</f>
        <v/>
      </c>
      <c r="N220" s="24">
        <f>MAX(0,K220-J220)</f>
        <v/>
      </c>
      <c r="O220" s="24">
        <f>L220+H220</f>
        <v/>
      </c>
      <c r="P220" s="25">
        <f>IF(K220=0,"",IF(N220&gt;0,"Request exceeded free cores","Placed"))</f>
        <v/>
      </c>
    </row>
    <row r="221">
      <c r="A221" s="32">
        <f>Capacity_Reservations!A221</f>
        <v/>
      </c>
      <c r="B221" s="32">
        <f>Capacity_Reservations!B221</f>
        <v/>
      </c>
      <c r="C221" s="33">
        <f>Capacity_Reservations!C221</f>
        <v/>
      </c>
      <c r="D221" s="33">
        <f>Capacity_Reservations!D221</f>
        <v/>
      </c>
      <c r="E221" s="32">
        <f>Capacity_Reservations!E221</f>
        <v/>
      </c>
      <c r="F221" s="33">
        <f>Capacity_Reservations!F221</f>
        <v/>
      </c>
      <c r="G221" s="47">
        <f>Capacity_Reservations!I221</f>
        <v/>
      </c>
      <c r="H221" s="47">
        <f>Capacity_Reservations!J221</f>
        <v/>
      </c>
      <c r="I221" s="47">
        <f>Capacity_Reservations!K221</f>
        <v/>
      </c>
      <c r="J221" s="47">
        <f>Capacity_Reservations!L221</f>
        <v/>
      </c>
      <c r="K221" s="24">
        <f>IF(Allocation!$C$14&lt;&gt;1,0,IF(D221="Prod",IF(B221=Allocation!$C$9,SUMIF(Request!$A$13:$A$20,E221,Request!$D$13:$D$20),0),IF(D221="NonProd",IF(B221=Allocation!$C$10,SUMIF(Request!$A$13:$A$20,E221,Request!$D$13:$D$20),0),IF(AND(D221="DR",B221=Allocation!$C$11),ROUND(SUMIF(Request!$A$13:$A$20,E221,Request!$D$13:$D$20)*Policy!$B$15,0),0))))</f>
        <v/>
      </c>
      <c r="L221" s="24">
        <f>G221+K221</f>
        <v/>
      </c>
      <c r="M221" s="24">
        <f>MAX(0,J221-K221)</f>
        <v/>
      </c>
      <c r="N221" s="24">
        <f>MAX(0,K221-J221)</f>
        <v/>
      </c>
      <c r="O221" s="24">
        <f>L221+H221</f>
        <v/>
      </c>
      <c r="P221" s="25">
        <f>IF(K221=0,"",IF(N221&gt;0,"Request exceeded free cores","Placed"))</f>
        <v/>
      </c>
    </row>
    <row r="222">
      <c r="A222" s="32">
        <f>Capacity_Reservations!A222</f>
        <v/>
      </c>
      <c r="B222" s="32">
        <f>Capacity_Reservations!B222</f>
        <v/>
      </c>
      <c r="C222" s="33">
        <f>Capacity_Reservations!C222</f>
        <v/>
      </c>
      <c r="D222" s="33">
        <f>Capacity_Reservations!D222</f>
        <v/>
      </c>
      <c r="E222" s="32">
        <f>Capacity_Reservations!E222</f>
        <v/>
      </c>
      <c r="F222" s="33">
        <f>Capacity_Reservations!F222</f>
        <v/>
      </c>
      <c r="G222" s="47">
        <f>Capacity_Reservations!I222</f>
        <v/>
      </c>
      <c r="H222" s="47">
        <f>Capacity_Reservations!J222</f>
        <v/>
      </c>
      <c r="I222" s="47">
        <f>Capacity_Reservations!K222</f>
        <v/>
      </c>
      <c r="J222" s="47">
        <f>Capacity_Reservations!L222</f>
        <v/>
      </c>
      <c r="K222" s="24">
        <f>IF(Allocation!$C$14&lt;&gt;1,0,IF(D222="Prod",IF(B222=Allocation!$C$9,SUMIF(Request!$A$13:$A$20,E222,Request!$D$13:$D$20),0),IF(D222="NonProd",IF(B222=Allocation!$C$10,SUMIF(Request!$A$13:$A$20,E222,Request!$D$13:$D$20),0),IF(AND(D222="DR",B222=Allocation!$C$11),ROUND(SUMIF(Request!$A$13:$A$20,E222,Request!$D$13:$D$20)*Policy!$B$15,0),0))))</f>
        <v/>
      </c>
      <c r="L222" s="24">
        <f>G222+K222</f>
        <v/>
      </c>
      <c r="M222" s="24">
        <f>MAX(0,J222-K222)</f>
        <v/>
      </c>
      <c r="N222" s="24">
        <f>MAX(0,K222-J222)</f>
        <v/>
      </c>
      <c r="O222" s="24">
        <f>L222+H222</f>
        <v/>
      </c>
      <c r="P222" s="25">
        <f>IF(K222=0,"",IF(N222&gt;0,"Request exceeded free cores","Placed"))</f>
        <v/>
      </c>
    </row>
    <row r="223">
      <c r="A223" s="32">
        <f>Capacity_Reservations!A223</f>
        <v/>
      </c>
      <c r="B223" s="32">
        <f>Capacity_Reservations!B223</f>
        <v/>
      </c>
      <c r="C223" s="33">
        <f>Capacity_Reservations!C223</f>
        <v/>
      </c>
      <c r="D223" s="33">
        <f>Capacity_Reservations!D223</f>
        <v/>
      </c>
      <c r="E223" s="32">
        <f>Capacity_Reservations!E223</f>
        <v/>
      </c>
      <c r="F223" s="33">
        <f>Capacity_Reservations!F223</f>
        <v/>
      </c>
      <c r="G223" s="47">
        <f>Capacity_Reservations!I223</f>
        <v/>
      </c>
      <c r="H223" s="47">
        <f>Capacity_Reservations!J223</f>
        <v/>
      </c>
      <c r="I223" s="47">
        <f>Capacity_Reservations!K223</f>
        <v/>
      </c>
      <c r="J223" s="47">
        <f>Capacity_Reservations!L223</f>
        <v/>
      </c>
      <c r="K223" s="24">
        <f>IF(Allocation!$C$14&lt;&gt;1,0,IF(D223="Prod",IF(B223=Allocation!$C$9,SUMIF(Request!$A$13:$A$20,E223,Request!$D$13:$D$20),0),IF(D223="NonProd",IF(B223=Allocation!$C$10,SUMIF(Request!$A$13:$A$20,E223,Request!$D$13:$D$20),0),IF(AND(D223="DR",B223=Allocation!$C$11),ROUND(SUMIF(Request!$A$13:$A$20,E223,Request!$D$13:$D$20)*Policy!$B$15,0),0))))</f>
        <v/>
      </c>
      <c r="L223" s="24">
        <f>G223+K223</f>
        <v/>
      </c>
      <c r="M223" s="24">
        <f>MAX(0,J223-K223)</f>
        <v/>
      </c>
      <c r="N223" s="24">
        <f>MAX(0,K223-J223)</f>
        <v/>
      </c>
      <c r="O223" s="24">
        <f>L223+H223</f>
        <v/>
      </c>
      <c r="P223" s="25">
        <f>IF(K223=0,"",IF(N223&gt;0,"Request exceeded free cores","Placed"))</f>
        <v/>
      </c>
    </row>
    <row r="224">
      <c r="A224" s="32">
        <f>Capacity_Reservations!A224</f>
        <v/>
      </c>
      <c r="B224" s="32">
        <f>Capacity_Reservations!B224</f>
        <v/>
      </c>
      <c r="C224" s="33">
        <f>Capacity_Reservations!C224</f>
        <v/>
      </c>
      <c r="D224" s="33">
        <f>Capacity_Reservations!D224</f>
        <v/>
      </c>
      <c r="E224" s="32">
        <f>Capacity_Reservations!E224</f>
        <v/>
      </c>
      <c r="F224" s="33">
        <f>Capacity_Reservations!F224</f>
        <v/>
      </c>
      <c r="G224" s="47">
        <f>Capacity_Reservations!I224</f>
        <v/>
      </c>
      <c r="H224" s="47">
        <f>Capacity_Reservations!J224</f>
        <v/>
      </c>
      <c r="I224" s="47">
        <f>Capacity_Reservations!K224</f>
        <v/>
      </c>
      <c r="J224" s="47">
        <f>Capacity_Reservations!L224</f>
        <v/>
      </c>
      <c r="K224" s="24">
        <f>IF(Allocation!$C$14&lt;&gt;1,0,IF(D224="Prod",IF(B224=Allocation!$C$9,SUMIF(Request!$A$13:$A$20,E224,Request!$D$13:$D$20),0),IF(D224="NonProd",IF(B224=Allocation!$C$10,SUMIF(Request!$A$13:$A$20,E224,Request!$D$13:$D$20),0),IF(AND(D224="DR",B224=Allocation!$C$11),ROUND(SUMIF(Request!$A$13:$A$20,E224,Request!$D$13:$D$20)*Policy!$B$15,0),0))))</f>
        <v/>
      </c>
      <c r="L224" s="24">
        <f>G224+K224</f>
        <v/>
      </c>
      <c r="M224" s="24">
        <f>MAX(0,J224-K224)</f>
        <v/>
      </c>
      <c r="N224" s="24">
        <f>MAX(0,K224-J224)</f>
        <v/>
      </c>
      <c r="O224" s="24">
        <f>L224+H224</f>
        <v/>
      </c>
      <c r="P224" s="25">
        <f>IF(K224=0,"",IF(N224&gt;0,"Request exceeded free cores","Placed"))</f>
        <v/>
      </c>
    </row>
    <row r="225">
      <c r="A225" s="32">
        <f>Capacity_Reservations!A225</f>
        <v/>
      </c>
      <c r="B225" s="32">
        <f>Capacity_Reservations!B225</f>
        <v/>
      </c>
      <c r="C225" s="33">
        <f>Capacity_Reservations!C225</f>
        <v/>
      </c>
      <c r="D225" s="33">
        <f>Capacity_Reservations!D225</f>
        <v/>
      </c>
      <c r="E225" s="32">
        <f>Capacity_Reservations!E225</f>
        <v/>
      </c>
      <c r="F225" s="33">
        <f>Capacity_Reservations!F225</f>
        <v/>
      </c>
      <c r="G225" s="47">
        <f>Capacity_Reservations!I225</f>
        <v/>
      </c>
      <c r="H225" s="47">
        <f>Capacity_Reservations!J225</f>
        <v/>
      </c>
      <c r="I225" s="47">
        <f>Capacity_Reservations!K225</f>
        <v/>
      </c>
      <c r="J225" s="47">
        <f>Capacity_Reservations!L225</f>
        <v/>
      </c>
      <c r="K225" s="24">
        <f>IF(Allocation!$C$14&lt;&gt;1,0,IF(D225="Prod",IF(B225=Allocation!$C$9,SUMIF(Request!$A$13:$A$20,E225,Request!$D$13:$D$20),0),IF(D225="NonProd",IF(B225=Allocation!$C$10,SUMIF(Request!$A$13:$A$20,E225,Request!$D$13:$D$20),0),IF(AND(D225="DR",B225=Allocation!$C$11),ROUND(SUMIF(Request!$A$13:$A$20,E225,Request!$D$13:$D$20)*Policy!$B$15,0),0))))</f>
        <v/>
      </c>
      <c r="L225" s="24">
        <f>G225+K225</f>
        <v/>
      </c>
      <c r="M225" s="24">
        <f>MAX(0,J225-K225)</f>
        <v/>
      </c>
      <c r="N225" s="24">
        <f>MAX(0,K225-J225)</f>
        <v/>
      </c>
      <c r="O225" s="24">
        <f>L225+H225</f>
        <v/>
      </c>
      <c r="P225" s="25">
        <f>IF(K225=0,"",IF(N225&gt;0,"Request exceeded free cores","Placed"))</f>
        <v/>
      </c>
    </row>
    <row r="226">
      <c r="A226" s="32">
        <f>Capacity_Reservations!A226</f>
        <v/>
      </c>
      <c r="B226" s="32">
        <f>Capacity_Reservations!B226</f>
        <v/>
      </c>
      <c r="C226" s="33">
        <f>Capacity_Reservations!C226</f>
        <v/>
      </c>
      <c r="D226" s="33">
        <f>Capacity_Reservations!D226</f>
        <v/>
      </c>
      <c r="E226" s="32">
        <f>Capacity_Reservations!E226</f>
        <v/>
      </c>
      <c r="F226" s="33">
        <f>Capacity_Reservations!F226</f>
        <v/>
      </c>
      <c r="G226" s="47">
        <f>Capacity_Reservations!I226</f>
        <v/>
      </c>
      <c r="H226" s="47">
        <f>Capacity_Reservations!J226</f>
        <v/>
      </c>
      <c r="I226" s="47">
        <f>Capacity_Reservations!K226</f>
        <v/>
      </c>
      <c r="J226" s="47">
        <f>Capacity_Reservations!L226</f>
        <v/>
      </c>
      <c r="K226" s="24">
        <f>IF(Allocation!$C$14&lt;&gt;1,0,IF(D226="Prod",IF(B226=Allocation!$C$9,SUMIF(Request!$A$13:$A$20,E226,Request!$D$13:$D$20),0),IF(D226="NonProd",IF(B226=Allocation!$C$10,SUMIF(Request!$A$13:$A$20,E226,Request!$D$13:$D$20),0),IF(AND(D226="DR",B226=Allocation!$C$11),ROUND(SUMIF(Request!$A$13:$A$20,E226,Request!$D$13:$D$20)*Policy!$B$15,0),0))))</f>
        <v/>
      </c>
      <c r="L226" s="24">
        <f>G226+K226</f>
        <v/>
      </c>
      <c r="M226" s="24">
        <f>MAX(0,J226-K226)</f>
        <v/>
      </c>
      <c r="N226" s="24">
        <f>MAX(0,K226-J226)</f>
        <v/>
      </c>
      <c r="O226" s="24">
        <f>L226+H226</f>
        <v/>
      </c>
      <c r="P226" s="25">
        <f>IF(K226=0,"",IF(N226&gt;0,"Request exceeded free cores","Placed"))</f>
        <v/>
      </c>
    </row>
    <row r="227">
      <c r="A227" s="32">
        <f>Capacity_Reservations!A227</f>
        <v/>
      </c>
      <c r="B227" s="32">
        <f>Capacity_Reservations!B227</f>
        <v/>
      </c>
      <c r="C227" s="33">
        <f>Capacity_Reservations!C227</f>
        <v/>
      </c>
      <c r="D227" s="33">
        <f>Capacity_Reservations!D227</f>
        <v/>
      </c>
      <c r="E227" s="32">
        <f>Capacity_Reservations!E227</f>
        <v/>
      </c>
      <c r="F227" s="33">
        <f>Capacity_Reservations!F227</f>
        <v/>
      </c>
      <c r="G227" s="47">
        <f>Capacity_Reservations!I227</f>
        <v/>
      </c>
      <c r="H227" s="47">
        <f>Capacity_Reservations!J227</f>
        <v/>
      </c>
      <c r="I227" s="47">
        <f>Capacity_Reservations!K227</f>
        <v/>
      </c>
      <c r="J227" s="47">
        <f>Capacity_Reservations!L227</f>
        <v/>
      </c>
      <c r="K227" s="24">
        <f>IF(Allocation!$C$14&lt;&gt;1,0,IF(D227="Prod",IF(B227=Allocation!$C$9,SUMIF(Request!$A$13:$A$20,E227,Request!$D$13:$D$20),0),IF(D227="NonProd",IF(B227=Allocation!$C$10,SUMIF(Request!$A$13:$A$20,E227,Request!$D$13:$D$20),0),IF(AND(D227="DR",B227=Allocation!$C$11),ROUND(SUMIF(Request!$A$13:$A$20,E227,Request!$D$13:$D$20)*Policy!$B$15,0),0))))</f>
        <v/>
      </c>
      <c r="L227" s="24">
        <f>G227+K227</f>
        <v/>
      </c>
      <c r="M227" s="24">
        <f>MAX(0,J227-K227)</f>
        <v/>
      </c>
      <c r="N227" s="24">
        <f>MAX(0,K227-J227)</f>
        <v/>
      </c>
      <c r="O227" s="24">
        <f>L227+H227</f>
        <v/>
      </c>
      <c r="P227" s="25">
        <f>IF(K227=0,"",IF(N227&gt;0,"Request exceeded free cores","Placed"))</f>
        <v/>
      </c>
    </row>
    <row r="228">
      <c r="A228" s="32">
        <f>Capacity_Reservations!A228</f>
        <v/>
      </c>
      <c r="B228" s="32">
        <f>Capacity_Reservations!B228</f>
        <v/>
      </c>
      <c r="C228" s="33">
        <f>Capacity_Reservations!C228</f>
        <v/>
      </c>
      <c r="D228" s="33">
        <f>Capacity_Reservations!D228</f>
        <v/>
      </c>
      <c r="E228" s="32">
        <f>Capacity_Reservations!E228</f>
        <v/>
      </c>
      <c r="F228" s="33">
        <f>Capacity_Reservations!F228</f>
        <v/>
      </c>
      <c r="G228" s="47">
        <f>Capacity_Reservations!I228</f>
        <v/>
      </c>
      <c r="H228" s="47">
        <f>Capacity_Reservations!J228</f>
        <v/>
      </c>
      <c r="I228" s="47">
        <f>Capacity_Reservations!K228</f>
        <v/>
      </c>
      <c r="J228" s="47">
        <f>Capacity_Reservations!L228</f>
        <v/>
      </c>
      <c r="K228" s="24">
        <f>IF(Allocation!$C$14&lt;&gt;1,0,IF(D228="Prod",IF(B228=Allocation!$C$9,SUMIF(Request!$A$13:$A$20,E228,Request!$D$13:$D$20),0),IF(D228="NonProd",IF(B228=Allocation!$C$10,SUMIF(Request!$A$13:$A$20,E228,Request!$D$13:$D$20),0),IF(AND(D228="DR",B228=Allocation!$C$11),ROUND(SUMIF(Request!$A$13:$A$20,E228,Request!$D$13:$D$20)*Policy!$B$15,0),0))))</f>
        <v/>
      </c>
      <c r="L228" s="24">
        <f>G228+K228</f>
        <v/>
      </c>
      <c r="M228" s="24">
        <f>MAX(0,J228-K228)</f>
        <v/>
      </c>
      <c r="N228" s="24">
        <f>MAX(0,K228-J228)</f>
        <v/>
      </c>
      <c r="O228" s="24">
        <f>L228+H228</f>
        <v/>
      </c>
      <c r="P228" s="25">
        <f>IF(K228=0,"",IF(N228&gt;0,"Request exceeded free cores","Placed"))</f>
        <v/>
      </c>
    </row>
    <row r="229">
      <c r="A229" s="32">
        <f>Capacity_Reservations!A229</f>
        <v/>
      </c>
      <c r="B229" s="32">
        <f>Capacity_Reservations!B229</f>
        <v/>
      </c>
      <c r="C229" s="33">
        <f>Capacity_Reservations!C229</f>
        <v/>
      </c>
      <c r="D229" s="33">
        <f>Capacity_Reservations!D229</f>
        <v/>
      </c>
      <c r="E229" s="32">
        <f>Capacity_Reservations!E229</f>
        <v/>
      </c>
      <c r="F229" s="33">
        <f>Capacity_Reservations!F229</f>
        <v/>
      </c>
      <c r="G229" s="47">
        <f>Capacity_Reservations!I229</f>
        <v/>
      </c>
      <c r="H229" s="47">
        <f>Capacity_Reservations!J229</f>
        <v/>
      </c>
      <c r="I229" s="47">
        <f>Capacity_Reservations!K229</f>
        <v/>
      </c>
      <c r="J229" s="47">
        <f>Capacity_Reservations!L229</f>
        <v/>
      </c>
      <c r="K229" s="24">
        <f>IF(Allocation!$C$14&lt;&gt;1,0,IF(D229="Prod",IF(B229=Allocation!$C$9,SUMIF(Request!$A$13:$A$20,E229,Request!$D$13:$D$20),0),IF(D229="NonProd",IF(B229=Allocation!$C$10,SUMIF(Request!$A$13:$A$20,E229,Request!$D$13:$D$20),0),IF(AND(D229="DR",B229=Allocation!$C$11),ROUND(SUMIF(Request!$A$13:$A$20,E229,Request!$D$13:$D$20)*Policy!$B$15,0),0))))</f>
        <v/>
      </c>
      <c r="L229" s="24">
        <f>G229+K229</f>
        <v/>
      </c>
      <c r="M229" s="24">
        <f>MAX(0,J229-K229)</f>
        <v/>
      </c>
      <c r="N229" s="24">
        <f>MAX(0,K229-J229)</f>
        <v/>
      </c>
      <c r="O229" s="24">
        <f>L229+H229</f>
        <v/>
      </c>
      <c r="P229" s="25">
        <f>IF(K229=0,"",IF(N229&gt;0,"Request exceeded free cores","Placed"))</f>
        <v/>
      </c>
    </row>
    <row r="230">
      <c r="A230" s="32">
        <f>Capacity_Reservations!A230</f>
        <v/>
      </c>
      <c r="B230" s="32">
        <f>Capacity_Reservations!B230</f>
        <v/>
      </c>
      <c r="C230" s="33">
        <f>Capacity_Reservations!C230</f>
        <v/>
      </c>
      <c r="D230" s="33">
        <f>Capacity_Reservations!D230</f>
        <v/>
      </c>
      <c r="E230" s="32">
        <f>Capacity_Reservations!E230</f>
        <v/>
      </c>
      <c r="F230" s="33">
        <f>Capacity_Reservations!F230</f>
        <v/>
      </c>
      <c r="G230" s="47">
        <f>Capacity_Reservations!I230</f>
        <v/>
      </c>
      <c r="H230" s="47">
        <f>Capacity_Reservations!J230</f>
        <v/>
      </c>
      <c r="I230" s="47">
        <f>Capacity_Reservations!K230</f>
        <v/>
      </c>
      <c r="J230" s="47">
        <f>Capacity_Reservations!L230</f>
        <v/>
      </c>
      <c r="K230" s="24">
        <f>IF(Allocation!$C$14&lt;&gt;1,0,IF(D230="Prod",IF(B230=Allocation!$C$9,SUMIF(Request!$A$13:$A$20,E230,Request!$D$13:$D$20),0),IF(D230="NonProd",IF(B230=Allocation!$C$10,SUMIF(Request!$A$13:$A$20,E230,Request!$D$13:$D$20),0),IF(AND(D230="DR",B230=Allocation!$C$11),ROUND(SUMIF(Request!$A$13:$A$20,E230,Request!$D$13:$D$20)*Policy!$B$15,0),0))))</f>
        <v/>
      </c>
      <c r="L230" s="24">
        <f>G230+K230</f>
        <v/>
      </c>
      <c r="M230" s="24">
        <f>MAX(0,J230-K230)</f>
        <v/>
      </c>
      <c r="N230" s="24">
        <f>MAX(0,K230-J230)</f>
        <v/>
      </c>
      <c r="O230" s="24">
        <f>L230+H230</f>
        <v/>
      </c>
      <c r="P230" s="25">
        <f>IF(K230=0,"",IF(N230&gt;0,"Request exceeded free cores","Placed"))</f>
        <v/>
      </c>
    </row>
    <row r="231">
      <c r="A231" s="32">
        <f>Capacity_Reservations!A231</f>
        <v/>
      </c>
      <c r="B231" s="32">
        <f>Capacity_Reservations!B231</f>
        <v/>
      </c>
      <c r="C231" s="33">
        <f>Capacity_Reservations!C231</f>
        <v/>
      </c>
      <c r="D231" s="33">
        <f>Capacity_Reservations!D231</f>
        <v/>
      </c>
      <c r="E231" s="32">
        <f>Capacity_Reservations!E231</f>
        <v/>
      </c>
      <c r="F231" s="33">
        <f>Capacity_Reservations!F231</f>
        <v/>
      </c>
      <c r="G231" s="47">
        <f>Capacity_Reservations!I231</f>
        <v/>
      </c>
      <c r="H231" s="47">
        <f>Capacity_Reservations!J231</f>
        <v/>
      </c>
      <c r="I231" s="47">
        <f>Capacity_Reservations!K231</f>
        <v/>
      </c>
      <c r="J231" s="47">
        <f>Capacity_Reservations!L231</f>
        <v/>
      </c>
      <c r="K231" s="24">
        <f>IF(Allocation!$C$14&lt;&gt;1,0,IF(D231="Prod",IF(B231=Allocation!$C$9,SUMIF(Request!$A$13:$A$20,E231,Request!$D$13:$D$20),0),IF(D231="NonProd",IF(B231=Allocation!$C$10,SUMIF(Request!$A$13:$A$20,E231,Request!$D$13:$D$20),0),IF(AND(D231="DR",B231=Allocation!$C$11),ROUND(SUMIF(Request!$A$13:$A$20,E231,Request!$D$13:$D$20)*Policy!$B$15,0),0))))</f>
        <v/>
      </c>
      <c r="L231" s="24">
        <f>G231+K231</f>
        <v/>
      </c>
      <c r="M231" s="24">
        <f>MAX(0,J231-K231)</f>
        <v/>
      </c>
      <c r="N231" s="24">
        <f>MAX(0,K231-J231)</f>
        <v/>
      </c>
      <c r="O231" s="24">
        <f>L231+H231</f>
        <v/>
      </c>
      <c r="P231" s="25">
        <f>IF(K231=0,"",IF(N231&gt;0,"Request exceeded free cores","Placed"))</f>
        <v/>
      </c>
    </row>
    <row r="232">
      <c r="A232" s="32">
        <f>Capacity_Reservations!A232</f>
        <v/>
      </c>
      <c r="B232" s="32">
        <f>Capacity_Reservations!B232</f>
        <v/>
      </c>
      <c r="C232" s="33">
        <f>Capacity_Reservations!C232</f>
        <v/>
      </c>
      <c r="D232" s="33">
        <f>Capacity_Reservations!D232</f>
        <v/>
      </c>
      <c r="E232" s="32">
        <f>Capacity_Reservations!E232</f>
        <v/>
      </c>
      <c r="F232" s="33">
        <f>Capacity_Reservations!F232</f>
        <v/>
      </c>
      <c r="G232" s="47">
        <f>Capacity_Reservations!I232</f>
        <v/>
      </c>
      <c r="H232" s="47">
        <f>Capacity_Reservations!J232</f>
        <v/>
      </c>
      <c r="I232" s="47">
        <f>Capacity_Reservations!K232</f>
        <v/>
      </c>
      <c r="J232" s="47">
        <f>Capacity_Reservations!L232</f>
        <v/>
      </c>
      <c r="K232" s="24">
        <f>IF(Allocation!$C$14&lt;&gt;1,0,IF(D232="Prod",IF(B232=Allocation!$C$9,SUMIF(Request!$A$13:$A$20,E232,Request!$D$13:$D$20),0),IF(D232="NonProd",IF(B232=Allocation!$C$10,SUMIF(Request!$A$13:$A$20,E232,Request!$D$13:$D$20),0),IF(AND(D232="DR",B232=Allocation!$C$11),ROUND(SUMIF(Request!$A$13:$A$20,E232,Request!$D$13:$D$20)*Policy!$B$15,0),0))))</f>
        <v/>
      </c>
      <c r="L232" s="24">
        <f>G232+K232</f>
        <v/>
      </c>
      <c r="M232" s="24">
        <f>MAX(0,J232-K232)</f>
        <v/>
      </c>
      <c r="N232" s="24">
        <f>MAX(0,K232-J232)</f>
        <v/>
      </c>
      <c r="O232" s="24">
        <f>L232+H232</f>
        <v/>
      </c>
      <c r="P232" s="25">
        <f>IF(K232=0,"",IF(N232&gt;0,"Request exceeded free cores","Placed"))</f>
        <v/>
      </c>
    </row>
    <row r="233">
      <c r="A233" s="32">
        <f>Capacity_Reservations!A233</f>
        <v/>
      </c>
      <c r="B233" s="32">
        <f>Capacity_Reservations!B233</f>
        <v/>
      </c>
      <c r="C233" s="33">
        <f>Capacity_Reservations!C233</f>
        <v/>
      </c>
      <c r="D233" s="33">
        <f>Capacity_Reservations!D233</f>
        <v/>
      </c>
      <c r="E233" s="32">
        <f>Capacity_Reservations!E233</f>
        <v/>
      </c>
      <c r="F233" s="33">
        <f>Capacity_Reservations!F233</f>
        <v/>
      </c>
      <c r="G233" s="47">
        <f>Capacity_Reservations!I233</f>
        <v/>
      </c>
      <c r="H233" s="47">
        <f>Capacity_Reservations!J233</f>
        <v/>
      </c>
      <c r="I233" s="47">
        <f>Capacity_Reservations!K233</f>
        <v/>
      </c>
      <c r="J233" s="47">
        <f>Capacity_Reservations!L233</f>
        <v/>
      </c>
      <c r="K233" s="24">
        <f>IF(Allocation!$C$14&lt;&gt;1,0,IF(D233="Prod",IF(B233=Allocation!$C$9,SUMIF(Request!$A$13:$A$20,E233,Request!$D$13:$D$20),0),IF(D233="NonProd",IF(B233=Allocation!$C$10,SUMIF(Request!$A$13:$A$20,E233,Request!$D$13:$D$20),0),IF(AND(D233="DR",B233=Allocation!$C$11),ROUND(SUMIF(Request!$A$13:$A$20,E233,Request!$D$13:$D$20)*Policy!$B$15,0),0))))</f>
        <v/>
      </c>
      <c r="L233" s="24">
        <f>G233+K233</f>
        <v/>
      </c>
      <c r="M233" s="24">
        <f>MAX(0,J233-K233)</f>
        <v/>
      </c>
      <c r="N233" s="24">
        <f>MAX(0,K233-J233)</f>
        <v/>
      </c>
      <c r="O233" s="24">
        <f>L233+H233</f>
        <v/>
      </c>
      <c r="P233" s="25">
        <f>IF(K233=0,"",IF(N233&gt;0,"Request exceeded free cores","Placed"))</f>
        <v/>
      </c>
    </row>
    <row r="234">
      <c r="A234" s="32">
        <f>Capacity_Reservations!A234</f>
        <v/>
      </c>
      <c r="B234" s="32">
        <f>Capacity_Reservations!B234</f>
        <v/>
      </c>
      <c r="C234" s="33">
        <f>Capacity_Reservations!C234</f>
        <v/>
      </c>
      <c r="D234" s="33">
        <f>Capacity_Reservations!D234</f>
        <v/>
      </c>
      <c r="E234" s="32">
        <f>Capacity_Reservations!E234</f>
        <v/>
      </c>
      <c r="F234" s="33">
        <f>Capacity_Reservations!F234</f>
        <v/>
      </c>
      <c r="G234" s="47">
        <f>Capacity_Reservations!I234</f>
        <v/>
      </c>
      <c r="H234" s="47">
        <f>Capacity_Reservations!J234</f>
        <v/>
      </c>
      <c r="I234" s="47">
        <f>Capacity_Reservations!K234</f>
        <v/>
      </c>
      <c r="J234" s="47">
        <f>Capacity_Reservations!L234</f>
        <v/>
      </c>
      <c r="K234" s="24">
        <f>IF(Allocation!$C$14&lt;&gt;1,0,IF(D234="Prod",IF(B234=Allocation!$C$9,SUMIF(Request!$A$13:$A$20,E234,Request!$D$13:$D$20),0),IF(D234="NonProd",IF(B234=Allocation!$C$10,SUMIF(Request!$A$13:$A$20,E234,Request!$D$13:$D$20),0),IF(AND(D234="DR",B234=Allocation!$C$11),ROUND(SUMIF(Request!$A$13:$A$20,E234,Request!$D$13:$D$20)*Policy!$B$15,0),0))))</f>
        <v/>
      </c>
      <c r="L234" s="24">
        <f>G234+K234</f>
        <v/>
      </c>
      <c r="M234" s="24">
        <f>MAX(0,J234-K234)</f>
        <v/>
      </c>
      <c r="N234" s="24">
        <f>MAX(0,K234-J234)</f>
        <v/>
      </c>
      <c r="O234" s="24">
        <f>L234+H234</f>
        <v/>
      </c>
      <c r="P234" s="25">
        <f>IF(K234=0,"",IF(N234&gt;0,"Request exceeded free cores","Placed"))</f>
        <v/>
      </c>
    </row>
    <row r="235">
      <c r="A235" s="32">
        <f>Capacity_Reservations!A235</f>
        <v/>
      </c>
      <c r="B235" s="32">
        <f>Capacity_Reservations!B235</f>
        <v/>
      </c>
      <c r="C235" s="33">
        <f>Capacity_Reservations!C235</f>
        <v/>
      </c>
      <c r="D235" s="33">
        <f>Capacity_Reservations!D235</f>
        <v/>
      </c>
      <c r="E235" s="32">
        <f>Capacity_Reservations!E235</f>
        <v/>
      </c>
      <c r="F235" s="33">
        <f>Capacity_Reservations!F235</f>
        <v/>
      </c>
      <c r="G235" s="47">
        <f>Capacity_Reservations!I235</f>
        <v/>
      </c>
      <c r="H235" s="47">
        <f>Capacity_Reservations!J235</f>
        <v/>
      </c>
      <c r="I235" s="47">
        <f>Capacity_Reservations!K235</f>
        <v/>
      </c>
      <c r="J235" s="47">
        <f>Capacity_Reservations!L235</f>
        <v/>
      </c>
      <c r="K235" s="24">
        <f>IF(Allocation!$C$14&lt;&gt;1,0,IF(D235="Prod",IF(B235=Allocation!$C$9,SUMIF(Request!$A$13:$A$20,E235,Request!$D$13:$D$20),0),IF(D235="NonProd",IF(B235=Allocation!$C$10,SUMIF(Request!$A$13:$A$20,E235,Request!$D$13:$D$20),0),IF(AND(D235="DR",B235=Allocation!$C$11),ROUND(SUMIF(Request!$A$13:$A$20,E235,Request!$D$13:$D$20)*Policy!$B$15,0),0))))</f>
        <v/>
      </c>
      <c r="L235" s="24">
        <f>G235+K235</f>
        <v/>
      </c>
      <c r="M235" s="24">
        <f>MAX(0,J235-K235)</f>
        <v/>
      </c>
      <c r="N235" s="24">
        <f>MAX(0,K235-J235)</f>
        <v/>
      </c>
      <c r="O235" s="24">
        <f>L235+H235</f>
        <v/>
      </c>
      <c r="P235" s="25">
        <f>IF(K235=0,"",IF(N235&gt;0,"Request exceeded free cores","Placed"))</f>
        <v/>
      </c>
    </row>
    <row r="236">
      <c r="A236" s="32">
        <f>Capacity_Reservations!A236</f>
        <v/>
      </c>
      <c r="B236" s="32">
        <f>Capacity_Reservations!B236</f>
        <v/>
      </c>
      <c r="C236" s="33">
        <f>Capacity_Reservations!C236</f>
        <v/>
      </c>
      <c r="D236" s="33">
        <f>Capacity_Reservations!D236</f>
        <v/>
      </c>
      <c r="E236" s="32">
        <f>Capacity_Reservations!E236</f>
        <v/>
      </c>
      <c r="F236" s="33">
        <f>Capacity_Reservations!F236</f>
        <v/>
      </c>
      <c r="G236" s="47">
        <f>Capacity_Reservations!I236</f>
        <v/>
      </c>
      <c r="H236" s="47">
        <f>Capacity_Reservations!J236</f>
        <v/>
      </c>
      <c r="I236" s="47">
        <f>Capacity_Reservations!K236</f>
        <v/>
      </c>
      <c r="J236" s="47">
        <f>Capacity_Reservations!L236</f>
        <v/>
      </c>
      <c r="K236" s="24">
        <f>IF(Allocation!$C$14&lt;&gt;1,0,IF(D236="Prod",IF(B236=Allocation!$C$9,SUMIF(Request!$A$13:$A$20,E236,Request!$D$13:$D$20),0),IF(D236="NonProd",IF(B236=Allocation!$C$10,SUMIF(Request!$A$13:$A$20,E236,Request!$D$13:$D$20),0),IF(AND(D236="DR",B236=Allocation!$C$11),ROUND(SUMIF(Request!$A$13:$A$20,E236,Request!$D$13:$D$20)*Policy!$B$15,0),0))))</f>
        <v/>
      </c>
      <c r="L236" s="24">
        <f>G236+K236</f>
        <v/>
      </c>
      <c r="M236" s="24">
        <f>MAX(0,J236-K236)</f>
        <v/>
      </c>
      <c r="N236" s="24">
        <f>MAX(0,K236-J236)</f>
        <v/>
      </c>
      <c r="O236" s="24">
        <f>L236+H236</f>
        <v/>
      </c>
      <c r="P236" s="25">
        <f>IF(K236=0,"",IF(N236&gt;0,"Request exceeded free cores","Placed"))</f>
        <v/>
      </c>
    </row>
    <row r="237">
      <c r="A237" s="32">
        <f>Capacity_Reservations!A237</f>
        <v/>
      </c>
      <c r="B237" s="32">
        <f>Capacity_Reservations!B237</f>
        <v/>
      </c>
      <c r="C237" s="33">
        <f>Capacity_Reservations!C237</f>
        <v/>
      </c>
      <c r="D237" s="33">
        <f>Capacity_Reservations!D237</f>
        <v/>
      </c>
      <c r="E237" s="32">
        <f>Capacity_Reservations!E237</f>
        <v/>
      </c>
      <c r="F237" s="33">
        <f>Capacity_Reservations!F237</f>
        <v/>
      </c>
      <c r="G237" s="47">
        <f>Capacity_Reservations!I237</f>
        <v/>
      </c>
      <c r="H237" s="47">
        <f>Capacity_Reservations!J237</f>
        <v/>
      </c>
      <c r="I237" s="47">
        <f>Capacity_Reservations!K237</f>
        <v/>
      </c>
      <c r="J237" s="47">
        <f>Capacity_Reservations!L237</f>
        <v/>
      </c>
      <c r="K237" s="24">
        <f>IF(Allocation!$C$14&lt;&gt;1,0,IF(D237="Prod",IF(B237=Allocation!$C$9,SUMIF(Request!$A$13:$A$20,E237,Request!$D$13:$D$20),0),IF(D237="NonProd",IF(B237=Allocation!$C$10,SUMIF(Request!$A$13:$A$20,E237,Request!$D$13:$D$20),0),IF(AND(D237="DR",B237=Allocation!$C$11),ROUND(SUMIF(Request!$A$13:$A$20,E237,Request!$D$13:$D$20)*Policy!$B$15,0),0))))</f>
        <v/>
      </c>
      <c r="L237" s="24">
        <f>G237+K237</f>
        <v/>
      </c>
      <c r="M237" s="24">
        <f>MAX(0,J237-K237)</f>
        <v/>
      </c>
      <c r="N237" s="24">
        <f>MAX(0,K237-J237)</f>
        <v/>
      </c>
      <c r="O237" s="24">
        <f>L237+H237</f>
        <v/>
      </c>
      <c r="P237" s="25">
        <f>IF(K237=0,"",IF(N237&gt;0,"Request exceeded free cores","Placed"))</f>
        <v/>
      </c>
    </row>
    <row r="238">
      <c r="A238" s="32">
        <f>Capacity_Reservations!A238</f>
        <v/>
      </c>
      <c r="B238" s="32">
        <f>Capacity_Reservations!B238</f>
        <v/>
      </c>
      <c r="C238" s="33">
        <f>Capacity_Reservations!C238</f>
        <v/>
      </c>
      <c r="D238" s="33">
        <f>Capacity_Reservations!D238</f>
        <v/>
      </c>
      <c r="E238" s="32">
        <f>Capacity_Reservations!E238</f>
        <v/>
      </c>
      <c r="F238" s="33">
        <f>Capacity_Reservations!F238</f>
        <v/>
      </c>
      <c r="G238" s="47">
        <f>Capacity_Reservations!I238</f>
        <v/>
      </c>
      <c r="H238" s="47">
        <f>Capacity_Reservations!J238</f>
        <v/>
      </c>
      <c r="I238" s="47">
        <f>Capacity_Reservations!K238</f>
        <v/>
      </c>
      <c r="J238" s="47">
        <f>Capacity_Reservations!L238</f>
        <v/>
      </c>
      <c r="K238" s="24">
        <f>IF(Allocation!$C$14&lt;&gt;1,0,IF(D238="Prod",IF(B238=Allocation!$C$9,SUMIF(Request!$A$13:$A$20,E238,Request!$D$13:$D$20),0),IF(D238="NonProd",IF(B238=Allocation!$C$10,SUMIF(Request!$A$13:$A$20,E238,Request!$D$13:$D$20),0),IF(AND(D238="DR",B238=Allocation!$C$11),ROUND(SUMIF(Request!$A$13:$A$20,E238,Request!$D$13:$D$20)*Policy!$B$15,0),0))))</f>
        <v/>
      </c>
      <c r="L238" s="24">
        <f>G238+K238</f>
        <v/>
      </c>
      <c r="M238" s="24">
        <f>MAX(0,J238-K238)</f>
        <v/>
      </c>
      <c r="N238" s="24">
        <f>MAX(0,K238-J238)</f>
        <v/>
      </c>
      <c r="O238" s="24">
        <f>L238+H238</f>
        <v/>
      </c>
      <c r="P238" s="25">
        <f>IF(K238=0,"",IF(N238&gt;0,"Request exceeded free cores","Placed"))</f>
        <v/>
      </c>
    </row>
    <row r="239">
      <c r="A239" s="32">
        <f>Capacity_Reservations!A239</f>
        <v/>
      </c>
      <c r="B239" s="32">
        <f>Capacity_Reservations!B239</f>
        <v/>
      </c>
      <c r="C239" s="33">
        <f>Capacity_Reservations!C239</f>
        <v/>
      </c>
      <c r="D239" s="33">
        <f>Capacity_Reservations!D239</f>
        <v/>
      </c>
      <c r="E239" s="32">
        <f>Capacity_Reservations!E239</f>
        <v/>
      </c>
      <c r="F239" s="33">
        <f>Capacity_Reservations!F239</f>
        <v/>
      </c>
      <c r="G239" s="47">
        <f>Capacity_Reservations!I239</f>
        <v/>
      </c>
      <c r="H239" s="47">
        <f>Capacity_Reservations!J239</f>
        <v/>
      </c>
      <c r="I239" s="47">
        <f>Capacity_Reservations!K239</f>
        <v/>
      </c>
      <c r="J239" s="47">
        <f>Capacity_Reservations!L239</f>
        <v/>
      </c>
      <c r="K239" s="24">
        <f>IF(Allocation!$C$14&lt;&gt;1,0,IF(D239="Prod",IF(B239=Allocation!$C$9,SUMIF(Request!$A$13:$A$20,E239,Request!$D$13:$D$20),0),IF(D239="NonProd",IF(B239=Allocation!$C$10,SUMIF(Request!$A$13:$A$20,E239,Request!$D$13:$D$20),0),IF(AND(D239="DR",B239=Allocation!$C$11),ROUND(SUMIF(Request!$A$13:$A$20,E239,Request!$D$13:$D$20)*Policy!$B$15,0),0))))</f>
        <v/>
      </c>
      <c r="L239" s="24">
        <f>G239+K239</f>
        <v/>
      </c>
      <c r="M239" s="24">
        <f>MAX(0,J239-K239)</f>
        <v/>
      </c>
      <c r="N239" s="24">
        <f>MAX(0,K239-J239)</f>
        <v/>
      </c>
      <c r="O239" s="24">
        <f>L239+H239</f>
        <v/>
      </c>
      <c r="P239" s="25">
        <f>IF(K239=0,"",IF(N239&gt;0,"Request exceeded free cores","Placed"))</f>
        <v/>
      </c>
    </row>
    <row r="240">
      <c r="A240" s="32">
        <f>Capacity_Reservations!A240</f>
        <v/>
      </c>
      <c r="B240" s="32">
        <f>Capacity_Reservations!B240</f>
        <v/>
      </c>
      <c r="C240" s="33">
        <f>Capacity_Reservations!C240</f>
        <v/>
      </c>
      <c r="D240" s="33">
        <f>Capacity_Reservations!D240</f>
        <v/>
      </c>
      <c r="E240" s="32">
        <f>Capacity_Reservations!E240</f>
        <v/>
      </c>
      <c r="F240" s="33">
        <f>Capacity_Reservations!F240</f>
        <v/>
      </c>
      <c r="G240" s="47">
        <f>Capacity_Reservations!I240</f>
        <v/>
      </c>
      <c r="H240" s="47">
        <f>Capacity_Reservations!J240</f>
        <v/>
      </c>
      <c r="I240" s="47">
        <f>Capacity_Reservations!K240</f>
        <v/>
      </c>
      <c r="J240" s="47">
        <f>Capacity_Reservations!L240</f>
        <v/>
      </c>
      <c r="K240" s="24">
        <f>IF(Allocation!$C$14&lt;&gt;1,0,IF(D240="Prod",IF(B240=Allocation!$C$9,SUMIF(Request!$A$13:$A$20,E240,Request!$D$13:$D$20),0),IF(D240="NonProd",IF(B240=Allocation!$C$10,SUMIF(Request!$A$13:$A$20,E240,Request!$D$13:$D$20),0),IF(AND(D240="DR",B240=Allocation!$C$11),ROUND(SUMIF(Request!$A$13:$A$20,E240,Request!$D$13:$D$20)*Policy!$B$15,0),0))))</f>
        <v/>
      </c>
      <c r="L240" s="24">
        <f>G240+K240</f>
        <v/>
      </c>
      <c r="M240" s="24">
        <f>MAX(0,J240-K240)</f>
        <v/>
      </c>
      <c r="N240" s="24">
        <f>MAX(0,K240-J240)</f>
        <v/>
      </c>
      <c r="O240" s="24">
        <f>L240+H240</f>
        <v/>
      </c>
      <c r="P240" s="25">
        <f>IF(K240=0,"",IF(N240&gt;0,"Request exceeded free cores","Placed"))</f>
        <v/>
      </c>
    </row>
    <row r="241">
      <c r="A241" s="32">
        <f>Capacity_Reservations!A241</f>
        <v/>
      </c>
      <c r="B241" s="32">
        <f>Capacity_Reservations!B241</f>
        <v/>
      </c>
      <c r="C241" s="33">
        <f>Capacity_Reservations!C241</f>
        <v/>
      </c>
      <c r="D241" s="33">
        <f>Capacity_Reservations!D241</f>
        <v/>
      </c>
      <c r="E241" s="32">
        <f>Capacity_Reservations!E241</f>
        <v/>
      </c>
      <c r="F241" s="33">
        <f>Capacity_Reservations!F241</f>
        <v/>
      </c>
      <c r="G241" s="47">
        <f>Capacity_Reservations!I241</f>
        <v/>
      </c>
      <c r="H241" s="47">
        <f>Capacity_Reservations!J241</f>
        <v/>
      </c>
      <c r="I241" s="47">
        <f>Capacity_Reservations!K241</f>
        <v/>
      </c>
      <c r="J241" s="47">
        <f>Capacity_Reservations!L241</f>
        <v/>
      </c>
      <c r="K241" s="24">
        <f>IF(Allocation!$C$14&lt;&gt;1,0,IF(D241="Prod",IF(B241=Allocation!$C$9,SUMIF(Request!$A$13:$A$20,E241,Request!$D$13:$D$20),0),IF(D241="NonProd",IF(B241=Allocation!$C$10,SUMIF(Request!$A$13:$A$20,E241,Request!$D$13:$D$20),0),IF(AND(D241="DR",B241=Allocation!$C$11),ROUND(SUMIF(Request!$A$13:$A$20,E241,Request!$D$13:$D$20)*Policy!$B$15,0),0))))</f>
        <v/>
      </c>
      <c r="L241" s="24">
        <f>G241+K241</f>
        <v/>
      </c>
      <c r="M241" s="24">
        <f>MAX(0,J241-K241)</f>
        <v/>
      </c>
      <c r="N241" s="24">
        <f>MAX(0,K241-J241)</f>
        <v/>
      </c>
      <c r="O241" s="24">
        <f>L241+H241</f>
        <v/>
      </c>
      <c r="P241" s="25">
        <f>IF(K241=0,"",IF(N241&gt;0,"Request exceeded free cores","Placed"))</f>
        <v/>
      </c>
    </row>
    <row r="242">
      <c r="A242" s="32">
        <f>Capacity_Reservations!A242</f>
        <v/>
      </c>
      <c r="B242" s="32">
        <f>Capacity_Reservations!B242</f>
        <v/>
      </c>
      <c r="C242" s="33">
        <f>Capacity_Reservations!C242</f>
        <v/>
      </c>
      <c r="D242" s="33">
        <f>Capacity_Reservations!D242</f>
        <v/>
      </c>
      <c r="E242" s="32">
        <f>Capacity_Reservations!E242</f>
        <v/>
      </c>
      <c r="F242" s="33">
        <f>Capacity_Reservations!F242</f>
        <v/>
      </c>
      <c r="G242" s="47">
        <f>Capacity_Reservations!I242</f>
        <v/>
      </c>
      <c r="H242" s="47">
        <f>Capacity_Reservations!J242</f>
        <v/>
      </c>
      <c r="I242" s="47">
        <f>Capacity_Reservations!K242</f>
        <v/>
      </c>
      <c r="J242" s="47">
        <f>Capacity_Reservations!L242</f>
        <v/>
      </c>
      <c r="K242" s="24">
        <f>IF(Allocation!$C$14&lt;&gt;1,0,IF(D242="Prod",IF(B242=Allocation!$C$9,SUMIF(Request!$A$13:$A$20,E242,Request!$D$13:$D$20),0),IF(D242="NonProd",IF(B242=Allocation!$C$10,SUMIF(Request!$A$13:$A$20,E242,Request!$D$13:$D$20),0),IF(AND(D242="DR",B242=Allocation!$C$11),ROUND(SUMIF(Request!$A$13:$A$20,E242,Request!$D$13:$D$20)*Policy!$B$15,0),0))))</f>
        <v/>
      </c>
      <c r="L242" s="24">
        <f>G242+K242</f>
        <v/>
      </c>
      <c r="M242" s="24">
        <f>MAX(0,J242-K242)</f>
        <v/>
      </c>
      <c r="N242" s="24">
        <f>MAX(0,K242-J242)</f>
        <v/>
      </c>
      <c r="O242" s="24">
        <f>L242+H242</f>
        <v/>
      </c>
      <c r="P242" s="25">
        <f>IF(K242=0,"",IF(N242&gt;0,"Request exceeded free cores","Placed"))</f>
        <v/>
      </c>
    </row>
    <row r="243">
      <c r="A243" s="32">
        <f>Capacity_Reservations!A243</f>
        <v/>
      </c>
      <c r="B243" s="32">
        <f>Capacity_Reservations!B243</f>
        <v/>
      </c>
      <c r="C243" s="33">
        <f>Capacity_Reservations!C243</f>
        <v/>
      </c>
      <c r="D243" s="33">
        <f>Capacity_Reservations!D243</f>
        <v/>
      </c>
      <c r="E243" s="32">
        <f>Capacity_Reservations!E243</f>
        <v/>
      </c>
      <c r="F243" s="33">
        <f>Capacity_Reservations!F243</f>
        <v/>
      </c>
      <c r="G243" s="47">
        <f>Capacity_Reservations!I243</f>
        <v/>
      </c>
      <c r="H243" s="47">
        <f>Capacity_Reservations!J243</f>
        <v/>
      </c>
      <c r="I243" s="47">
        <f>Capacity_Reservations!K243</f>
        <v/>
      </c>
      <c r="J243" s="47">
        <f>Capacity_Reservations!L243</f>
        <v/>
      </c>
      <c r="K243" s="24">
        <f>IF(Allocation!$C$14&lt;&gt;1,0,IF(D243="Prod",IF(B243=Allocation!$C$9,SUMIF(Request!$A$13:$A$20,E243,Request!$D$13:$D$20),0),IF(D243="NonProd",IF(B243=Allocation!$C$10,SUMIF(Request!$A$13:$A$20,E243,Request!$D$13:$D$20),0),IF(AND(D243="DR",B243=Allocation!$C$11),ROUND(SUMIF(Request!$A$13:$A$20,E243,Request!$D$13:$D$20)*Policy!$B$15,0),0))))</f>
        <v/>
      </c>
      <c r="L243" s="24">
        <f>G243+K243</f>
        <v/>
      </c>
      <c r="M243" s="24">
        <f>MAX(0,J243-K243)</f>
        <v/>
      </c>
      <c r="N243" s="24">
        <f>MAX(0,K243-J243)</f>
        <v/>
      </c>
      <c r="O243" s="24">
        <f>L243+H243</f>
        <v/>
      </c>
      <c r="P243" s="25">
        <f>IF(K243=0,"",IF(N243&gt;0,"Request exceeded free cores","Placed"))</f>
        <v/>
      </c>
    </row>
    <row r="244">
      <c r="A244" s="32">
        <f>Capacity_Reservations!A244</f>
        <v/>
      </c>
      <c r="B244" s="32">
        <f>Capacity_Reservations!B244</f>
        <v/>
      </c>
      <c r="C244" s="33">
        <f>Capacity_Reservations!C244</f>
        <v/>
      </c>
      <c r="D244" s="33">
        <f>Capacity_Reservations!D244</f>
        <v/>
      </c>
      <c r="E244" s="32">
        <f>Capacity_Reservations!E244</f>
        <v/>
      </c>
      <c r="F244" s="33">
        <f>Capacity_Reservations!F244</f>
        <v/>
      </c>
      <c r="G244" s="47">
        <f>Capacity_Reservations!I244</f>
        <v/>
      </c>
      <c r="H244" s="47">
        <f>Capacity_Reservations!J244</f>
        <v/>
      </c>
      <c r="I244" s="47">
        <f>Capacity_Reservations!K244</f>
        <v/>
      </c>
      <c r="J244" s="47">
        <f>Capacity_Reservations!L244</f>
        <v/>
      </c>
      <c r="K244" s="24">
        <f>IF(Allocation!$C$14&lt;&gt;1,0,IF(D244="Prod",IF(B244=Allocation!$C$9,SUMIF(Request!$A$13:$A$20,E244,Request!$D$13:$D$20),0),IF(D244="NonProd",IF(B244=Allocation!$C$10,SUMIF(Request!$A$13:$A$20,E244,Request!$D$13:$D$20),0),IF(AND(D244="DR",B244=Allocation!$C$11),ROUND(SUMIF(Request!$A$13:$A$20,E244,Request!$D$13:$D$20)*Policy!$B$15,0),0))))</f>
        <v/>
      </c>
      <c r="L244" s="24">
        <f>G244+K244</f>
        <v/>
      </c>
      <c r="M244" s="24">
        <f>MAX(0,J244-K244)</f>
        <v/>
      </c>
      <c r="N244" s="24">
        <f>MAX(0,K244-J244)</f>
        <v/>
      </c>
      <c r="O244" s="24">
        <f>L244+H244</f>
        <v/>
      </c>
      <c r="P244" s="25">
        <f>IF(K244=0,"",IF(N244&gt;0,"Request exceeded free cores","Placed"))</f>
        <v/>
      </c>
    </row>
    <row r="245">
      <c r="A245" s="32">
        <f>Capacity_Reservations!A245</f>
        <v/>
      </c>
      <c r="B245" s="32">
        <f>Capacity_Reservations!B245</f>
        <v/>
      </c>
      <c r="C245" s="33">
        <f>Capacity_Reservations!C245</f>
        <v/>
      </c>
      <c r="D245" s="33">
        <f>Capacity_Reservations!D245</f>
        <v/>
      </c>
      <c r="E245" s="32">
        <f>Capacity_Reservations!E245</f>
        <v/>
      </c>
      <c r="F245" s="33">
        <f>Capacity_Reservations!F245</f>
        <v/>
      </c>
      <c r="G245" s="47">
        <f>Capacity_Reservations!I245</f>
        <v/>
      </c>
      <c r="H245" s="47">
        <f>Capacity_Reservations!J245</f>
        <v/>
      </c>
      <c r="I245" s="47">
        <f>Capacity_Reservations!K245</f>
        <v/>
      </c>
      <c r="J245" s="47">
        <f>Capacity_Reservations!L245</f>
        <v/>
      </c>
      <c r="K245" s="24">
        <f>IF(Allocation!$C$14&lt;&gt;1,0,IF(D245="Prod",IF(B245=Allocation!$C$9,SUMIF(Request!$A$13:$A$20,E245,Request!$D$13:$D$20),0),IF(D245="NonProd",IF(B245=Allocation!$C$10,SUMIF(Request!$A$13:$A$20,E245,Request!$D$13:$D$20),0),IF(AND(D245="DR",B245=Allocation!$C$11),ROUND(SUMIF(Request!$A$13:$A$20,E245,Request!$D$13:$D$20)*Policy!$B$15,0),0))))</f>
        <v/>
      </c>
      <c r="L245" s="24">
        <f>G245+K245</f>
        <v/>
      </c>
      <c r="M245" s="24">
        <f>MAX(0,J245-K245)</f>
        <v/>
      </c>
      <c r="N245" s="24">
        <f>MAX(0,K245-J245)</f>
        <v/>
      </c>
      <c r="O245" s="24">
        <f>L245+H245</f>
        <v/>
      </c>
      <c r="P245" s="25">
        <f>IF(K245=0,"",IF(N245&gt;0,"Request exceeded free cores","Placed"))</f>
        <v/>
      </c>
    </row>
    <row r="246">
      <c r="A246" s="32">
        <f>Capacity_Reservations!A246</f>
        <v/>
      </c>
      <c r="B246" s="32">
        <f>Capacity_Reservations!B246</f>
        <v/>
      </c>
      <c r="C246" s="33">
        <f>Capacity_Reservations!C246</f>
        <v/>
      </c>
      <c r="D246" s="33">
        <f>Capacity_Reservations!D246</f>
        <v/>
      </c>
      <c r="E246" s="32">
        <f>Capacity_Reservations!E246</f>
        <v/>
      </c>
      <c r="F246" s="33">
        <f>Capacity_Reservations!F246</f>
        <v/>
      </c>
      <c r="G246" s="47">
        <f>Capacity_Reservations!I246</f>
        <v/>
      </c>
      <c r="H246" s="47">
        <f>Capacity_Reservations!J246</f>
        <v/>
      </c>
      <c r="I246" s="47">
        <f>Capacity_Reservations!K246</f>
        <v/>
      </c>
      <c r="J246" s="47">
        <f>Capacity_Reservations!L246</f>
        <v/>
      </c>
      <c r="K246" s="24">
        <f>IF(Allocation!$C$14&lt;&gt;1,0,IF(D246="Prod",IF(B246=Allocation!$C$9,SUMIF(Request!$A$13:$A$20,E246,Request!$D$13:$D$20),0),IF(D246="NonProd",IF(B246=Allocation!$C$10,SUMIF(Request!$A$13:$A$20,E246,Request!$D$13:$D$20),0),IF(AND(D246="DR",B246=Allocation!$C$11),ROUND(SUMIF(Request!$A$13:$A$20,E246,Request!$D$13:$D$20)*Policy!$B$15,0),0))))</f>
        <v/>
      </c>
      <c r="L246" s="24">
        <f>G246+K246</f>
        <v/>
      </c>
      <c r="M246" s="24">
        <f>MAX(0,J246-K246)</f>
        <v/>
      </c>
      <c r="N246" s="24">
        <f>MAX(0,K246-J246)</f>
        <v/>
      </c>
      <c r="O246" s="24">
        <f>L246+H246</f>
        <v/>
      </c>
      <c r="P246" s="25">
        <f>IF(K246=0,"",IF(N246&gt;0,"Request exceeded free cores","Placed"))</f>
        <v/>
      </c>
    </row>
    <row r="247">
      <c r="A247" s="32">
        <f>Capacity_Reservations!A247</f>
        <v/>
      </c>
      <c r="B247" s="32">
        <f>Capacity_Reservations!B247</f>
        <v/>
      </c>
      <c r="C247" s="33">
        <f>Capacity_Reservations!C247</f>
        <v/>
      </c>
      <c r="D247" s="33">
        <f>Capacity_Reservations!D247</f>
        <v/>
      </c>
      <c r="E247" s="32">
        <f>Capacity_Reservations!E247</f>
        <v/>
      </c>
      <c r="F247" s="33">
        <f>Capacity_Reservations!F247</f>
        <v/>
      </c>
      <c r="G247" s="47">
        <f>Capacity_Reservations!I247</f>
        <v/>
      </c>
      <c r="H247" s="47">
        <f>Capacity_Reservations!J247</f>
        <v/>
      </c>
      <c r="I247" s="47">
        <f>Capacity_Reservations!K247</f>
        <v/>
      </c>
      <c r="J247" s="47">
        <f>Capacity_Reservations!L247</f>
        <v/>
      </c>
      <c r="K247" s="24">
        <f>IF(Allocation!$C$14&lt;&gt;1,0,IF(D247="Prod",IF(B247=Allocation!$C$9,SUMIF(Request!$A$13:$A$20,E247,Request!$D$13:$D$20),0),IF(D247="NonProd",IF(B247=Allocation!$C$10,SUMIF(Request!$A$13:$A$20,E247,Request!$D$13:$D$20),0),IF(AND(D247="DR",B247=Allocation!$C$11),ROUND(SUMIF(Request!$A$13:$A$20,E247,Request!$D$13:$D$20)*Policy!$B$15,0),0))))</f>
        <v/>
      </c>
      <c r="L247" s="24">
        <f>G247+K247</f>
        <v/>
      </c>
      <c r="M247" s="24">
        <f>MAX(0,J247-K247)</f>
        <v/>
      </c>
      <c r="N247" s="24">
        <f>MAX(0,K247-J247)</f>
        <v/>
      </c>
      <c r="O247" s="24">
        <f>L247+H247</f>
        <v/>
      </c>
      <c r="P247" s="25">
        <f>IF(K247=0,"",IF(N247&gt;0,"Request exceeded free cores","Placed"))</f>
        <v/>
      </c>
    </row>
    <row r="248">
      <c r="A248" s="32">
        <f>Capacity_Reservations!A248</f>
        <v/>
      </c>
      <c r="B248" s="32">
        <f>Capacity_Reservations!B248</f>
        <v/>
      </c>
      <c r="C248" s="33">
        <f>Capacity_Reservations!C248</f>
        <v/>
      </c>
      <c r="D248" s="33">
        <f>Capacity_Reservations!D248</f>
        <v/>
      </c>
      <c r="E248" s="32">
        <f>Capacity_Reservations!E248</f>
        <v/>
      </c>
      <c r="F248" s="33">
        <f>Capacity_Reservations!F248</f>
        <v/>
      </c>
      <c r="G248" s="47">
        <f>Capacity_Reservations!I248</f>
        <v/>
      </c>
      <c r="H248" s="47">
        <f>Capacity_Reservations!J248</f>
        <v/>
      </c>
      <c r="I248" s="47">
        <f>Capacity_Reservations!K248</f>
        <v/>
      </c>
      <c r="J248" s="47">
        <f>Capacity_Reservations!L248</f>
        <v/>
      </c>
      <c r="K248" s="24">
        <f>IF(Allocation!$C$14&lt;&gt;1,0,IF(D248="Prod",IF(B248=Allocation!$C$9,SUMIF(Request!$A$13:$A$20,E248,Request!$D$13:$D$20),0),IF(D248="NonProd",IF(B248=Allocation!$C$10,SUMIF(Request!$A$13:$A$20,E248,Request!$D$13:$D$20),0),IF(AND(D248="DR",B248=Allocation!$C$11),ROUND(SUMIF(Request!$A$13:$A$20,E248,Request!$D$13:$D$20)*Policy!$B$15,0),0))))</f>
        <v/>
      </c>
      <c r="L248" s="24">
        <f>G248+K248</f>
        <v/>
      </c>
      <c r="M248" s="24">
        <f>MAX(0,J248-K248)</f>
        <v/>
      </c>
      <c r="N248" s="24">
        <f>MAX(0,K248-J248)</f>
        <v/>
      </c>
      <c r="O248" s="24">
        <f>L248+H248</f>
        <v/>
      </c>
      <c r="P248" s="25">
        <f>IF(K248=0,"",IF(N248&gt;0,"Request exceeded free cores","Placed"))</f>
        <v/>
      </c>
    </row>
    <row r="249">
      <c r="A249" s="32">
        <f>Capacity_Reservations!A249</f>
        <v/>
      </c>
      <c r="B249" s="32">
        <f>Capacity_Reservations!B249</f>
        <v/>
      </c>
      <c r="C249" s="33">
        <f>Capacity_Reservations!C249</f>
        <v/>
      </c>
      <c r="D249" s="33">
        <f>Capacity_Reservations!D249</f>
        <v/>
      </c>
      <c r="E249" s="32">
        <f>Capacity_Reservations!E249</f>
        <v/>
      </c>
      <c r="F249" s="33">
        <f>Capacity_Reservations!F249</f>
        <v/>
      </c>
      <c r="G249" s="47">
        <f>Capacity_Reservations!I249</f>
        <v/>
      </c>
      <c r="H249" s="47">
        <f>Capacity_Reservations!J249</f>
        <v/>
      </c>
      <c r="I249" s="47">
        <f>Capacity_Reservations!K249</f>
        <v/>
      </c>
      <c r="J249" s="47">
        <f>Capacity_Reservations!L249</f>
        <v/>
      </c>
      <c r="K249" s="24">
        <f>IF(Allocation!$C$14&lt;&gt;1,0,IF(D249="Prod",IF(B249=Allocation!$C$9,SUMIF(Request!$A$13:$A$20,E249,Request!$D$13:$D$20),0),IF(D249="NonProd",IF(B249=Allocation!$C$10,SUMIF(Request!$A$13:$A$20,E249,Request!$D$13:$D$20),0),IF(AND(D249="DR",B249=Allocation!$C$11),ROUND(SUMIF(Request!$A$13:$A$20,E249,Request!$D$13:$D$20)*Policy!$B$15,0),0))))</f>
        <v/>
      </c>
      <c r="L249" s="24">
        <f>G249+K249</f>
        <v/>
      </c>
      <c r="M249" s="24">
        <f>MAX(0,J249-K249)</f>
        <v/>
      </c>
      <c r="N249" s="24">
        <f>MAX(0,K249-J249)</f>
        <v/>
      </c>
      <c r="O249" s="24">
        <f>L249+H249</f>
        <v/>
      </c>
      <c r="P249" s="25">
        <f>IF(K249=0,"",IF(N249&gt;0,"Request exceeded free cores","Placed"))</f>
        <v/>
      </c>
    </row>
    <row r="250">
      <c r="A250" s="32">
        <f>Capacity_Reservations!A250</f>
        <v/>
      </c>
      <c r="B250" s="32">
        <f>Capacity_Reservations!B250</f>
        <v/>
      </c>
      <c r="C250" s="33">
        <f>Capacity_Reservations!C250</f>
        <v/>
      </c>
      <c r="D250" s="33">
        <f>Capacity_Reservations!D250</f>
        <v/>
      </c>
      <c r="E250" s="32">
        <f>Capacity_Reservations!E250</f>
        <v/>
      </c>
      <c r="F250" s="33">
        <f>Capacity_Reservations!F250</f>
        <v/>
      </c>
      <c r="G250" s="47">
        <f>Capacity_Reservations!I250</f>
        <v/>
      </c>
      <c r="H250" s="47">
        <f>Capacity_Reservations!J250</f>
        <v/>
      </c>
      <c r="I250" s="47">
        <f>Capacity_Reservations!K250</f>
        <v/>
      </c>
      <c r="J250" s="47">
        <f>Capacity_Reservations!L250</f>
        <v/>
      </c>
      <c r="K250" s="24">
        <f>IF(Allocation!$C$14&lt;&gt;1,0,IF(D250="Prod",IF(B250=Allocation!$C$9,SUMIF(Request!$A$13:$A$20,E250,Request!$D$13:$D$20),0),IF(D250="NonProd",IF(B250=Allocation!$C$10,SUMIF(Request!$A$13:$A$20,E250,Request!$D$13:$D$20),0),IF(AND(D250="DR",B250=Allocation!$C$11),ROUND(SUMIF(Request!$A$13:$A$20,E250,Request!$D$13:$D$20)*Policy!$B$15,0),0))))</f>
        <v/>
      </c>
      <c r="L250" s="24">
        <f>G250+K250</f>
        <v/>
      </c>
      <c r="M250" s="24">
        <f>MAX(0,J250-K250)</f>
        <v/>
      </c>
      <c r="N250" s="24">
        <f>MAX(0,K250-J250)</f>
        <v/>
      </c>
      <c r="O250" s="24">
        <f>L250+H250</f>
        <v/>
      </c>
      <c r="P250" s="25">
        <f>IF(K250=0,"",IF(N250&gt;0,"Request exceeded free cores","Placed"))</f>
        <v/>
      </c>
    </row>
    <row r="251">
      <c r="A251" s="32">
        <f>Capacity_Reservations!A251</f>
        <v/>
      </c>
      <c r="B251" s="32">
        <f>Capacity_Reservations!B251</f>
        <v/>
      </c>
      <c r="C251" s="33">
        <f>Capacity_Reservations!C251</f>
        <v/>
      </c>
      <c r="D251" s="33">
        <f>Capacity_Reservations!D251</f>
        <v/>
      </c>
      <c r="E251" s="32">
        <f>Capacity_Reservations!E251</f>
        <v/>
      </c>
      <c r="F251" s="33">
        <f>Capacity_Reservations!F251</f>
        <v/>
      </c>
      <c r="G251" s="47">
        <f>Capacity_Reservations!I251</f>
        <v/>
      </c>
      <c r="H251" s="47">
        <f>Capacity_Reservations!J251</f>
        <v/>
      </c>
      <c r="I251" s="47">
        <f>Capacity_Reservations!K251</f>
        <v/>
      </c>
      <c r="J251" s="47">
        <f>Capacity_Reservations!L251</f>
        <v/>
      </c>
      <c r="K251" s="24">
        <f>IF(Allocation!$C$14&lt;&gt;1,0,IF(D251="Prod",IF(B251=Allocation!$C$9,SUMIF(Request!$A$13:$A$20,E251,Request!$D$13:$D$20),0),IF(D251="NonProd",IF(B251=Allocation!$C$10,SUMIF(Request!$A$13:$A$20,E251,Request!$D$13:$D$20),0),IF(AND(D251="DR",B251=Allocation!$C$11),ROUND(SUMIF(Request!$A$13:$A$20,E251,Request!$D$13:$D$20)*Policy!$B$15,0),0))))</f>
        <v/>
      </c>
      <c r="L251" s="24">
        <f>G251+K251</f>
        <v/>
      </c>
      <c r="M251" s="24">
        <f>MAX(0,J251-K251)</f>
        <v/>
      </c>
      <c r="N251" s="24">
        <f>MAX(0,K251-J251)</f>
        <v/>
      </c>
      <c r="O251" s="24">
        <f>L251+H251</f>
        <v/>
      </c>
      <c r="P251" s="25">
        <f>IF(K251=0,"",IF(N251&gt;0,"Request exceeded free cores","Placed"))</f>
        <v/>
      </c>
    </row>
    <row r="252">
      <c r="A252" s="32">
        <f>Capacity_Reservations!A252</f>
        <v/>
      </c>
      <c r="B252" s="32">
        <f>Capacity_Reservations!B252</f>
        <v/>
      </c>
      <c r="C252" s="33">
        <f>Capacity_Reservations!C252</f>
        <v/>
      </c>
      <c r="D252" s="33">
        <f>Capacity_Reservations!D252</f>
        <v/>
      </c>
      <c r="E252" s="32">
        <f>Capacity_Reservations!E252</f>
        <v/>
      </c>
      <c r="F252" s="33">
        <f>Capacity_Reservations!F252</f>
        <v/>
      </c>
      <c r="G252" s="47">
        <f>Capacity_Reservations!I252</f>
        <v/>
      </c>
      <c r="H252" s="47">
        <f>Capacity_Reservations!J252</f>
        <v/>
      </c>
      <c r="I252" s="47">
        <f>Capacity_Reservations!K252</f>
        <v/>
      </c>
      <c r="J252" s="47">
        <f>Capacity_Reservations!L252</f>
        <v/>
      </c>
      <c r="K252" s="24">
        <f>IF(Allocation!$C$14&lt;&gt;1,0,IF(D252="Prod",IF(B252=Allocation!$C$9,SUMIF(Request!$A$13:$A$20,E252,Request!$D$13:$D$20),0),IF(D252="NonProd",IF(B252=Allocation!$C$10,SUMIF(Request!$A$13:$A$20,E252,Request!$D$13:$D$20),0),IF(AND(D252="DR",B252=Allocation!$C$11),ROUND(SUMIF(Request!$A$13:$A$20,E252,Request!$D$13:$D$20)*Policy!$B$15,0),0))))</f>
        <v/>
      </c>
      <c r="L252" s="24">
        <f>G252+K252</f>
        <v/>
      </c>
      <c r="M252" s="24">
        <f>MAX(0,J252-K252)</f>
        <v/>
      </c>
      <c r="N252" s="24">
        <f>MAX(0,K252-J252)</f>
        <v/>
      </c>
      <c r="O252" s="24">
        <f>L252+H252</f>
        <v/>
      </c>
      <c r="P252" s="25">
        <f>IF(K252=0,"",IF(N252&gt;0,"Request exceeded free cores","Placed"))</f>
        <v/>
      </c>
    </row>
    <row r="253">
      <c r="A253" s="32">
        <f>Capacity_Reservations!A253</f>
        <v/>
      </c>
      <c r="B253" s="32">
        <f>Capacity_Reservations!B253</f>
        <v/>
      </c>
      <c r="C253" s="33">
        <f>Capacity_Reservations!C253</f>
        <v/>
      </c>
      <c r="D253" s="33">
        <f>Capacity_Reservations!D253</f>
        <v/>
      </c>
      <c r="E253" s="32">
        <f>Capacity_Reservations!E253</f>
        <v/>
      </c>
      <c r="F253" s="33">
        <f>Capacity_Reservations!F253</f>
        <v/>
      </c>
      <c r="G253" s="47">
        <f>Capacity_Reservations!I253</f>
        <v/>
      </c>
      <c r="H253" s="47">
        <f>Capacity_Reservations!J253</f>
        <v/>
      </c>
      <c r="I253" s="47">
        <f>Capacity_Reservations!K253</f>
        <v/>
      </c>
      <c r="J253" s="47">
        <f>Capacity_Reservations!L253</f>
        <v/>
      </c>
      <c r="K253" s="24">
        <f>IF(Allocation!$C$14&lt;&gt;1,0,IF(D253="Prod",IF(B253=Allocation!$C$9,SUMIF(Request!$A$13:$A$20,E253,Request!$D$13:$D$20),0),IF(D253="NonProd",IF(B253=Allocation!$C$10,SUMIF(Request!$A$13:$A$20,E253,Request!$D$13:$D$20),0),IF(AND(D253="DR",B253=Allocation!$C$11),ROUND(SUMIF(Request!$A$13:$A$20,E253,Request!$D$13:$D$20)*Policy!$B$15,0),0))))</f>
        <v/>
      </c>
      <c r="L253" s="24">
        <f>G253+K253</f>
        <v/>
      </c>
      <c r="M253" s="24">
        <f>MAX(0,J253-K253)</f>
        <v/>
      </c>
      <c r="N253" s="24">
        <f>MAX(0,K253-J253)</f>
        <v/>
      </c>
      <c r="O253" s="24">
        <f>L253+H253</f>
        <v/>
      </c>
      <c r="P253" s="25">
        <f>IF(K253=0,"",IF(N253&gt;0,"Request exceeded free cores","Placed"))</f>
        <v/>
      </c>
    </row>
    <row r="254">
      <c r="A254" s="32">
        <f>Capacity_Reservations!A254</f>
        <v/>
      </c>
      <c r="B254" s="32">
        <f>Capacity_Reservations!B254</f>
        <v/>
      </c>
      <c r="C254" s="33">
        <f>Capacity_Reservations!C254</f>
        <v/>
      </c>
      <c r="D254" s="33">
        <f>Capacity_Reservations!D254</f>
        <v/>
      </c>
      <c r="E254" s="32">
        <f>Capacity_Reservations!E254</f>
        <v/>
      </c>
      <c r="F254" s="33">
        <f>Capacity_Reservations!F254</f>
        <v/>
      </c>
      <c r="G254" s="47">
        <f>Capacity_Reservations!I254</f>
        <v/>
      </c>
      <c r="H254" s="47">
        <f>Capacity_Reservations!J254</f>
        <v/>
      </c>
      <c r="I254" s="47">
        <f>Capacity_Reservations!K254</f>
        <v/>
      </c>
      <c r="J254" s="47">
        <f>Capacity_Reservations!L254</f>
        <v/>
      </c>
      <c r="K254" s="24">
        <f>IF(Allocation!$C$14&lt;&gt;1,0,IF(D254="Prod",IF(B254=Allocation!$C$9,SUMIF(Request!$A$13:$A$20,E254,Request!$D$13:$D$20),0),IF(D254="NonProd",IF(B254=Allocation!$C$10,SUMIF(Request!$A$13:$A$20,E254,Request!$D$13:$D$20),0),IF(AND(D254="DR",B254=Allocation!$C$11),ROUND(SUMIF(Request!$A$13:$A$20,E254,Request!$D$13:$D$20)*Policy!$B$15,0),0))))</f>
        <v/>
      </c>
      <c r="L254" s="24">
        <f>G254+K254</f>
        <v/>
      </c>
      <c r="M254" s="24">
        <f>MAX(0,J254-K254)</f>
        <v/>
      </c>
      <c r="N254" s="24">
        <f>MAX(0,K254-J254)</f>
        <v/>
      </c>
      <c r="O254" s="24">
        <f>L254+H254</f>
        <v/>
      </c>
      <c r="P254" s="25">
        <f>IF(K254=0,"",IF(N254&gt;0,"Request exceeded free cores","Placed"))</f>
        <v/>
      </c>
    </row>
    <row r="255">
      <c r="A255" s="32">
        <f>Capacity_Reservations!A255</f>
        <v/>
      </c>
      <c r="B255" s="32">
        <f>Capacity_Reservations!B255</f>
        <v/>
      </c>
      <c r="C255" s="33">
        <f>Capacity_Reservations!C255</f>
        <v/>
      </c>
      <c r="D255" s="33">
        <f>Capacity_Reservations!D255</f>
        <v/>
      </c>
      <c r="E255" s="32">
        <f>Capacity_Reservations!E255</f>
        <v/>
      </c>
      <c r="F255" s="33">
        <f>Capacity_Reservations!F255</f>
        <v/>
      </c>
      <c r="G255" s="47">
        <f>Capacity_Reservations!I255</f>
        <v/>
      </c>
      <c r="H255" s="47">
        <f>Capacity_Reservations!J255</f>
        <v/>
      </c>
      <c r="I255" s="47">
        <f>Capacity_Reservations!K255</f>
        <v/>
      </c>
      <c r="J255" s="47">
        <f>Capacity_Reservations!L255</f>
        <v/>
      </c>
      <c r="K255" s="24">
        <f>IF(Allocation!$C$14&lt;&gt;1,0,IF(D255="Prod",IF(B255=Allocation!$C$9,SUMIF(Request!$A$13:$A$20,E255,Request!$D$13:$D$20),0),IF(D255="NonProd",IF(B255=Allocation!$C$10,SUMIF(Request!$A$13:$A$20,E255,Request!$D$13:$D$20),0),IF(AND(D255="DR",B255=Allocation!$C$11),ROUND(SUMIF(Request!$A$13:$A$20,E255,Request!$D$13:$D$20)*Policy!$B$15,0),0))))</f>
        <v/>
      </c>
      <c r="L255" s="24">
        <f>G255+K255</f>
        <v/>
      </c>
      <c r="M255" s="24">
        <f>MAX(0,J255-K255)</f>
        <v/>
      </c>
      <c r="N255" s="24">
        <f>MAX(0,K255-J255)</f>
        <v/>
      </c>
      <c r="O255" s="24">
        <f>L255+H255</f>
        <v/>
      </c>
      <c r="P255" s="25">
        <f>IF(K255=0,"",IF(N255&gt;0,"Request exceeded free cores","Placed"))</f>
        <v/>
      </c>
    </row>
    <row r="256">
      <c r="A256" s="32">
        <f>Capacity_Reservations!A256</f>
        <v/>
      </c>
      <c r="B256" s="32">
        <f>Capacity_Reservations!B256</f>
        <v/>
      </c>
      <c r="C256" s="33">
        <f>Capacity_Reservations!C256</f>
        <v/>
      </c>
      <c r="D256" s="33">
        <f>Capacity_Reservations!D256</f>
        <v/>
      </c>
      <c r="E256" s="32">
        <f>Capacity_Reservations!E256</f>
        <v/>
      </c>
      <c r="F256" s="33">
        <f>Capacity_Reservations!F256</f>
        <v/>
      </c>
      <c r="G256" s="47">
        <f>Capacity_Reservations!I256</f>
        <v/>
      </c>
      <c r="H256" s="47">
        <f>Capacity_Reservations!J256</f>
        <v/>
      </c>
      <c r="I256" s="47">
        <f>Capacity_Reservations!K256</f>
        <v/>
      </c>
      <c r="J256" s="47">
        <f>Capacity_Reservations!L256</f>
        <v/>
      </c>
      <c r="K256" s="24">
        <f>IF(Allocation!$C$14&lt;&gt;1,0,IF(D256="Prod",IF(B256=Allocation!$C$9,SUMIF(Request!$A$13:$A$20,E256,Request!$D$13:$D$20),0),IF(D256="NonProd",IF(B256=Allocation!$C$10,SUMIF(Request!$A$13:$A$20,E256,Request!$D$13:$D$20),0),IF(AND(D256="DR",B256=Allocation!$C$11),ROUND(SUMIF(Request!$A$13:$A$20,E256,Request!$D$13:$D$20)*Policy!$B$15,0),0))))</f>
        <v/>
      </c>
      <c r="L256" s="24">
        <f>G256+K256</f>
        <v/>
      </c>
      <c r="M256" s="24">
        <f>MAX(0,J256-K256)</f>
        <v/>
      </c>
      <c r="N256" s="24">
        <f>MAX(0,K256-J256)</f>
        <v/>
      </c>
      <c r="O256" s="24">
        <f>L256+H256</f>
        <v/>
      </c>
      <c r="P256" s="25">
        <f>IF(K256=0,"",IF(N256&gt;0,"Request exceeded free cores","Placed"))</f>
        <v/>
      </c>
    </row>
    <row r="257">
      <c r="A257" s="32">
        <f>Capacity_Reservations!A257</f>
        <v/>
      </c>
      <c r="B257" s="32">
        <f>Capacity_Reservations!B257</f>
        <v/>
      </c>
      <c r="C257" s="33">
        <f>Capacity_Reservations!C257</f>
        <v/>
      </c>
      <c r="D257" s="33">
        <f>Capacity_Reservations!D257</f>
        <v/>
      </c>
      <c r="E257" s="32">
        <f>Capacity_Reservations!E257</f>
        <v/>
      </c>
      <c r="F257" s="33">
        <f>Capacity_Reservations!F257</f>
        <v/>
      </c>
      <c r="G257" s="47">
        <f>Capacity_Reservations!I257</f>
        <v/>
      </c>
      <c r="H257" s="47">
        <f>Capacity_Reservations!J257</f>
        <v/>
      </c>
      <c r="I257" s="47">
        <f>Capacity_Reservations!K257</f>
        <v/>
      </c>
      <c r="J257" s="47">
        <f>Capacity_Reservations!L257</f>
        <v/>
      </c>
      <c r="K257" s="24">
        <f>IF(Allocation!$C$14&lt;&gt;1,0,IF(D257="Prod",IF(B257=Allocation!$C$9,SUMIF(Request!$A$13:$A$20,E257,Request!$D$13:$D$20),0),IF(D257="NonProd",IF(B257=Allocation!$C$10,SUMIF(Request!$A$13:$A$20,E257,Request!$D$13:$D$20),0),IF(AND(D257="DR",B257=Allocation!$C$11),ROUND(SUMIF(Request!$A$13:$A$20,E257,Request!$D$13:$D$20)*Policy!$B$15,0),0))))</f>
        <v/>
      </c>
      <c r="L257" s="24">
        <f>G257+K257</f>
        <v/>
      </c>
      <c r="M257" s="24">
        <f>MAX(0,J257-K257)</f>
        <v/>
      </c>
      <c r="N257" s="24">
        <f>MAX(0,K257-J257)</f>
        <v/>
      </c>
      <c r="O257" s="24">
        <f>L257+H257</f>
        <v/>
      </c>
      <c r="P257" s="25">
        <f>IF(K257=0,"",IF(N257&gt;0,"Request exceeded free cores","Placed"))</f>
        <v/>
      </c>
    </row>
    <row r="258">
      <c r="A258" s="32">
        <f>Capacity_Reservations!A258</f>
        <v/>
      </c>
      <c r="B258" s="32">
        <f>Capacity_Reservations!B258</f>
        <v/>
      </c>
      <c r="C258" s="33">
        <f>Capacity_Reservations!C258</f>
        <v/>
      </c>
      <c r="D258" s="33">
        <f>Capacity_Reservations!D258</f>
        <v/>
      </c>
      <c r="E258" s="32">
        <f>Capacity_Reservations!E258</f>
        <v/>
      </c>
      <c r="F258" s="33">
        <f>Capacity_Reservations!F258</f>
        <v/>
      </c>
      <c r="G258" s="47">
        <f>Capacity_Reservations!I258</f>
        <v/>
      </c>
      <c r="H258" s="47">
        <f>Capacity_Reservations!J258</f>
        <v/>
      </c>
      <c r="I258" s="47">
        <f>Capacity_Reservations!K258</f>
        <v/>
      </c>
      <c r="J258" s="47">
        <f>Capacity_Reservations!L258</f>
        <v/>
      </c>
      <c r="K258" s="24">
        <f>IF(Allocation!$C$14&lt;&gt;1,0,IF(D258="Prod",IF(B258=Allocation!$C$9,SUMIF(Request!$A$13:$A$20,E258,Request!$D$13:$D$20),0),IF(D258="NonProd",IF(B258=Allocation!$C$10,SUMIF(Request!$A$13:$A$20,E258,Request!$D$13:$D$20),0),IF(AND(D258="DR",B258=Allocation!$C$11),ROUND(SUMIF(Request!$A$13:$A$20,E258,Request!$D$13:$D$20)*Policy!$B$15,0),0))))</f>
        <v/>
      </c>
      <c r="L258" s="24">
        <f>G258+K258</f>
        <v/>
      </c>
      <c r="M258" s="24">
        <f>MAX(0,J258-K258)</f>
        <v/>
      </c>
      <c r="N258" s="24">
        <f>MAX(0,K258-J258)</f>
        <v/>
      </c>
      <c r="O258" s="24">
        <f>L258+H258</f>
        <v/>
      </c>
      <c r="P258" s="25">
        <f>IF(K258=0,"",IF(N258&gt;0,"Request exceeded free cores","Placed"))</f>
        <v/>
      </c>
    </row>
    <row r="259">
      <c r="A259" s="32">
        <f>Capacity_Reservations!A259</f>
        <v/>
      </c>
      <c r="B259" s="32">
        <f>Capacity_Reservations!B259</f>
        <v/>
      </c>
      <c r="C259" s="33">
        <f>Capacity_Reservations!C259</f>
        <v/>
      </c>
      <c r="D259" s="33">
        <f>Capacity_Reservations!D259</f>
        <v/>
      </c>
      <c r="E259" s="32">
        <f>Capacity_Reservations!E259</f>
        <v/>
      </c>
      <c r="F259" s="33">
        <f>Capacity_Reservations!F259</f>
        <v/>
      </c>
      <c r="G259" s="47">
        <f>Capacity_Reservations!I259</f>
        <v/>
      </c>
      <c r="H259" s="47">
        <f>Capacity_Reservations!J259</f>
        <v/>
      </c>
      <c r="I259" s="47">
        <f>Capacity_Reservations!K259</f>
        <v/>
      </c>
      <c r="J259" s="47">
        <f>Capacity_Reservations!L259</f>
        <v/>
      </c>
      <c r="K259" s="24">
        <f>IF(Allocation!$C$14&lt;&gt;1,0,IF(D259="Prod",IF(B259=Allocation!$C$9,SUMIF(Request!$A$13:$A$20,E259,Request!$D$13:$D$20),0),IF(D259="NonProd",IF(B259=Allocation!$C$10,SUMIF(Request!$A$13:$A$20,E259,Request!$D$13:$D$20),0),IF(AND(D259="DR",B259=Allocation!$C$11),ROUND(SUMIF(Request!$A$13:$A$20,E259,Request!$D$13:$D$20)*Policy!$B$15,0),0))))</f>
        <v/>
      </c>
      <c r="L259" s="24">
        <f>G259+K259</f>
        <v/>
      </c>
      <c r="M259" s="24">
        <f>MAX(0,J259-K259)</f>
        <v/>
      </c>
      <c r="N259" s="24">
        <f>MAX(0,K259-J259)</f>
        <v/>
      </c>
      <c r="O259" s="24">
        <f>L259+H259</f>
        <v/>
      </c>
      <c r="P259" s="25">
        <f>IF(K259=0,"",IF(N259&gt;0,"Request exceeded free cores","Placed"))</f>
        <v/>
      </c>
    </row>
    <row r="260">
      <c r="A260" s="32">
        <f>Capacity_Reservations!A260</f>
        <v/>
      </c>
      <c r="B260" s="32">
        <f>Capacity_Reservations!B260</f>
        <v/>
      </c>
      <c r="C260" s="33">
        <f>Capacity_Reservations!C260</f>
        <v/>
      </c>
      <c r="D260" s="33">
        <f>Capacity_Reservations!D260</f>
        <v/>
      </c>
      <c r="E260" s="32">
        <f>Capacity_Reservations!E260</f>
        <v/>
      </c>
      <c r="F260" s="33">
        <f>Capacity_Reservations!F260</f>
        <v/>
      </c>
      <c r="G260" s="47">
        <f>Capacity_Reservations!I260</f>
        <v/>
      </c>
      <c r="H260" s="47">
        <f>Capacity_Reservations!J260</f>
        <v/>
      </c>
      <c r="I260" s="47">
        <f>Capacity_Reservations!K260</f>
        <v/>
      </c>
      <c r="J260" s="47">
        <f>Capacity_Reservations!L260</f>
        <v/>
      </c>
      <c r="K260" s="24">
        <f>IF(Allocation!$C$14&lt;&gt;1,0,IF(D260="Prod",IF(B260=Allocation!$C$9,SUMIF(Request!$A$13:$A$20,E260,Request!$D$13:$D$20),0),IF(D260="NonProd",IF(B260=Allocation!$C$10,SUMIF(Request!$A$13:$A$20,E260,Request!$D$13:$D$20),0),IF(AND(D260="DR",B260=Allocation!$C$11),ROUND(SUMIF(Request!$A$13:$A$20,E260,Request!$D$13:$D$20)*Policy!$B$15,0),0))))</f>
        <v/>
      </c>
      <c r="L260" s="24">
        <f>G260+K260</f>
        <v/>
      </c>
      <c r="M260" s="24">
        <f>MAX(0,J260-K260)</f>
        <v/>
      </c>
      <c r="N260" s="24">
        <f>MAX(0,K260-J260)</f>
        <v/>
      </c>
      <c r="O260" s="24">
        <f>L260+H260</f>
        <v/>
      </c>
      <c r="P260" s="25">
        <f>IF(K260=0,"",IF(N260&gt;0,"Request exceeded free cores","Placed"))</f>
        <v/>
      </c>
    </row>
    <row r="261">
      <c r="A261" s="32">
        <f>Capacity_Reservations!A261</f>
        <v/>
      </c>
      <c r="B261" s="32">
        <f>Capacity_Reservations!B261</f>
        <v/>
      </c>
      <c r="C261" s="33">
        <f>Capacity_Reservations!C261</f>
        <v/>
      </c>
      <c r="D261" s="33">
        <f>Capacity_Reservations!D261</f>
        <v/>
      </c>
      <c r="E261" s="32">
        <f>Capacity_Reservations!E261</f>
        <v/>
      </c>
      <c r="F261" s="33">
        <f>Capacity_Reservations!F261</f>
        <v/>
      </c>
      <c r="G261" s="47">
        <f>Capacity_Reservations!I261</f>
        <v/>
      </c>
      <c r="H261" s="47">
        <f>Capacity_Reservations!J261</f>
        <v/>
      </c>
      <c r="I261" s="47">
        <f>Capacity_Reservations!K261</f>
        <v/>
      </c>
      <c r="J261" s="47">
        <f>Capacity_Reservations!L261</f>
        <v/>
      </c>
      <c r="K261" s="24">
        <f>IF(Allocation!$C$14&lt;&gt;1,0,IF(D261="Prod",IF(B261=Allocation!$C$9,SUMIF(Request!$A$13:$A$20,E261,Request!$D$13:$D$20),0),IF(D261="NonProd",IF(B261=Allocation!$C$10,SUMIF(Request!$A$13:$A$20,E261,Request!$D$13:$D$20),0),IF(AND(D261="DR",B261=Allocation!$C$11),ROUND(SUMIF(Request!$A$13:$A$20,E261,Request!$D$13:$D$20)*Policy!$B$15,0),0))))</f>
        <v/>
      </c>
      <c r="L261" s="24">
        <f>G261+K261</f>
        <v/>
      </c>
      <c r="M261" s="24">
        <f>MAX(0,J261-K261)</f>
        <v/>
      </c>
      <c r="N261" s="24">
        <f>MAX(0,K261-J261)</f>
        <v/>
      </c>
      <c r="O261" s="24">
        <f>L261+H261</f>
        <v/>
      </c>
      <c r="P261" s="25">
        <f>IF(K261=0,"",IF(N261&gt;0,"Request exceeded free cores","Placed"))</f>
        <v/>
      </c>
    </row>
    <row r="262">
      <c r="A262" s="32">
        <f>Capacity_Reservations!A262</f>
        <v/>
      </c>
      <c r="B262" s="32">
        <f>Capacity_Reservations!B262</f>
        <v/>
      </c>
      <c r="C262" s="33">
        <f>Capacity_Reservations!C262</f>
        <v/>
      </c>
      <c r="D262" s="33">
        <f>Capacity_Reservations!D262</f>
        <v/>
      </c>
      <c r="E262" s="32">
        <f>Capacity_Reservations!E262</f>
        <v/>
      </c>
      <c r="F262" s="33">
        <f>Capacity_Reservations!F262</f>
        <v/>
      </c>
      <c r="G262" s="47">
        <f>Capacity_Reservations!I262</f>
        <v/>
      </c>
      <c r="H262" s="47">
        <f>Capacity_Reservations!J262</f>
        <v/>
      </c>
      <c r="I262" s="47">
        <f>Capacity_Reservations!K262</f>
        <v/>
      </c>
      <c r="J262" s="47">
        <f>Capacity_Reservations!L262</f>
        <v/>
      </c>
      <c r="K262" s="24">
        <f>IF(Allocation!$C$14&lt;&gt;1,0,IF(D262="Prod",IF(B262=Allocation!$C$9,SUMIF(Request!$A$13:$A$20,E262,Request!$D$13:$D$20),0),IF(D262="NonProd",IF(B262=Allocation!$C$10,SUMIF(Request!$A$13:$A$20,E262,Request!$D$13:$D$20),0),IF(AND(D262="DR",B262=Allocation!$C$11),ROUND(SUMIF(Request!$A$13:$A$20,E262,Request!$D$13:$D$20)*Policy!$B$15,0),0))))</f>
        <v/>
      </c>
      <c r="L262" s="24">
        <f>G262+K262</f>
        <v/>
      </c>
      <c r="M262" s="24">
        <f>MAX(0,J262-K262)</f>
        <v/>
      </c>
      <c r="N262" s="24">
        <f>MAX(0,K262-J262)</f>
        <v/>
      </c>
      <c r="O262" s="24">
        <f>L262+H262</f>
        <v/>
      </c>
      <c r="P262" s="25">
        <f>IF(K262=0,"",IF(N262&gt;0,"Request exceeded free cores","Placed"))</f>
        <v/>
      </c>
    </row>
    <row r="263">
      <c r="A263" s="32">
        <f>Capacity_Reservations!A263</f>
        <v/>
      </c>
      <c r="B263" s="32">
        <f>Capacity_Reservations!B263</f>
        <v/>
      </c>
      <c r="C263" s="33">
        <f>Capacity_Reservations!C263</f>
        <v/>
      </c>
      <c r="D263" s="33">
        <f>Capacity_Reservations!D263</f>
        <v/>
      </c>
      <c r="E263" s="32">
        <f>Capacity_Reservations!E263</f>
        <v/>
      </c>
      <c r="F263" s="33">
        <f>Capacity_Reservations!F263</f>
        <v/>
      </c>
      <c r="G263" s="47">
        <f>Capacity_Reservations!I263</f>
        <v/>
      </c>
      <c r="H263" s="47">
        <f>Capacity_Reservations!J263</f>
        <v/>
      </c>
      <c r="I263" s="47">
        <f>Capacity_Reservations!K263</f>
        <v/>
      </c>
      <c r="J263" s="47">
        <f>Capacity_Reservations!L263</f>
        <v/>
      </c>
      <c r="K263" s="24">
        <f>IF(Allocation!$C$14&lt;&gt;1,0,IF(D263="Prod",IF(B263=Allocation!$C$9,SUMIF(Request!$A$13:$A$20,E263,Request!$D$13:$D$20),0),IF(D263="NonProd",IF(B263=Allocation!$C$10,SUMIF(Request!$A$13:$A$20,E263,Request!$D$13:$D$20),0),IF(AND(D263="DR",B263=Allocation!$C$11),ROUND(SUMIF(Request!$A$13:$A$20,E263,Request!$D$13:$D$20)*Policy!$B$15,0),0))))</f>
        <v/>
      </c>
      <c r="L263" s="24">
        <f>G263+K263</f>
        <v/>
      </c>
      <c r="M263" s="24">
        <f>MAX(0,J263-K263)</f>
        <v/>
      </c>
      <c r="N263" s="24">
        <f>MAX(0,K263-J263)</f>
        <v/>
      </c>
      <c r="O263" s="24">
        <f>L263+H263</f>
        <v/>
      </c>
      <c r="P263" s="25">
        <f>IF(K263=0,"",IF(N263&gt;0,"Request exceeded free cores","Placed"))</f>
        <v/>
      </c>
    </row>
    <row r="264">
      <c r="A264" s="32">
        <f>Capacity_Reservations!A264</f>
        <v/>
      </c>
      <c r="B264" s="32">
        <f>Capacity_Reservations!B264</f>
        <v/>
      </c>
      <c r="C264" s="33">
        <f>Capacity_Reservations!C264</f>
        <v/>
      </c>
      <c r="D264" s="33">
        <f>Capacity_Reservations!D264</f>
        <v/>
      </c>
      <c r="E264" s="32">
        <f>Capacity_Reservations!E264</f>
        <v/>
      </c>
      <c r="F264" s="33">
        <f>Capacity_Reservations!F264</f>
        <v/>
      </c>
      <c r="G264" s="47">
        <f>Capacity_Reservations!I264</f>
        <v/>
      </c>
      <c r="H264" s="47">
        <f>Capacity_Reservations!J264</f>
        <v/>
      </c>
      <c r="I264" s="47">
        <f>Capacity_Reservations!K264</f>
        <v/>
      </c>
      <c r="J264" s="47">
        <f>Capacity_Reservations!L264</f>
        <v/>
      </c>
      <c r="K264" s="24">
        <f>IF(Allocation!$C$14&lt;&gt;1,0,IF(D264="Prod",IF(B264=Allocation!$C$9,SUMIF(Request!$A$13:$A$20,E264,Request!$D$13:$D$20),0),IF(D264="NonProd",IF(B264=Allocation!$C$10,SUMIF(Request!$A$13:$A$20,E264,Request!$D$13:$D$20),0),IF(AND(D264="DR",B264=Allocation!$C$11),ROUND(SUMIF(Request!$A$13:$A$20,E264,Request!$D$13:$D$20)*Policy!$B$15,0),0))))</f>
        <v/>
      </c>
      <c r="L264" s="24">
        <f>G264+K264</f>
        <v/>
      </c>
      <c r="M264" s="24">
        <f>MAX(0,J264-K264)</f>
        <v/>
      </c>
      <c r="N264" s="24">
        <f>MAX(0,K264-J264)</f>
        <v/>
      </c>
      <c r="O264" s="24">
        <f>L264+H264</f>
        <v/>
      </c>
      <c r="P264" s="25">
        <f>IF(K264=0,"",IF(N264&gt;0,"Request exceeded free cores","Placed"))</f>
        <v/>
      </c>
    </row>
    <row r="265">
      <c r="A265" s="32">
        <f>Capacity_Reservations!A265</f>
        <v/>
      </c>
      <c r="B265" s="32">
        <f>Capacity_Reservations!B265</f>
        <v/>
      </c>
      <c r="C265" s="33">
        <f>Capacity_Reservations!C265</f>
        <v/>
      </c>
      <c r="D265" s="33">
        <f>Capacity_Reservations!D265</f>
        <v/>
      </c>
      <c r="E265" s="32">
        <f>Capacity_Reservations!E265</f>
        <v/>
      </c>
      <c r="F265" s="33">
        <f>Capacity_Reservations!F265</f>
        <v/>
      </c>
      <c r="G265" s="47">
        <f>Capacity_Reservations!I265</f>
        <v/>
      </c>
      <c r="H265" s="47">
        <f>Capacity_Reservations!J265</f>
        <v/>
      </c>
      <c r="I265" s="47">
        <f>Capacity_Reservations!K265</f>
        <v/>
      </c>
      <c r="J265" s="47">
        <f>Capacity_Reservations!L265</f>
        <v/>
      </c>
      <c r="K265" s="24">
        <f>IF(Allocation!$C$14&lt;&gt;1,0,IF(D265="Prod",IF(B265=Allocation!$C$9,SUMIF(Request!$A$13:$A$20,E265,Request!$D$13:$D$20),0),IF(D265="NonProd",IF(B265=Allocation!$C$10,SUMIF(Request!$A$13:$A$20,E265,Request!$D$13:$D$20),0),IF(AND(D265="DR",B265=Allocation!$C$11),ROUND(SUMIF(Request!$A$13:$A$20,E265,Request!$D$13:$D$20)*Policy!$B$15,0),0))))</f>
        <v/>
      </c>
      <c r="L265" s="24">
        <f>G265+K265</f>
        <v/>
      </c>
      <c r="M265" s="24">
        <f>MAX(0,J265-K265)</f>
        <v/>
      </c>
      <c r="N265" s="24">
        <f>MAX(0,K265-J265)</f>
        <v/>
      </c>
      <c r="O265" s="24">
        <f>L265+H265</f>
        <v/>
      </c>
      <c r="P265" s="25">
        <f>IF(K265=0,"",IF(N265&gt;0,"Request exceeded free cores","Placed"))</f>
        <v/>
      </c>
    </row>
    <row r="266">
      <c r="A266" s="32">
        <f>Capacity_Reservations!A266</f>
        <v/>
      </c>
      <c r="B266" s="32">
        <f>Capacity_Reservations!B266</f>
        <v/>
      </c>
      <c r="C266" s="33">
        <f>Capacity_Reservations!C266</f>
        <v/>
      </c>
      <c r="D266" s="33">
        <f>Capacity_Reservations!D266</f>
        <v/>
      </c>
      <c r="E266" s="32">
        <f>Capacity_Reservations!E266</f>
        <v/>
      </c>
      <c r="F266" s="33">
        <f>Capacity_Reservations!F266</f>
        <v/>
      </c>
      <c r="G266" s="47">
        <f>Capacity_Reservations!I266</f>
        <v/>
      </c>
      <c r="H266" s="47">
        <f>Capacity_Reservations!J266</f>
        <v/>
      </c>
      <c r="I266" s="47">
        <f>Capacity_Reservations!K266</f>
        <v/>
      </c>
      <c r="J266" s="47">
        <f>Capacity_Reservations!L266</f>
        <v/>
      </c>
      <c r="K266" s="24">
        <f>IF(Allocation!$C$14&lt;&gt;1,0,IF(D266="Prod",IF(B266=Allocation!$C$9,SUMIF(Request!$A$13:$A$20,E266,Request!$D$13:$D$20),0),IF(D266="NonProd",IF(B266=Allocation!$C$10,SUMIF(Request!$A$13:$A$20,E266,Request!$D$13:$D$20),0),IF(AND(D266="DR",B266=Allocation!$C$11),ROUND(SUMIF(Request!$A$13:$A$20,E266,Request!$D$13:$D$20)*Policy!$B$15,0),0))))</f>
        <v/>
      </c>
      <c r="L266" s="24">
        <f>G266+K266</f>
        <v/>
      </c>
      <c r="M266" s="24">
        <f>MAX(0,J266-K266)</f>
        <v/>
      </c>
      <c r="N266" s="24">
        <f>MAX(0,K266-J266)</f>
        <v/>
      </c>
      <c r="O266" s="24">
        <f>L266+H266</f>
        <v/>
      </c>
      <c r="P266" s="25">
        <f>IF(K266=0,"",IF(N266&gt;0,"Request exceeded free cores","Placed"))</f>
        <v/>
      </c>
    </row>
    <row r="267">
      <c r="A267" s="32">
        <f>Capacity_Reservations!A267</f>
        <v/>
      </c>
      <c r="B267" s="32">
        <f>Capacity_Reservations!B267</f>
        <v/>
      </c>
      <c r="C267" s="33">
        <f>Capacity_Reservations!C267</f>
        <v/>
      </c>
      <c r="D267" s="33">
        <f>Capacity_Reservations!D267</f>
        <v/>
      </c>
      <c r="E267" s="32">
        <f>Capacity_Reservations!E267</f>
        <v/>
      </c>
      <c r="F267" s="33">
        <f>Capacity_Reservations!F267</f>
        <v/>
      </c>
      <c r="G267" s="47">
        <f>Capacity_Reservations!I267</f>
        <v/>
      </c>
      <c r="H267" s="47">
        <f>Capacity_Reservations!J267</f>
        <v/>
      </c>
      <c r="I267" s="47">
        <f>Capacity_Reservations!K267</f>
        <v/>
      </c>
      <c r="J267" s="47">
        <f>Capacity_Reservations!L267</f>
        <v/>
      </c>
      <c r="K267" s="24">
        <f>IF(Allocation!$C$14&lt;&gt;1,0,IF(D267="Prod",IF(B267=Allocation!$C$9,SUMIF(Request!$A$13:$A$20,E267,Request!$D$13:$D$20),0),IF(D267="NonProd",IF(B267=Allocation!$C$10,SUMIF(Request!$A$13:$A$20,E267,Request!$D$13:$D$20),0),IF(AND(D267="DR",B267=Allocation!$C$11),ROUND(SUMIF(Request!$A$13:$A$20,E267,Request!$D$13:$D$20)*Policy!$B$15,0),0))))</f>
        <v/>
      </c>
      <c r="L267" s="24">
        <f>G267+K267</f>
        <v/>
      </c>
      <c r="M267" s="24">
        <f>MAX(0,J267-K267)</f>
        <v/>
      </c>
      <c r="N267" s="24">
        <f>MAX(0,K267-J267)</f>
        <v/>
      </c>
      <c r="O267" s="24">
        <f>L267+H267</f>
        <v/>
      </c>
      <c r="P267" s="25">
        <f>IF(K267=0,"",IF(N267&gt;0,"Request exceeded free cores","Placed"))</f>
        <v/>
      </c>
    </row>
    <row r="268">
      <c r="A268" s="32">
        <f>Capacity_Reservations!A268</f>
        <v/>
      </c>
      <c r="B268" s="32">
        <f>Capacity_Reservations!B268</f>
        <v/>
      </c>
      <c r="C268" s="33">
        <f>Capacity_Reservations!C268</f>
        <v/>
      </c>
      <c r="D268" s="33">
        <f>Capacity_Reservations!D268</f>
        <v/>
      </c>
      <c r="E268" s="32">
        <f>Capacity_Reservations!E268</f>
        <v/>
      </c>
      <c r="F268" s="33">
        <f>Capacity_Reservations!F268</f>
        <v/>
      </c>
      <c r="G268" s="47">
        <f>Capacity_Reservations!I268</f>
        <v/>
      </c>
      <c r="H268" s="47">
        <f>Capacity_Reservations!J268</f>
        <v/>
      </c>
      <c r="I268" s="47">
        <f>Capacity_Reservations!K268</f>
        <v/>
      </c>
      <c r="J268" s="47">
        <f>Capacity_Reservations!L268</f>
        <v/>
      </c>
      <c r="K268" s="24">
        <f>IF(Allocation!$C$14&lt;&gt;1,0,IF(D268="Prod",IF(B268=Allocation!$C$9,SUMIF(Request!$A$13:$A$20,E268,Request!$D$13:$D$20),0),IF(D268="NonProd",IF(B268=Allocation!$C$10,SUMIF(Request!$A$13:$A$20,E268,Request!$D$13:$D$20),0),IF(AND(D268="DR",B268=Allocation!$C$11),ROUND(SUMIF(Request!$A$13:$A$20,E268,Request!$D$13:$D$20)*Policy!$B$15,0),0))))</f>
        <v/>
      </c>
      <c r="L268" s="24">
        <f>G268+K268</f>
        <v/>
      </c>
      <c r="M268" s="24">
        <f>MAX(0,J268-K268)</f>
        <v/>
      </c>
      <c r="N268" s="24">
        <f>MAX(0,K268-J268)</f>
        <v/>
      </c>
      <c r="O268" s="24">
        <f>L268+H268</f>
        <v/>
      </c>
      <c r="P268" s="25">
        <f>IF(K268=0,"",IF(N268&gt;0,"Request exceeded free cores","Placed"))</f>
        <v/>
      </c>
    </row>
    <row r="269">
      <c r="A269" s="32">
        <f>Capacity_Reservations!A269</f>
        <v/>
      </c>
      <c r="B269" s="32">
        <f>Capacity_Reservations!B269</f>
        <v/>
      </c>
      <c r="C269" s="33">
        <f>Capacity_Reservations!C269</f>
        <v/>
      </c>
      <c r="D269" s="33">
        <f>Capacity_Reservations!D269</f>
        <v/>
      </c>
      <c r="E269" s="32">
        <f>Capacity_Reservations!E269</f>
        <v/>
      </c>
      <c r="F269" s="33">
        <f>Capacity_Reservations!F269</f>
        <v/>
      </c>
      <c r="G269" s="47">
        <f>Capacity_Reservations!I269</f>
        <v/>
      </c>
      <c r="H269" s="47">
        <f>Capacity_Reservations!J269</f>
        <v/>
      </c>
      <c r="I269" s="47">
        <f>Capacity_Reservations!K269</f>
        <v/>
      </c>
      <c r="J269" s="47">
        <f>Capacity_Reservations!L269</f>
        <v/>
      </c>
      <c r="K269" s="24">
        <f>IF(Allocation!$C$14&lt;&gt;1,0,IF(D269="Prod",IF(B269=Allocation!$C$9,SUMIF(Request!$A$13:$A$20,E269,Request!$D$13:$D$20),0),IF(D269="NonProd",IF(B269=Allocation!$C$10,SUMIF(Request!$A$13:$A$20,E269,Request!$D$13:$D$20),0),IF(AND(D269="DR",B269=Allocation!$C$11),ROUND(SUMIF(Request!$A$13:$A$20,E269,Request!$D$13:$D$20)*Policy!$B$15,0),0))))</f>
        <v/>
      </c>
      <c r="L269" s="24">
        <f>G269+K269</f>
        <v/>
      </c>
      <c r="M269" s="24">
        <f>MAX(0,J269-K269)</f>
        <v/>
      </c>
      <c r="N269" s="24">
        <f>MAX(0,K269-J269)</f>
        <v/>
      </c>
      <c r="O269" s="24">
        <f>L269+H269</f>
        <v/>
      </c>
      <c r="P269" s="25">
        <f>IF(K269=0,"",IF(N269&gt;0,"Request exceeded free cores","Placed"))</f>
        <v/>
      </c>
    </row>
    <row r="270">
      <c r="A270" s="32">
        <f>Capacity_Reservations!A270</f>
        <v/>
      </c>
      <c r="B270" s="32">
        <f>Capacity_Reservations!B270</f>
        <v/>
      </c>
      <c r="C270" s="33">
        <f>Capacity_Reservations!C270</f>
        <v/>
      </c>
      <c r="D270" s="33">
        <f>Capacity_Reservations!D270</f>
        <v/>
      </c>
      <c r="E270" s="32">
        <f>Capacity_Reservations!E270</f>
        <v/>
      </c>
      <c r="F270" s="33">
        <f>Capacity_Reservations!F270</f>
        <v/>
      </c>
      <c r="G270" s="47">
        <f>Capacity_Reservations!I270</f>
        <v/>
      </c>
      <c r="H270" s="47">
        <f>Capacity_Reservations!J270</f>
        <v/>
      </c>
      <c r="I270" s="47">
        <f>Capacity_Reservations!K270</f>
        <v/>
      </c>
      <c r="J270" s="47">
        <f>Capacity_Reservations!L270</f>
        <v/>
      </c>
      <c r="K270" s="24">
        <f>IF(Allocation!$C$14&lt;&gt;1,0,IF(D270="Prod",IF(B270=Allocation!$C$9,SUMIF(Request!$A$13:$A$20,E270,Request!$D$13:$D$20),0),IF(D270="NonProd",IF(B270=Allocation!$C$10,SUMIF(Request!$A$13:$A$20,E270,Request!$D$13:$D$20),0),IF(AND(D270="DR",B270=Allocation!$C$11),ROUND(SUMIF(Request!$A$13:$A$20,E270,Request!$D$13:$D$20)*Policy!$B$15,0),0))))</f>
        <v/>
      </c>
      <c r="L270" s="24">
        <f>G270+K270</f>
        <v/>
      </c>
      <c r="M270" s="24">
        <f>MAX(0,J270-K270)</f>
        <v/>
      </c>
      <c r="N270" s="24">
        <f>MAX(0,K270-J270)</f>
        <v/>
      </c>
      <c r="O270" s="24">
        <f>L270+H270</f>
        <v/>
      </c>
      <c r="P270" s="25">
        <f>IF(K270=0,"",IF(N270&gt;0,"Request exceeded free cores","Placed"))</f>
        <v/>
      </c>
    </row>
    <row r="271">
      <c r="A271" s="32">
        <f>Capacity_Reservations!A271</f>
        <v/>
      </c>
      <c r="B271" s="32">
        <f>Capacity_Reservations!B271</f>
        <v/>
      </c>
      <c r="C271" s="33">
        <f>Capacity_Reservations!C271</f>
        <v/>
      </c>
      <c r="D271" s="33">
        <f>Capacity_Reservations!D271</f>
        <v/>
      </c>
      <c r="E271" s="32">
        <f>Capacity_Reservations!E271</f>
        <v/>
      </c>
      <c r="F271" s="33">
        <f>Capacity_Reservations!F271</f>
        <v/>
      </c>
      <c r="G271" s="47">
        <f>Capacity_Reservations!I271</f>
        <v/>
      </c>
      <c r="H271" s="47">
        <f>Capacity_Reservations!J271</f>
        <v/>
      </c>
      <c r="I271" s="47">
        <f>Capacity_Reservations!K271</f>
        <v/>
      </c>
      <c r="J271" s="47">
        <f>Capacity_Reservations!L271</f>
        <v/>
      </c>
      <c r="K271" s="24">
        <f>IF(Allocation!$C$14&lt;&gt;1,0,IF(D271="Prod",IF(B271=Allocation!$C$9,SUMIF(Request!$A$13:$A$20,E271,Request!$D$13:$D$20),0),IF(D271="NonProd",IF(B271=Allocation!$C$10,SUMIF(Request!$A$13:$A$20,E271,Request!$D$13:$D$20),0),IF(AND(D271="DR",B271=Allocation!$C$11),ROUND(SUMIF(Request!$A$13:$A$20,E271,Request!$D$13:$D$20)*Policy!$B$15,0),0))))</f>
        <v/>
      </c>
      <c r="L271" s="24">
        <f>G271+K271</f>
        <v/>
      </c>
      <c r="M271" s="24">
        <f>MAX(0,J271-K271)</f>
        <v/>
      </c>
      <c r="N271" s="24">
        <f>MAX(0,K271-J271)</f>
        <v/>
      </c>
      <c r="O271" s="24">
        <f>L271+H271</f>
        <v/>
      </c>
      <c r="P271" s="25">
        <f>IF(K271=0,"",IF(N271&gt;0,"Request exceeded free cores","Placed"))</f>
        <v/>
      </c>
    </row>
    <row r="272">
      <c r="A272" s="32">
        <f>Capacity_Reservations!A272</f>
        <v/>
      </c>
      <c r="B272" s="32">
        <f>Capacity_Reservations!B272</f>
        <v/>
      </c>
      <c r="C272" s="33">
        <f>Capacity_Reservations!C272</f>
        <v/>
      </c>
      <c r="D272" s="33">
        <f>Capacity_Reservations!D272</f>
        <v/>
      </c>
      <c r="E272" s="32">
        <f>Capacity_Reservations!E272</f>
        <v/>
      </c>
      <c r="F272" s="33">
        <f>Capacity_Reservations!F272</f>
        <v/>
      </c>
      <c r="G272" s="47">
        <f>Capacity_Reservations!I272</f>
        <v/>
      </c>
      <c r="H272" s="47">
        <f>Capacity_Reservations!J272</f>
        <v/>
      </c>
      <c r="I272" s="47">
        <f>Capacity_Reservations!K272</f>
        <v/>
      </c>
      <c r="J272" s="47">
        <f>Capacity_Reservations!L272</f>
        <v/>
      </c>
      <c r="K272" s="24">
        <f>IF(Allocation!$C$14&lt;&gt;1,0,IF(D272="Prod",IF(B272=Allocation!$C$9,SUMIF(Request!$A$13:$A$20,E272,Request!$D$13:$D$20),0),IF(D272="NonProd",IF(B272=Allocation!$C$10,SUMIF(Request!$A$13:$A$20,E272,Request!$D$13:$D$20),0),IF(AND(D272="DR",B272=Allocation!$C$11),ROUND(SUMIF(Request!$A$13:$A$20,E272,Request!$D$13:$D$20)*Policy!$B$15,0),0))))</f>
        <v/>
      </c>
      <c r="L272" s="24">
        <f>G272+K272</f>
        <v/>
      </c>
      <c r="M272" s="24">
        <f>MAX(0,J272-K272)</f>
        <v/>
      </c>
      <c r="N272" s="24">
        <f>MAX(0,K272-J272)</f>
        <v/>
      </c>
      <c r="O272" s="24">
        <f>L272+H272</f>
        <v/>
      </c>
      <c r="P272" s="25">
        <f>IF(K272=0,"",IF(N272&gt;0,"Request exceeded free cores","Placed"))</f>
        <v/>
      </c>
    </row>
    <row r="273">
      <c r="A273" s="32">
        <f>Capacity_Reservations!A273</f>
        <v/>
      </c>
      <c r="B273" s="32">
        <f>Capacity_Reservations!B273</f>
        <v/>
      </c>
      <c r="C273" s="33">
        <f>Capacity_Reservations!C273</f>
        <v/>
      </c>
      <c r="D273" s="33">
        <f>Capacity_Reservations!D273</f>
        <v/>
      </c>
      <c r="E273" s="32">
        <f>Capacity_Reservations!E273</f>
        <v/>
      </c>
      <c r="F273" s="33">
        <f>Capacity_Reservations!F273</f>
        <v/>
      </c>
      <c r="G273" s="47">
        <f>Capacity_Reservations!I273</f>
        <v/>
      </c>
      <c r="H273" s="47">
        <f>Capacity_Reservations!J273</f>
        <v/>
      </c>
      <c r="I273" s="47">
        <f>Capacity_Reservations!K273</f>
        <v/>
      </c>
      <c r="J273" s="47">
        <f>Capacity_Reservations!L273</f>
        <v/>
      </c>
      <c r="K273" s="24">
        <f>IF(Allocation!$C$14&lt;&gt;1,0,IF(D273="Prod",IF(B273=Allocation!$C$9,SUMIF(Request!$A$13:$A$20,E273,Request!$D$13:$D$20),0),IF(D273="NonProd",IF(B273=Allocation!$C$10,SUMIF(Request!$A$13:$A$20,E273,Request!$D$13:$D$20),0),IF(AND(D273="DR",B273=Allocation!$C$11),ROUND(SUMIF(Request!$A$13:$A$20,E273,Request!$D$13:$D$20)*Policy!$B$15,0),0))))</f>
        <v/>
      </c>
      <c r="L273" s="24">
        <f>G273+K273</f>
        <v/>
      </c>
      <c r="M273" s="24">
        <f>MAX(0,J273-K273)</f>
        <v/>
      </c>
      <c r="N273" s="24">
        <f>MAX(0,K273-J273)</f>
        <v/>
      </c>
      <c r="O273" s="24">
        <f>L273+H273</f>
        <v/>
      </c>
      <c r="P273" s="25">
        <f>IF(K273=0,"",IF(N273&gt;0,"Request exceeded free cores","Placed"))</f>
        <v/>
      </c>
    </row>
    <row r="274">
      <c r="A274" s="32">
        <f>Capacity_Reservations!A274</f>
        <v/>
      </c>
      <c r="B274" s="32">
        <f>Capacity_Reservations!B274</f>
        <v/>
      </c>
      <c r="C274" s="33">
        <f>Capacity_Reservations!C274</f>
        <v/>
      </c>
      <c r="D274" s="33">
        <f>Capacity_Reservations!D274</f>
        <v/>
      </c>
      <c r="E274" s="32">
        <f>Capacity_Reservations!E274</f>
        <v/>
      </c>
      <c r="F274" s="33">
        <f>Capacity_Reservations!F274</f>
        <v/>
      </c>
      <c r="G274" s="47">
        <f>Capacity_Reservations!I274</f>
        <v/>
      </c>
      <c r="H274" s="47">
        <f>Capacity_Reservations!J274</f>
        <v/>
      </c>
      <c r="I274" s="47">
        <f>Capacity_Reservations!K274</f>
        <v/>
      </c>
      <c r="J274" s="47">
        <f>Capacity_Reservations!L274</f>
        <v/>
      </c>
      <c r="K274" s="24">
        <f>IF(Allocation!$C$14&lt;&gt;1,0,IF(D274="Prod",IF(B274=Allocation!$C$9,SUMIF(Request!$A$13:$A$20,E274,Request!$D$13:$D$20),0),IF(D274="NonProd",IF(B274=Allocation!$C$10,SUMIF(Request!$A$13:$A$20,E274,Request!$D$13:$D$20),0),IF(AND(D274="DR",B274=Allocation!$C$11),ROUND(SUMIF(Request!$A$13:$A$20,E274,Request!$D$13:$D$20)*Policy!$B$15,0),0))))</f>
        <v/>
      </c>
      <c r="L274" s="24">
        <f>G274+K274</f>
        <v/>
      </c>
      <c r="M274" s="24">
        <f>MAX(0,J274-K274)</f>
        <v/>
      </c>
      <c r="N274" s="24">
        <f>MAX(0,K274-J274)</f>
        <v/>
      </c>
      <c r="O274" s="24">
        <f>L274+H274</f>
        <v/>
      </c>
      <c r="P274" s="25">
        <f>IF(K274=0,"",IF(N274&gt;0,"Request exceeded free cores","Placed"))</f>
        <v/>
      </c>
    </row>
    <row r="275">
      <c r="A275" s="32">
        <f>Capacity_Reservations!A275</f>
        <v/>
      </c>
      <c r="B275" s="32">
        <f>Capacity_Reservations!B275</f>
        <v/>
      </c>
      <c r="C275" s="33">
        <f>Capacity_Reservations!C275</f>
        <v/>
      </c>
      <c r="D275" s="33">
        <f>Capacity_Reservations!D275</f>
        <v/>
      </c>
      <c r="E275" s="32">
        <f>Capacity_Reservations!E275</f>
        <v/>
      </c>
      <c r="F275" s="33">
        <f>Capacity_Reservations!F275</f>
        <v/>
      </c>
      <c r="G275" s="47">
        <f>Capacity_Reservations!I275</f>
        <v/>
      </c>
      <c r="H275" s="47">
        <f>Capacity_Reservations!J275</f>
        <v/>
      </c>
      <c r="I275" s="47">
        <f>Capacity_Reservations!K275</f>
        <v/>
      </c>
      <c r="J275" s="47">
        <f>Capacity_Reservations!L275</f>
        <v/>
      </c>
      <c r="K275" s="24">
        <f>IF(Allocation!$C$14&lt;&gt;1,0,IF(D275="Prod",IF(B275=Allocation!$C$9,SUMIF(Request!$A$13:$A$20,E275,Request!$D$13:$D$20),0),IF(D275="NonProd",IF(B275=Allocation!$C$10,SUMIF(Request!$A$13:$A$20,E275,Request!$D$13:$D$20),0),IF(AND(D275="DR",B275=Allocation!$C$11),ROUND(SUMIF(Request!$A$13:$A$20,E275,Request!$D$13:$D$20)*Policy!$B$15,0),0))))</f>
        <v/>
      </c>
      <c r="L275" s="24">
        <f>G275+K275</f>
        <v/>
      </c>
      <c r="M275" s="24">
        <f>MAX(0,J275-K275)</f>
        <v/>
      </c>
      <c r="N275" s="24">
        <f>MAX(0,K275-J275)</f>
        <v/>
      </c>
      <c r="O275" s="24">
        <f>L275+H275</f>
        <v/>
      </c>
      <c r="P275" s="25">
        <f>IF(K275=0,"",IF(N275&gt;0,"Request exceeded free cores","Placed"))</f>
        <v/>
      </c>
    </row>
    <row r="276">
      <c r="A276" s="32">
        <f>Capacity_Reservations!A276</f>
        <v/>
      </c>
      <c r="B276" s="32">
        <f>Capacity_Reservations!B276</f>
        <v/>
      </c>
      <c r="C276" s="33">
        <f>Capacity_Reservations!C276</f>
        <v/>
      </c>
      <c r="D276" s="33">
        <f>Capacity_Reservations!D276</f>
        <v/>
      </c>
      <c r="E276" s="32">
        <f>Capacity_Reservations!E276</f>
        <v/>
      </c>
      <c r="F276" s="33">
        <f>Capacity_Reservations!F276</f>
        <v/>
      </c>
      <c r="G276" s="47">
        <f>Capacity_Reservations!I276</f>
        <v/>
      </c>
      <c r="H276" s="47">
        <f>Capacity_Reservations!J276</f>
        <v/>
      </c>
      <c r="I276" s="47">
        <f>Capacity_Reservations!K276</f>
        <v/>
      </c>
      <c r="J276" s="47">
        <f>Capacity_Reservations!L276</f>
        <v/>
      </c>
      <c r="K276" s="24">
        <f>IF(Allocation!$C$14&lt;&gt;1,0,IF(D276="Prod",IF(B276=Allocation!$C$9,SUMIF(Request!$A$13:$A$20,E276,Request!$D$13:$D$20),0),IF(D276="NonProd",IF(B276=Allocation!$C$10,SUMIF(Request!$A$13:$A$20,E276,Request!$D$13:$D$20),0),IF(AND(D276="DR",B276=Allocation!$C$11),ROUND(SUMIF(Request!$A$13:$A$20,E276,Request!$D$13:$D$20)*Policy!$B$15,0),0))))</f>
        <v/>
      </c>
      <c r="L276" s="24">
        <f>G276+K276</f>
        <v/>
      </c>
      <c r="M276" s="24">
        <f>MAX(0,J276-K276)</f>
        <v/>
      </c>
      <c r="N276" s="24">
        <f>MAX(0,K276-J276)</f>
        <v/>
      </c>
      <c r="O276" s="24">
        <f>L276+H276</f>
        <v/>
      </c>
      <c r="P276" s="25">
        <f>IF(K276=0,"",IF(N276&gt;0,"Request exceeded free cores","Placed"))</f>
        <v/>
      </c>
    </row>
    <row r="277">
      <c r="A277" s="32">
        <f>Capacity_Reservations!A277</f>
        <v/>
      </c>
      <c r="B277" s="32">
        <f>Capacity_Reservations!B277</f>
        <v/>
      </c>
      <c r="C277" s="33">
        <f>Capacity_Reservations!C277</f>
        <v/>
      </c>
      <c r="D277" s="33">
        <f>Capacity_Reservations!D277</f>
        <v/>
      </c>
      <c r="E277" s="32">
        <f>Capacity_Reservations!E277</f>
        <v/>
      </c>
      <c r="F277" s="33">
        <f>Capacity_Reservations!F277</f>
        <v/>
      </c>
      <c r="G277" s="47">
        <f>Capacity_Reservations!I277</f>
        <v/>
      </c>
      <c r="H277" s="47">
        <f>Capacity_Reservations!J277</f>
        <v/>
      </c>
      <c r="I277" s="47">
        <f>Capacity_Reservations!K277</f>
        <v/>
      </c>
      <c r="J277" s="47">
        <f>Capacity_Reservations!L277</f>
        <v/>
      </c>
      <c r="K277" s="24">
        <f>IF(Allocation!$C$14&lt;&gt;1,0,IF(D277="Prod",IF(B277=Allocation!$C$9,SUMIF(Request!$A$13:$A$20,E277,Request!$D$13:$D$20),0),IF(D277="NonProd",IF(B277=Allocation!$C$10,SUMIF(Request!$A$13:$A$20,E277,Request!$D$13:$D$20),0),IF(AND(D277="DR",B277=Allocation!$C$11),ROUND(SUMIF(Request!$A$13:$A$20,E277,Request!$D$13:$D$20)*Policy!$B$15,0),0))))</f>
        <v/>
      </c>
      <c r="L277" s="24">
        <f>G277+K277</f>
        <v/>
      </c>
      <c r="M277" s="24">
        <f>MAX(0,J277-K277)</f>
        <v/>
      </c>
      <c r="N277" s="24">
        <f>MAX(0,K277-J277)</f>
        <v/>
      </c>
      <c r="O277" s="24">
        <f>L277+H277</f>
        <v/>
      </c>
      <c r="P277" s="25">
        <f>IF(K277=0,"",IF(N277&gt;0,"Request exceeded free cores","Placed"))</f>
        <v/>
      </c>
    </row>
    <row r="278">
      <c r="A278" s="32">
        <f>Capacity_Reservations!A278</f>
        <v/>
      </c>
      <c r="B278" s="32">
        <f>Capacity_Reservations!B278</f>
        <v/>
      </c>
      <c r="C278" s="33">
        <f>Capacity_Reservations!C278</f>
        <v/>
      </c>
      <c r="D278" s="33">
        <f>Capacity_Reservations!D278</f>
        <v/>
      </c>
      <c r="E278" s="32">
        <f>Capacity_Reservations!E278</f>
        <v/>
      </c>
      <c r="F278" s="33">
        <f>Capacity_Reservations!F278</f>
        <v/>
      </c>
      <c r="G278" s="47">
        <f>Capacity_Reservations!I278</f>
        <v/>
      </c>
      <c r="H278" s="47">
        <f>Capacity_Reservations!J278</f>
        <v/>
      </c>
      <c r="I278" s="47">
        <f>Capacity_Reservations!K278</f>
        <v/>
      </c>
      <c r="J278" s="47">
        <f>Capacity_Reservations!L278</f>
        <v/>
      </c>
      <c r="K278" s="24">
        <f>IF(Allocation!$C$14&lt;&gt;1,0,IF(D278="Prod",IF(B278=Allocation!$C$9,SUMIF(Request!$A$13:$A$20,E278,Request!$D$13:$D$20),0),IF(D278="NonProd",IF(B278=Allocation!$C$10,SUMIF(Request!$A$13:$A$20,E278,Request!$D$13:$D$20),0),IF(AND(D278="DR",B278=Allocation!$C$11),ROUND(SUMIF(Request!$A$13:$A$20,E278,Request!$D$13:$D$20)*Policy!$B$15,0),0))))</f>
        <v/>
      </c>
      <c r="L278" s="24">
        <f>G278+K278</f>
        <v/>
      </c>
      <c r="M278" s="24">
        <f>MAX(0,J278-K278)</f>
        <v/>
      </c>
      <c r="N278" s="24">
        <f>MAX(0,K278-J278)</f>
        <v/>
      </c>
      <c r="O278" s="24">
        <f>L278+H278</f>
        <v/>
      </c>
      <c r="P278" s="25">
        <f>IF(K278=0,"",IF(N278&gt;0,"Request exceeded free cores","Placed"))</f>
        <v/>
      </c>
    </row>
    <row r="279">
      <c r="A279" s="32">
        <f>Capacity_Reservations!A279</f>
        <v/>
      </c>
      <c r="B279" s="32">
        <f>Capacity_Reservations!B279</f>
        <v/>
      </c>
      <c r="C279" s="33">
        <f>Capacity_Reservations!C279</f>
        <v/>
      </c>
      <c r="D279" s="33">
        <f>Capacity_Reservations!D279</f>
        <v/>
      </c>
      <c r="E279" s="32">
        <f>Capacity_Reservations!E279</f>
        <v/>
      </c>
      <c r="F279" s="33">
        <f>Capacity_Reservations!F279</f>
        <v/>
      </c>
      <c r="G279" s="47">
        <f>Capacity_Reservations!I279</f>
        <v/>
      </c>
      <c r="H279" s="47">
        <f>Capacity_Reservations!J279</f>
        <v/>
      </c>
      <c r="I279" s="47">
        <f>Capacity_Reservations!K279</f>
        <v/>
      </c>
      <c r="J279" s="47">
        <f>Capacity_Reservations!L279</f>
        <v/>
      </c>
      <c r="K279" s="24">
        <f>IF(Allocation!$C$14&lt;&gt;1,0,IF(D279="Prod",IF(B279=Allocation!$C$9,SUMIF(Request!$A$13:$A$20,E279,Request!$D$13:$D$20),0),IF(D279="NonProd",IF(B279=Allocation!$C$10,SUMIF(Request!$A$13:$A$20,E279,Request!$D$13:$D$20),0),IF(AND(D279="DR",B279=Allocation!$C$11),ROUND(SUMIF(Request!$A$13:$A$20,E279,Request!$D$13:$D$20)*Policy!$B$15,0),0))))</f>
        <v/>
      </c>
      <c r="L279" s="24">
        <f>G279+K279</f>
        <v/>
      </c>
      <c r="M279" s="24">
        <f>MAX(0,J279-K279)</f>
        <v/>
      </c>
      <c r="N279" s="24">
        <f>MAX(0,K279-J279)</f>
        <v/>
      </c>
      <c r="O279" s="24">
        <f>L279+H279</f>
        <v/>
      </c>
      <c r="P279" s="25">
        <f>IF(K279=0,"",IF(N279&gt;0,"Request exceeded free cores","Placed"))</f>
        <v/>
      </c>
    </row>
    <row r="280">
      <c r="A280" s="32">
        <f>Capacity_Reservations!A280</f>
        <v/>
      </c>
      <c r="B280" s="32">
        <f>Capacity_Reservations!B280</f>
        <v/>
      </c>
      <c r="C280" s="33">
        <f>Capacity_Reservations!C280</f>
        <v/>
      </c>
      <c r="D280" s="33">
        <f>Capacity_Reservations!D280</f>
        <v/>
      </c>
      <c r="E280" s="32">
        <f>Capacity_Reservations!E280</f>
        <v/>
      </c>
      <c r="F280" s="33">
        <f>Capacity_Reservations!F280</f>
        <v/>
      </c>
      <c r="G280" s="47">
        <f>Capacity_Reservations!I280</f>
        <v/>
      </c>
      <c r="H280" s="47">
        <f>Capacity_Reservations!J280</f>
        <v/>
      </c>
      <c r="I280" s="47">
        <f>Capacity_Reservations!K280</f>
        <v/>
      </c>
      <c r="J280" s="47">
        <f>Capacity_Reservations!L280</f>
        <v/>
      </c>
      <c r="K280" s="24">
        <f>IF(Allocation!$C$14&lt;&gt;1,0,IF(D280="Prod",IF(B280=Allocation!$C$9,SUMIF(Request!$A$13:$A$20,E280,Request!$D$13:$D$20),0),IF(D280="NonProd",IF(B280=Allocation!$C$10,SUMIF(Request!$A$13:$A$20,E280,Request!$D$13:$D$20),0),IF(AND(D280="DR",B280=Allocation!$C$11),ROUND(SUMIF(Request!$A$13:$A$20,E280,Request!$D$13:$D$20)*Policy!$B$15,0),0))))</f>
        <v/>
      </c>
      <c r="L280" s="24">
        <f>G280+K280</f>
        <v/>
      </c>
      <c r="M280" s="24">
        <f>MAX(0,J280-K280)</f>
        <v/>
      </c>
      <c r="N280" s="24">
        <f>MAX(0,K280-J280)</f>
        <v/>
      </c>
      <c r="O280" s="24">
        <f>L280+H280</f>
        <v/>
      </c>
      <c r="P280" s="25">
        <f>IF(K280=0,"",IF(N280&gt;0,"Request exceeded free cores","Placed"))</f>
        <v/>
      </c>
    </row>
    <row r="281">
      <c r="A281" s="32">
        <f>Capacity_Reservations!A281</f>
        <v/>
      </c>
      <c r="B281" s="32">
        <f>Capacity_Reservations!B281</f>
        <v/>
      </c>
      <c r="C281" s="33">
        <f>Capacity_Reservations!C281</f>
        <v/>
      </c>
      <c r="D281" s="33">
        <f>Capacity_Reservations!D281</f>
        <v/>
      </c>
      <c r="E281" s="32">
        <f>Capacity_Reservations!E281</f>
        <v/>
      </c>
      <c r="F281" s="33">
        <f>Capacity_Reservations!F281</f>
        <v/>
      </c>
      <c r="G281" s="47">
        <f>Capacity_Reservations!I281</f>
        <v/>
      </c>
      <c r="H281" s="47">
        <f>Capacity_Reservations!J281</f>
        <v/>
      </c>
      <c r="I281" s="47">
        <f>Capacity_Reservations!K281</f>
        <v/>
      </c>
      <c r="J281" s="47">
        <f>Capacity_Reservations!L281</f>
        <v/>
      </c>
      <c r="K281" s="24">
        <f>IF(Allocation!$C$14&lt;&gt;1,0,IF(D281="Prod",IF(B281=Allocation!$C$9,SUMIF(Request!$A$13:$A$20,E281,Request!$D$13:$D$20),0),IF(D281="NonProd",IF(B281=Allocation!$C$10,SUMIF(Request!$A$13:$A$20,E281,Request!$D$13:$D$20),0),IF(AND(D281="DR",B281=Allocation!$C$11),ROUND(SUMIF(Request!$A$13:$A$20,E281,Request!$D$13:$D$20)*Policy!$B$15,0),0))))</f>
        <v/>
      </c>
      <c r="L281" s="24">
        <f>G281+K281</f>
        <v/>
      </c>
      <c r="M281" s="24">
        <f>MAX(0,J281-K281)</f>
        <v/>
      </c>
      <c r="N281" s="24">
        <f>MAX(0,K281-J281)</f>
        <v/>
      </c>
      <c r="O281" s="24">
        <f>L281+H281</f>
        <v/>
      </c>
      <c r="P281" s="25">
        <f>IF(K281=0,"",IF(N281&gt;0,"Request exceeded free cores","Placed"))</f>
        <v/>
      </c>
    </row>
    <row r="282">
      <c r="A282" s="32">
        <f>Capacity_Reservations!A282</f>
        <v/>
      </c>
      <c r="B282" s="32">
        <f>Capacity_Reservations!B282</f>
        <v/>
      </c>
      <c r="C282" s="33">
        <f>Capacity_Reservations!C282</f>
        <v/>
      </c>
      <c r="D282" s="33">
        <f>Capacity_Reservations!D282</f>
        <v/>
      </c>
      <c r="E282" s="32">
        <f>Capacity_Reservations!E282</f>
        <v/>
      </c>
      <c r="F282" s="33">
        <f>Capacity_Reservations!F282</f>
        <v/>
      </c>
      <c r="G282" s="47">
        <f>Capacity_Reservations!I282</f>
        <v/>
      </c>
      <c r="H282" s="47">
        <f>Capacity_Reservations!J282</f>
        <v/>
      </c>
      <c r="I282" s="47">
        <f>Capacity_Reservations!K282</f>
        <v/>
      </c>
      <c r="J282" s="47">
        <f>Capacity_Reservations!L282</f>
        <v/>
      </c>
      <c r="K282" s="24">
        <f>IF(Allocation!$C$14&lt;&gt;1,0,IF(D282="Prod",IF(B282=Allocation!$C$9,SUMIF(Request!$A$13:$A$20,E282,Request!$D$13:$D$20),0),IF(D282="NonProd",IF(B282=Allocation!$C$10,SUMIF(Request!$A$13:$A$20,E282,Request!$D$13:$D$20),0),IF(AND(D282="DR",B282=Allocation!$C$11),ROUND(SUMIF(Request!$A$13:$A$20,E282,Request!$D$13:$D$20)*Policy!$B$15,0),0))))</f>
        <v/>
      </c>
      <c r="L282" s="24">
        <f>G282+K282</f>
        <v/>
      </c>
      <c r="M282" s="24">
        <f>MAX(0,J282-K282)</f>
        <v/>
      </c>
      <c r="N282" s="24">
        <f>MAX(0,K282-J282)</f>
        <v/>
      </c>
      <c r="O282" s="24">
        <f>L282+H282</f>
        <v/>
      </c>
      <c r="P282" s="25">
        <f>IF(K282=0,"",IF(N282&gt;0,"Request exceeded free cores","Placed"))</f>
        <v/>
      </c>
    </row>
    <row r="283">
      <c r="A283" s="32">
        <f>Capacity_Reservations!A283</f>
        <v/>
      </c>
      <c r="B283" s="32">
        <f>Capacity_Reservations!B283</f>
        <v/>
      </c>
      <c r="C283" s="33">
        <f>Capacity_Reservations!C283</f>
        <v/>
      </c>
      <c r="D283" s="33">
        <f>Capacity_Reservations!D283</f>
        <v/>
      </c>
      <c r="E283" s="32">
        <f>Capacity_Reservations!E283</f>
        <v/>
      </c>
      <c r="F283" s="33">
        <f>Capacity_Reservations!F283</f>
        <v/>
      </c>
      <c r="G283" s="47">
        <f>Capacity_Reservations!I283</f>
        <v/>
      </c>
      <c r="H283" s="47">
        <f>Capacity_Reservations!J283</f>
        <v/>
      </c>
      <c r="I283" s="47">
        <f>Capacity_Reservations!K283</f>
        <v/>
      </c>
      <c r="J283" s="47">
        <f>Capacity_Reservations!L283</f>
        <v/>
      </c>
      <c r="K283" s="24">
        <f>IF(Allocation!$C$14&lt;&gt;1,0,IF(D283="Prod",IF(B283=Allocation!$C$9,SUMIF(Request!$A$13:$A$20,E283,Request!$D$13:$D$20),0),IF(D283="NonProd",IF(B283=Allocation!$C$10,SUMIF(Request!$A$13:$A$20,E283,Request!$D$13:$D$20),0),IF(AND(D283="DR",B283=Allocation!$C$11),ROUND(SUMIF(Request!$A$13:$A$20,E283,Request!$D$13:$D$20)*Policy!$B$15,0),0))))</f>
        <v/>
      </c>
      <c r="L283" s="24">
        <f>G283+K283</f>
        <v/>
      </c>
      <c r="M283" s="24">
        <f>MAX(0,J283-K283)</f>
        <v/>
      </c>
      <c r="N283" s="24">
        <f>MAX(0,K283-J283)</f>
        <v/>
      </c>
      <c r="O283" s="24">
        <f>L283+H283</f>
        <v/>
      </c>
      <c r="P283" s="25">
        <f>IF(K283=0,"",IF(N283&gt;0,"Request exceeded free cores","Placed"))</f>
        <v/>
      </c>
    </row>
    <row r="284">
      <c r="A284" s="32">
        <f>Capacity_Reservations!A284</f>
        <v/>
      </c>
      <c r="B284" s="32">
        <f>Capacity_Reservations!B284</f>
        <v/>
      </c>
      <c r="C284" s="33">
        <f>Capacity_Reservations!C284</f>
        <v/>
      </c>
      <c r="D284" s="33">
        <f>Capacity_Reservations!D284</f>
        <v/>
      </c>
      <c r="E284" s="32">
        <f>Capacity_Reservations!E284</f>
        <v/>
      </c>
      <c r="F284" s="33">
        <f>Capacity_Reservations!F284</f>
        <v/>
      </c>
      <c r="G284" s="47">
        <f>Capacity_Reservations!I284</f>
        <v/>
      </c>
      <c r="H284" s="47">
        <f>Capacity_Reservations!J284</f>
        <v/>
      </c>
      <c r="I284" s="47">
        <f>Capacity_Reservations!K284</f>
        <v/>
      </c>
      <c r="J284" s="47">
        <f>Capacity_Reservations!L284</f>
        <v/>
      </c>
      <c r="K284" s="24">
        <f>IF(Allocation!$C$14&lt;&gt;1,0,IF(D284="Prod",IF(B284=Allocation!$C$9,SUMIF(Request!$A$13:$A$20,E284,Request!$D$13:$D$20),0),IF(D284="NonProd",IF(B284=Allocation!$C$10,SUMIF(Request!$A$13:$A$20,E284,Request!$D$13:$D$20),0),IF(AND(D284="DR",B284=Allocation!$C$11),ROUND(SUMIF(Request!$A$13:$A$20,E284,Request!$D$13:$D$20)*Policy!$B$15,0),0))))</f>
        <v/>
      </c>
      <c r="L284" s="24">
        <f>G284+K284</f>
        <v/>
      </c>
      <c r="M284" s="24">
        <f>MAX(0,J284-K284)</f>
        <v/>
      </c>
      <c r="N284" s="24">
        <f>MAX(0,K284-J284)</f>
        <v/>
      </c>
      <c r="O284" s="24">
        <f>L284+H284</f>
        <v/>
      </c>
      <c r="P284" s="25">
        <f>IF(K284=0,"",IF(N284&gt;0,"Request exceeded free cores","Placed"))</f>
        <v/>
      </c>
    </row>
    <row r="285">
      <c r="A285" s="32">
        <f>Capacity_Reservations!A285</f>
        <v/>
      </c>
      <c r="B285" s="32">
        <f>Capacity_Reservations!B285</f>
        <v/>
      </c>
      <c r="C285" s="33">
        <f>Capacity_Reservations!C285</f>
        <v/>
      </c>
      <c r="D285" s="33">
        <f>Capacity_Reservations!D285</f>
        <v/>
      </c>
      <c r="E285" s="32">
        <f>Capacity_Reservations!E285</f>
        <v/>
      </c>
      <c r="F285" s="33">
        <f>Capacity_Reservations!F285</f>
        <v/>
      </c>
      <c r="G285" s="47">
        <f>Capacity_Reservations!I285</f>
        <v/>
      </c>
      <c r="H285" s="47">
        <f>Capacity_Reservations!J285</f>
        <v/>
      </c>
      <c r="I285" s="47">
        <f>Capacity_Reservations!K285</f>
        <v/>
      </c>
      <c r="J285" s="47">
        <f>Capacity_Reservations!L285</f>
        <v/>
      </c>
      <c r="K285" s="24">
        <f>IF(Allocation!$C$14&lt;&gt;1,0,IF(D285="Prod",IF(B285=Allocation!$C$9,SUMIF(Request!$A$13:$A$20,E285,Request!$D$13:$D$20),0),IF(D285="NonProd",IF(B285=Allocation!$C$10,SUMIF(Request!$A$13:$A$20,E285,Request!$D$13:$D$20),0),IF(AND(D285="DR",B285=Allocation!$C$11),ROUND(SUMIF(Request!$A$13:$A$20,E285,Request!$D$13:$D$20)*Policy!$B$15,0),0))))</f>
        <v/>
      </c>
      <c r="L285" s="24">
        <f>G285+K285</f>
        <v/>
      </c>
      <c r="M285" s="24">
        <f>MAX(0,J285-K285)</f>
        <v/>
      </c>
      <c r="N285" s="24">
        <f>MAX(0,K285-J285)</f>
        <v/>
      </c>
      <c r="O285" s="24">
        <f>L285+H285</f>
        <v/>
      </c>
      <c r="P285" s="25">
        <f>IF(K285=0,"",IF(N285&gt;0,"Request exceeded free cores","Placed"))</f>
        <v/>
      </c>
    </row>
    <row r="286">
      <c r="A286" s="32">
        <f>Capacity_Reservations!A286</f>
        <v/>
      </c>
      <c r="B286" s="32">
        <f>Capacity_Reservations!B286</f>
        <v/>
      </c>
      <c r="C286" s="33">
        <f>Capacity_Reservations!C286</f>
        <v/>
      </c>
      <c r="D286" s="33">
        <f>Capacity_Reservations!D286</f>
        <v/>
      </c>
      <c r="E286" s="32">
        <f>Capacity_Reservations!E286</f>
        <v/>
      </c>
      <c r="F286" s="33">
        <f>Capacity_Reservations!F286</f>
        <v/>
      </c>
      <c r="G286" s="47">
        <f>Capacity_Reservations!I286</f>
        <v/>
      </c>
      <c r="H286" s="47">
        <f>Capacity_Reservations!J286</f>
        <v/>
      </c>
      <c r="I286" s="47">
        <f>Capacity_Reservations!K286</f>
        <v/>
      </c>
      <c r="J286" s="47">
        <f>Capacity_Reservations!L286</f>
        <v/>
      </c>
      <c r="K286" s="24">
        <f>IF(Allocation!$C$14&lt;&gt;1,0,IF(D286="Prod",IF(B286=Allocation!$C$9,SUMIF(Request!$A$13:$A$20,E286,Request!$D$13:$D$20),0),IF(D286="NonProd",IF(B286=Allocation!$C$10,SUMIF(Request!$A$13:$A$20,E286,Request!$D$13:$D$20),0),IF(AND(D286="DR",B286=Allocation!$C$11),ROUND(SUMIF(Request!$A$13:$A$20,E286,Request!$D$13:$D$20)*Policy!$B$15,0),0))))</f>
        <v/>
      </c>
      <c r="L286" s="24">
        <f>G286+K286</f>
        <v/>
      </c>
      <c r="M286" s="24">
        <f>MAX(0,J286-K286)</f>
        <v/>
      </c>
      <c r="N286" s="24">
        <f>MAX(0,K286-J286)</f>
        <v/>
      </c>
      <c r="O286" s="24">
        <f>L286+H286</f>
        <v/>
      </c>
      <c r="P286" s="25">
        <f>IF(K286=0,"",IF(N286&gt;0,"Request exceeded free cores","Placed"))</f>
        <v/>
      </c>
    </row>
    <row r="287">
      <c r="A287" s="32">
        <f>Capacity_Reservations!A287</f>
        <v/>
      </c>
      <c r="B287" s="32">
        <f>Capacity_Reservations!B287</f>
        <v/>
      </c>
      <c r="C287" s="33">
        <f>Capacity_Reservations!C287</f>
        <v/>
      </c>
      <c r="D287" s="33">
        <f>Capacity_Reservations!D287</f>
        <v/>
      </c>
      <c r="E287" s="32">
        <f>Capacity_Reservations!E287</f>
        <v/>
      </c>
      <c r="F287" s="33">
        <f>Capacity_Reservations!F287</f>
        <v/>
      </c>
      <c r="G287" s="47">
        <f>Capacity_Reservations!I287</f>
        <v/>
      </c>
      <c r="H287" s="47">
        <f>Capacity_Reservations!J287</f>
        <v/>
      </c>
      <c r="I287" s="47">
        <f>Capacity_Reservations!K287</f>
        <v/>
      </c>
      <c r="J287" s="47">
        <f>Capacity_Reservations!L287</f>
        <v/>
      </c>
      <c r="K287" s="24">
        <f>IF(Allocation!$C$14&lt;&gt;1,0,IF(D287="Prod",IF(B287=Allocation!$C$9,SUMIF(Request!$A$13:$A$20,E287,Request!$D$13:$D$20),0),IF(D287="NonProd",IF(B287=Allocation!$C$10,SUMIF(Request!$A$13:$A$20,E287,Request!$D$13:$D$20),0),IF(AND(D287="DR",B287=Allocation!$C$11),ROUND(SUMIF(Request!$A$13:$A$20,E287,Request!$D$13:$D$20)*Policy!$B$15,0),0))))</f>
        <v/>
      </c>
      <c r="L287" s="24">
        <f>G287+K287</f>
        <v/>
      </c>
      <c r="M287" s="24">
        <f>MAX(0,J287-K287)</f>
        <v/>
      </c>
      <c r="N287" s="24">
        <f>MAX(0,K287-J287)</f>
        <v/>
      </c>
      <c r="O287" s="24">
        <f>L287+H287</f>
        <v/>
      </c>
      <c r="P287" s="25">
        <f>IF(K287=0,"",IF(N287&gt;0,"Request exceeded free cores","Placed"))</f>
        <v/>
      </c>
    </row>
    <row r="288">
      <c r="A288" s="32">
        <f>Capacity_Reservations!A288</f>
        <v/>
      </c>
      <c r="B288" s="32">
        <f>Capacity_Reservations!B288</f>
        <v/>
      </c>
      <c r="C288" s="33">
        <f>Capacity_Reservations!C288</f>
        <v/>
      </c>
      <c r="D288" s="33">
        <f>Capacity_Reservations!D288</f>
        <v/>
      </c>
      <c r="E288" s="32">
        <f>Capacity_Reservations!E288</f>
        <v/>
      </c>
      <c r="F288" s="33">
        <f>Capacity_Reservations!F288</f>
        <v/>
      </c>
      <c r="G288" s="47">
        <f>Capacity_Reservations!I288</f>
        <v/>
      </c>
      <c r="H288" s="47">
        <f>Capacity_Reservations!J288</f>
        <v/>
      </c>
      <c r="I288" s="47">
        <f>Capacity_Reservations!K288</f>
        <v/>
      </c>
      <c r="J288" s="47">
        <f>Capacity_Reservations!L288</f>
        <v/>
      </c>
      <c r="K288" s="24">
        <f>IF(Allocation!$C$14&lt;&gt;1,0,IF(D288="Prod",IF(B288=Allocation!$C$9,SUMIF(Request!$A$13:$A$20,E288,Request!$D$13:$D$20),0),IF(D288="NonProd",IF(B288=Allocation!$C$10,SUMIF(Request!$A$13:$A$20,E288,Request!$D$13:$D$20),0),IF(AND(D288="DR",B288=Allocation!$C$11),ROUND(SUMIF(Request!$A$13:$A$20,E288,Request!$D$13:$D$20)*Policy!$B$15,0),0))))</f>
        <v/>
      </c>
      <c r="L288" s="24">
        <f>G288+K288</f>
        <v/>
      </c>
      <c r="M288" s="24">
        <f>MAX(0,J288-K288)</f>
        <v/>
      </c>
      <c r="N288" s="24">
        <f>MAX(0,K288-J288)</f>
        <v/>
      </c>
      <c r="O288" s="24">
        <f>L288+H288</f>
        <v/>
      </c>
      <c r="P288" s="25">
        <f>IF(K288=0,"",IF(N288&gt;0,"Request exceeded free cores","Placed"))</f>
        <v/>
      </c>
    </row>
    <row r="289">
      <c r="A289" s="32">
        <f>Capacity_Reservations!A289</f>
        <v/>
      </c>
      <c r="B289" s="32">
        <f>Capacity_Reservations!B289</f>
        <v/>
      </c>
      <c r="C289" s="33">
        <f>Capacity_Reservations!C289</f>
        <v/>
      </c>
      <c r="D289" s="33">
        <f>Capacity_Reservations!D289</f>
        <v/>
      </c>
      <c r="E289" s="32">
        <f>Capacity_Reservations!E289</f>
        <v/>
      </c>
      <c r="F289" s="33">
        <f>Capacity_Reservations!F289</f>
        <v/>
      </c>
      <c r="G289" s="47">
        <f>Capacity_Reservations!I289</f>
        <v/>
      </c>
      <c r="H289" s="47">
        <f>Capacity_Reservations!J289</f>
        <v/>
      </c>
      <c r="I289" s="47">
        <f>Capacity_Reservations!K289</f>
        <v/>
      </c>
      <c r="J289" s="47">
        <f>Capacity_Reservations!L289</f>
        <v/>
      </c>
      <c r="K289" s="24">
        <f>IF(Allocation!$C$14&lt;&gt;1,0,IF(D289="Prod",IF(B289=Allocation!$C$9,SUMIF(Request!$A$13:$A$20,E289,Request!$D$13:$D$20),0),IF(D289="NonProd",IF(B289=Allocation!$C$10,SUMIF(Request!$A$13:$A$20,E289,Request!$D$13:$D$20),0),IF(AND(D289="DR",B289=Allocation!$C$11),ROUND(SUMIF(Request!$A$13:$A$20,E289,Request!$D$13:$D$20)*Policy!$B$15,0),0))))</f>
        <v/>
      </c>
      <c r="L289" s="24">
        <f>G289+K289</f>
        <v/>
      </c>
      <c r="M289" s="24">
        <f>MAX(0,J289-K289)</f>
        <v/>
      </c>
      <c r="N289" s="24">
        <f>MAX(0,K289-J289)</f>
        <v/>
      </c>
      <c r="O289" s="24">
        <f>L289+H289</f>
        <v/>
      </c>
      <c r="P289" s="25">
        <f>IF(K289=0,"",IF(N289&gt;0,"Request exceeded free cores","Placed"))</f>
        <v/>
      </c>
    </row>
    <row r="290">
      <c r="A290" s="32">
        <f>Capacity_Reservations!A290</f>
        <v/>
      </c>
      <c r="B290" s="32">
        <f>Capacity_Reservations!B290</f>
        <v/>
      </c>
      <c r="C290" s="33">
        <f>Capacity_Reservations!C290</f>
        <v/>
      </c>
      <c r="D290" s="33">
        <f>Capacity_Reservations!D290</f>
        <v/>
      </c>
      <c r="E290" s="32">
        <f>Capacity_Reservations!E290</f>
        <v/>
      </c>
      <c r="F290" s="33">
        <f>Capacity_Reservations!F290</f>
        <v/>
      </c>
      <c r="G290" s="47">
        <f>Capacity_Reservations!I290</f>
        <v/>
      </c>
      <c r="H290" s="47">
        <f>Capacity_Reservations!J290</f>
        <v/>
      </c>
      <c r="I290" s="47">
        <f>Capacity_Reservations!K290</f>
        <v/>
      </c>
      <c r="J290" s="47">
        <f>Capacity_Reservations!L290</f>
        <v/>
      </c>
      <c r="K290" s="24">
        <f>IF(Allocation!$C$14&lt;&gt;1,0,IF(D290="Prod",IF(B290=Allocation!$C$9,SUMIF(Request!$A$13:$A$20,E290,Request!$D$13:$D$20),0),IF(D290="NonProd",IF(B290=Allocation!$C$10,SUMIF(Request!$A$13:$A$20,E290,Request!$D$13:$D$20),0),IF(AND(D290="DR",B290=Allocation!$C$11),ROUND(SUMIF(Request!$A$13:$A$20,E290,Request!$D$13:$D$20)*Policy!$B$15,0),0))))</f>
        <v/>
      </c>
      <c r="L290" s="24">
        <f>G290+K290</f>
        <v/>
      </c>
      <c r="M290" s="24">
        <f>MAX(0,J290-K290)</f>
        <v/>
      </c>
      <c r="N290" s="24">
        <f>MAX(0,K290-J290)</f>
        <v/>
      </c>
      <c r="O290" s="24">
        <f>L290+H290</f>
        <v/>
      </c>
      <c r="P290" s="25">
        <f>IF(K290=0,"",IF(N290&gt;0,"Request exceeded free cores","Placed"))</f>
        <v/>
      </c>
    </row>
    <row r="291">
      <c r="A291" s="32">
        <f>Capacity_Reservations!A291</f>
        <v/>
      </c>
      <c r="B291" s="32">
        <f>Capacity_Reservations!B291</f>
        <v/>
      </c>
      <c r="C291" s="33">
        <f>Capacity_Reservations!C291</f>
        <v/>
      </c>
      <c r="D291" s="33">
        <f>Capacity_Reservations!D291</f>
        <v/>
      </c>
      <c r="E291" s="32">
        <f>Capacity_Reservations!E291</f>
        <v/>
      </c>
      <c r="F291" s="33">
        <f>Capacity_Reservations!F291</f>
        <v/>
      </c>
      <c r="G291" s="47">
        <f>Capacity_Reservations!I291</f>
        <v/>
      </c>
      <c r="H291" s="47">
        <f>Capacity_Reservations!J291</f>
        <v/>
      </c>
      <c r="I291" s="47">
        <f>Capacity_Reservations!K291</f>
        <v/>
      </c>
      <c r="J291" s="47">
        <f>Capacity_Reservations!L291</f>
        <v/>
      </c>
      <c r="K291" s="24">
        <f>IF(Allocation!$C$14&lt;&gt;1,0,IF(D291="Prod",IF(B291=Allocation!$C$9,SUMIF(Request!$A$13:$A$20,E291,Request!$D$13:$D$20),0),IF(D291="NonProd",IF(B291=Allocation!$C$10,SUMIF(Request!$A$13:$A$20,E291,Request!$D$13:$D$20),0),IF(AND(D291="DR",B291=Allocation!$C$11),ROUND(SUMIF(Request!$A$13:$A$20,E291,Request!$D$13:$D$20)*Policy!$B$15,0),0))))</f>
        <v/>
      </c>
      <c r="L291" s="24">
        <f>G291+K291</f>
        <v/>
      </c>
      <c r="M291" s="24">
        <f>MAX(0,J291-K291)</f>
        <v/>
      </c>
      <c r="N291" s="24">
        <f>MAX(0,K291-J291)</f>
        <v/>
      </c>
      <c r="O291" s="24">
        <f>L291+H291</f>
        <v/>
      </c>
      <c r="P291" s="25">
        <f>IF(K291=0,"",IF(N291&gt;0,"Request exceeded free cores","Placed"))</f>
        <v/>
      </c>
    </row>
    <row r="292">
      <c r="A292" s="32">
        <f>Capacity_Reservations!A292</f>
        <v/>
      </c>
      <c r="B292" s="32">
        <f>Capacity_Reservations!B292</f>
        <v/>
      </c>
      <c r="C292" s="33">
        <f>Capacity_Reservations!C292</f>
        <v/>
      </c>
      <c r="D292" s="33">
        <f>Capacity_Reservations!D292</f>
        <v/>
      </c>
      <c r="E292" s="32">
        <f>Capacity_Reservations!E292</f>
        <v/>
      </c>
      <c r="F292" s="33">
        <f>Capacity_Reservations!F292</f>
        <v/>
      </c>
      <c r="G292" s="47">
        <f>Capacity_Reservations!I292</f>
        <v/>
      </c>
      <c r="H292" s="47">
        <f>Capacity_Reservations!J292</f>
        <v/>
      </c>
      <c r="I292" s="47">
        <f>Capacity_Reservations!K292</f>
        <v/>
      </c>
      <c r="J292" s="47">
        <f>Capacity_Reservations!L292</f>
        <v/>
      </c>
      <c r="K292" s="24">
        <f>IF(Allocation!$C$14&lt;&gt;1,0,IF(D292="Prod",IF(B292=Allocation!$C$9,SUMIF(Request!$A$13:$A$20,E292,Request!$D$13:$D$20),0),IF(D292="NonProd",IF(B292=Allocation!$C$10,SUMIF(Request!$A$13:$A$20,E292,Request!$D$13:$D$20),0),IF(AND(D292="DR",B292=Allocation!$C$11),ROUND(SUMIF(Request!$A$13:$A$20,E292,Request!$D$13:$D$20)*Policy!$B$15,0),0))))</f>
        <v/>
      </c>
      <c r="L292" s="24">
        <f>G292+K292</f>
        <v/>
      </c>
      <c r="M292" s="24">
        <f>MAX(0,J292-K292)</f>
        <v/>
      </c>
      <c r="N292" s="24">
        <f>MAX(0,K292-J292)</f>
        <v/>
      </c>
      <c r="O292" s="24">
        <f>L292+H292</f>
        <v/>
      </c>
      <c r="P292" s="25">
        <f>IF(K292=0,"",IF(N292&gt;0,"Request exceeded free cores","Placed"))</f>
        <v/>
      </c>
    </row>
    <row r="293">
      <c r="A293" s="32">
        <f>Capacity_Reservations!A293</f>
        <v/>
      </c>
      <c r="B293" s="32">
        <f>Capacity_Reservations!B293</f>
        <v/>
      </c>
      <c r="C293" s="33">
        <f>Capacity_Reservations!C293</f>
        <v/>
      </c>
      <c r="D293" s="33">
        <f>Capacity_Reservations!D293</f>
        <v/>
      </c>
      <c r="E293" s="32">
        <f>Capacity_Reservations!E293</f>
        <v/>
      </c>
      <c r="F293" s="33">
        <f>Capacity_Reservations!F293</f>
        <v/>
      </c>
      <c r="G293" s="47">
        <f>Capacity_Reservations!I293</f>
        <v/>
      </c>
      <c r="H293" s="47">
        <f>Capacity_Reservations!J293</f>
        <v/>
      </c>
      <c r="I293" s="47">
        <f>Capacity_Reservations!K293</f>
        <v/>
      </c>
      <c r="J293" s="47">
        <f>Capacity_Reservations!L293</f>
        <v/>
      </c>
      <c r="K293" s="24">
        <f>IF(Allocation!$C$14&lt;&gt;1,0,IF(D293="Prod",IF(B293=Allocation!$C$9,SUMIF(Request!$A$13:$A$20,E293,Request!$D$13:$D$20),0),IF(D293="NonProd",IF(B293=Allocation!$C$10,SUMIF(Request!$A$13:$A$20,E293,Request!$D$13:$D$20),0),IF(AND(D293="DR",B293=Allocation!$C$11),ROUND(SUMIF(Request!$A$13:$A$20,E293,Request!$D$13:$D$20)*Policy!$B$15,0),0))))</f>
        <v/>
      </c>
      <c r="L293" s="24">
        <f>G293+K293</f>
        <v/>
      </c>
      <c r="M293" s="24">
        <f>MAX(0,J293-K293)</f>
        <v/>
      </c>
      <c r="N293" s="24">
        <f>MAX(0,K293-J293)</f>
        <v/>
      </c>
      <c r="O293" s="24">
        <f>L293+H293</f>
        <v/>
      </c>
      <c r="P293" s="25">
        <f>IF(K293=0,"",IF(N293&gt;0,"Request exceeded free cores","Placed"))</f>
        <v/>
      </c>
    </row>
    <row r="294">
      <c r="A294" s="32">
        <f>Capacity_Reservations!A294</f>
        <v/>
      </c>
      <c r="B294" s="32">
        <f>Capacity_Reservations!B294</f>
        <v/>
      </c>
      <c r="C294" s="33">
        <f>Capacity_Reservations!C294</f>
        <v/>
      </c>
      <c r="D294" s="33">
        <f>Capacity_Reservations!D294</f>
        <v/>
      </c>
      <c r="E294" s="32">
        <f>Capacity_Reservations!E294</f>
        <v/>
      </c>
      <c r="F294" s="33">
        <f>Capacity_Reservations!F294</f>
        <v/>
      </c>
      <c r="G294" s="47">
        <f>Capacity_Reservations!I294</f>
        <v/>
      </c>
      <c r="H294" s="47">
        <f>Capacity_Reservations!J294</f>
        <v/>
      </c>
      <c r="I294" s="47">
        <f>Capacity_Reservations!K294</f>
        <v/>
      </c>
      <c r="J294" s="47">
        <f>Capacity_Reservations!L294</f>
        <v/>
      </c>
      <c r="K294" s="24">
        <f>IF(Allocation!$C$14&lt;&gt;1,0,IF(D294="Prod",IF(B294=Allocation!$C$9,SUMIF(Request!$A$13:$A$20,E294,Request!$D$13:$D$20),0),IF(D294="NonProd",IF(B294=Allocation!$C$10,SUMIF(Request!$A$13:$A$20,E294,Request!$D$13:$D$20),0),IF(AND(D294="DR",B294=Allocation!$C$11),ROUND(SUMIF(Request!$A$13:$A$20,E294,Request!$D$13:$D$20)*Policy!$B$15,0),0))))</f>
        <v/>
      </c>
      <c r="L294" s="24">
        <f>G294+K294</f>
        <v/>
      </c>
      <c r="M294" s="24">
        <f>MAX(0,J294-K294)</f>
        <v/>
      </c>
      <c r="N294" s="24">
        <f>MAX(0,K294-J294)</f>
        <v/>
      </c>
      <c r="O294" s="24">
        <f>L294+H294</f>
        <v/>
      </c>
      <c r="P294" s="25">
        <f>IF(K294=0,"",IF(N294&gt;0,"Request exceeded free cores","Placed"))</f>
        <v/>
      </c>
    </row>
    <row r="295">
      <c r="A295" s="32">
        <f>Capacity_Reservations!A295</f>
        <v/>
      </c>
      <c r="B295" s="32">
        <f>Capacity_Reservations!B295</f>
        <v/>
      </c>
      <c r="C295" s="33">
        <f>Capacity_Reservations!C295</f>
        <v/>
      </c>
      <c r="D295" s="33">
        <f>Capacity_Reservations!D295</f>
        <v/>
      </c>
      <c r="E295" s="32">
        <f>Capacity_Reservations!E295</f>
        <v/>
      </c>
      <c r="F295" s="33">
        <f>Capacity_Reservations!F295</f>
        <v/>
      </c>
      <c r="G295" s="47">
        <f>Capacity_Reservations!I295</f>
        <v/>
      </c>
      <c r="H295" s="47">
        <f>Capacity_Reservations!J295</f>
        <v/>
      </c>
      <c r="I295" s="47">
        <f>Capacity_Reservations!K295</f>
        <v/>
      </c>
      <c r="J295" s="47">
        <f>Capacity_Reservations!L295</f>
        <v/>
      </c>
      <c r="K295" s="24">
        <f>IF(Allocation!$C$14&lt;&gt;1,0,IF(D295="Prod",IF(B295=Allocation!$C$9,SUMIF(Request!$A$13:$A$20,E295,Request!$D$13:$D$20),0),IF(D295="NonProd",IF(B295=Allocation!$C$10,SUMIF(Request!$A$13:$A$20,E295,Request!$D$13:$D$20),0),IF(AND(D295="DR",B295=Allocation!$C$11),ROUND(SUMIF(Request!$A$13:$A$20,E295,Request!$D$13:$D$20)*Policy!$B$15,0),0))))</f>
        <v/>
      </c>
      <c r="L295" s="24">
        <f>G295+K295</f>
        <v/>
      </c>
      <c r="M295" s="24">
        <f>MAX(0,J295-K295)</f>
        <v/>
      </c>
      <c r="N295" s="24">
        <f>MAX(0,K295-J295)</f>
        <v/>
      </c>
      <c r="O295" s="24">
        <f>L295+H295</f>
        <v/>
      </c>
      <c r="P295" s="25">
        <f>IF(K295=0,"",IF(N295&gt;0,"Request exceeded free cores","Placed"))</f>
        <v/>
      </c>
    </row>
    <row r="296">
      <c r="A296" s="32">
        <f>Capacity_Reservations!A296</f>
        <v/>
      </c>
      <c r="B296" s="32">
        <f>Capacity_Reservations!B296</f>
        <v/>
      </c>
      <c r="C296" s="33">
        <f>Capacity_Reservations!C296</f>
        <v/>
      </c>
      <c r="D296" s="33">
        <f>Capacity_Reservations!D296</f>
        <v/>
      </c>
      <c r="E296" s="32">
        <f>Capacity_Reservations!E296</f>
        <v/>
      </c>
      <c r="F296" s="33">
        <f>Capacity_Reservations!F296</f>
        <v/>
      </c>
      <c r="G296" s="47">
        <f>Capacity_Reservations!I296</f>
        <v/>
      </c>
      <c r="H296" s="47">
        <f>Capacity_Reservations!J296</f>
        <v/>
      </c>
      <c r="I296" s="47">
        <f>Capacity_Reservations!K296</f>
        <v/>
      </c>
      <c r="J296" s="47">
        <f>Capacity_Reservations!L296</f>
        <v/>
      </c>
      <c r="K296" s="24">
        <f>IF(Allocation!$C$14&lt;&gt;1,0,IF(D296="Prod",IF(B296=Allocation!$C$9,SUMIF(Request!$A$13:$A$20,E296,Request!$D$13:$D$20),0),IF(D296="NonProd",IF(B296=Allocation!$C$10,SUMIF(Request!$A$13:$A$20,E296,Request!$D$13:$D$20),0),IF(AND(D296="DR",B296=Allocation!$C$11),ROUND(SUMIF(Request!$A$13:$A$20,E296,Request!$D$13:$D$20)*Policy!$B$15,0),0))))</f>
        <v/>
      </c>
      <c r="L296" s="24">
        <f>G296+K296</f>
        <v/>
      </c>
      <c r="M296" s="24">
        <f>MAX(0,J296-K296)</f>
        <v/>
      </c>
      <c r="N296" s="24">
        <f>MAX(0,K296-J296)</f>
        <v/>
      </c>
      <c r="O296" s="24">
        <f>L296+H296</f>
        <v/>
      </c>
      <c r="P296" s="25">
        <f>IF(K296=0,"",IF(N296&gt;0,"Request exceeded free cores","Placed"))</f>
        <v/>
      </c>
    </row>
    <row r="297">
      <c r="A297" s="32">
        <f>Capacity_Reservations!A297</f>
        <v/>
      </c>
      <c r="B297" s="32">
        <f>Capacity_Reservations!B297</f>
        <v/>
      </c>
      <c r="C297" s="33">
        <f>Capacity_Reservations!C297</f>
        <v/>
      </c>
      <c r="D297" s="33">
        <f>Capacity_Reservations!D297</f>
        <v/>
      </c>
      <c r="E297" s="32">
        <f>Capacity_Reservations!E297</f>
        <v/>
      </c>
      <c r="F297" s="33">
        <f>Capacity_Reservations!F297</f>
        <v/>
      </c>
      <c r="G297" s="47">
        <f>Capacity_Reservations!I297</f>
        <v/>
      </c>
      <c r="H297" s="47">
        <f>Capacity_Reservations!J297</f>
        <v/>
      </c>
      <c r="I297" s="47">
        <f>Capacity_Reservations!K297</f>
        <v/>
      </c>
      <c r="J297" s="47">
        <f>Capacity_Reservations!L297</f>
        <v/>
      </c>
      <c r="K297" s="24">
        <f>IF(Allocation!$C$14&lt;&gt;1,0,IF(D297="Prod",IF(B297=Allocation!$C$9,SUMIF(Request!$A$13:$A$20,E297,Request!$D$13:$D$20),0),IF(D297="NonProd",IF(B297=Allocation!$C$10,SUMIF(Request!$A$13:$A$20,E297,Request!$D$13:$D$20),0),IF(AND(D297="DR",B297=Allocation!$C$11),ROUND(SUMIF(Request!$A$13:$A$20,E297,Request!$D$13:$D$20)*Policy!$B$15,0),0))))</f>
        <v/>
      </c>
      <c r="L297" s="24">
        <f>G297+K297</f>
        <v/>
      </c>
      <c r="M297" s="24">
        <f>MAX(0,J297-K297)</f>
        <v/>
      </c>
      <c r="N297" s="24">
        <f>MAX(0,K297-J297)</f>
        <v/>
      </c>
      <c r="O297" s="24">
        <f>L297+H297</f>
        <v/>
      </c>
      <c r="P297" s="25">
        <f>IF(K297=0,"",IF(N297&gt;0,"Request exceeded free cores","Placed"))</f>
        <v/>
      </c>
    </row>
    <row r="298">
      <c r="A298" s="32">
        <f>Capacity_Reservations!A298</f>
        <v/>
      </c>
      <c r="B298" s="32">
        <f>Capacity_Reservations!B298</f>
        <v/>
      </c>
      <c r="C298" s="33">
        <f>Capacity_Reservations!C298</f>
        <v/>
      </c>
      <c r="D298" s="33">
        <f>Capacity_Reservations!D298</f>
        <v/>
      </c>
      <c r="E298" s="32">
        <f>Capacity_Reservations!E298</f>
        <v/>
      </c>
      <c r="F298" s="33">
        <f>Capacity_Reservations!F298</f>
        <v/>
      </c>
      <c r="G298" s="47">
        <f>Capacity_Reservations!I298</f>
        <v/>
      </c>
      <c r="H298" s="47">
        <f>Capacity_Reservations!J298</f>
        <v/>
      </c>
      <c r="I298" s="47">
        <f>Capacity_Reservations!K298</f>
        <v/>
      </c>
      <c r="J298" s="47">
        <f>Capacity_Reservations!L298</f>
        <v/>
      </c>
      <c r="K298" s="24">
        <f>IF(Allocation!$C$14&lt;&gt;1,0,IF(D298="Prod",IF(B298=Allocation!$C$9,SUMIF(Request!$A$13:$A$20,E298,Request!$D$13:$D$20),0),IF(D298="NonProd",IF(B298=Allocation!$C$10,SUMIF(Request!$A$13:$A$20,E298,Request!$D$13:$D$20),0),IF(AND(D298="DR",B298=Allocation!$C$11),ROUND(SUMIF(Request!$A$13:$A$20,E298,Request!$D$13:$D$20)*Policy!$B$15,0),0))))</f>
        <v/>
      </c>
      <c r="L298" s="24">
        <f>G298+K298</f>
        <v/>
      </c>
      <c r="M298" s="24">
        <f>MAX(0,J298-K298)</f>
        <v/>
      </c>
      <c r="N298" s="24">
        <f>MAX(0,K298-J298)</f>
        <v/>
      </c>
      <c r="O298" s="24">
        <f>L298+H298</f>
        <v/>
      </c>
      <c r="P298" s="25">
        <f>IF(K298=0,"",IF(N298&gt;0,"Request exceeded free cores","Placed"))</f>
        <v/>
      </c>
    </row>
    <row r="299">
      <c r="A299" s="32">
        <f>Capacity_Reservations!A299</f>
        <v/>
      </c>
      <c r="B299" s="32">
        <f>Capacity_Reservations!B299</f>
        <v/>
      </c>
      <c r="C299" s="33">
        <f>Capacity_Reservations!C299</f>
        <v/>
      </c>
      <c r="D299" s="33">
        <f>Capacity_Reservations!D299</f>
        <v/>
      </c>
      <c r="E299" s="32">
        <f>Capacity_Reservations!E299</f>
        <v/>
      </c>
      <c r="F299" s="33">
        <f>Capacity_Reservations!F299</f>
        <v/>
      </c>
      <c r="G299" s="47">
        <f>Capacity_Reservations!I299</f>
        <v/>
      </c>
      <c r="H299" s="47">
        <f>Capacity_Reservations!J299</f>
        <v/>
      </c>
      <c r="I299" s="47">
        <f>Capacity_Reservations!K299</f>
        <v/>
      </c>
      <c r="J299" s="47">
        <f>Capacity_Reservations!L299</f>
        <v/>
      </c>
      <c r="K299" s="24">
        <f>IF(Allocation!$C$14&lt;&gt;1,0,IF(D299="Prod",IF(B299=Allocation!$C$9,SUMIF(Request!$A$13:$A$20,E299,Request!$D$13:$D$20),0),IF(D299="NonProd",IF(B299=Allocation!$C$10,SUMIF(Request!$A$13:$A$20,E299,Request!$D$13:$D$20),0),IF(AND(D299="DR",B299=Allocation!$C$11),ROUND(SUMIF(Request!$A$13:$A$20,E299,Request!$D$13:$D$20)*Policy!$B$15,0),0))))</f>
        <v/>
      </c>
      <c r="L299" s="24">
        <f>G299+K299</f>
        <v/>
      </c>
      <c r="M299" s="24">
        <f>MAX(0,J299-K299)</f>
        <v/>
      </c>
      <c r="N299" s="24">
        <f>MAX(0,K299-J299)</f>
        <v/>
      </c>
      <c r="O299" s="24">
        <f>L299+H299</f>
        <v/>
      </c>
      <c r="P299" s="25">
        <f>IF(K299=0,"",IF(N299&gt;0,"Request exceeded free cores","Placed"))</f>
        <v/>
      </c>
    </row>
    <row r="300">
      <c r="A300" s="32">
        <f>Capacity_Reservations!A300</f>
        <v/>
      </c>
      <c r="B300" s="32">
        <f>Capacity_Reservations!B300</f>
        <v/>
      </c>
      <c r="C300" s="33">
        <f>Capacity_Reservations!C300</f>
        <v/>
      </c>
      <c r="D300" s="33">
        <f>Capacity_Reservations!D300</f>
        <v/>
      </c>
      <c r="E300" s="32">
        <f>Capacity_Reservations!E300</f>
        <v/>
      </c>
      <c r="F300" s="33">
        <f>Capacity_Reservations!F300</f>
        <v/>
      </c>
      <c r="G300" s="47">
        <f>Capacity_Reservations!I300</f>
        <v/>
      </c>
      <c r="H300" s="47">
        <f>Capacity_Reservations!J300</f>
        <v/>
      </c>
      <c r="I300" s="47">
        <f>Capacity_Reservations!K300</f>
        <v/>
      </c>
      <c r="J300" s="47">
        <f>Capacity_Reservations!L300</f>
        <v/>
      </c>
      <c r="K300" s="24">
        <f>IF(Allocation!$C$14&lt;&gt;1,0,IF(D300="Prod",IF(B300=Allocation!$C$9,SUMIF(Request!$A$13:$A$20,E300,Request!$D$13:$D$20),0),IF(D300="NonProd",IF(B300=Allocation!$C$10,SUMIF(Request!$A$13:$A$20,E300,Request!$D$13:$D$20),0),IF(AND(D300="DR",B300=Allocation!$C$11),ROUND(SUMIF(Request!$A$13:$A$20,E300,Request!$D$13:$D$20)*Policy!$B$15,0),0))))</f>
        <v/>
      </c>
      <c r="L300" s="24">
        <f>G300+K300</f>
        <v/>
      </c>
      <c r="M300" s="24">
        <f>MAX(0,J300-K300)</f>
        <v/>
      </c>
      <c r="N300" s="24">
        <f>MAX(0,K300-J300)</f>
        <v/>
      </c>
      <c r="O300" s="24">
        <f>L300+H300</f>
        <v/>
      </c>
      <c r="P300" s="25">
        <f>IF(K300=0,"",IF(N300&gt;0,"Request exceeded free cores","Placed"))</f>
        <v/>
      </c>
    </row>
    <row r="301">
      <c r="A301" s="32">
        <f>Capacity_Reservations!A301</f>
        <v/>
      </c>
      <c r="B301" s="32">
        <f>Capacity_Reservations!B301</f>
        <v/>
      </c>
      <c r="C301" s="33">
        <f>Capacity_Reservations!C301</f>
        <v/>
      </c>
      <c r="D301" s="33">
        <f>Capacity_Reservations!D301</f>
        <v/>
      </c>
      <c r="E301" s="32">
        <f>Capacity_Reservations!E301</f>
        <v/>
      </c>
      <c r="F301" s="33">
        <f>Capacity_Reservations!F301</f>
        <v/>
      </c>
      <c r="G301" s="47">
        <f>Capacity_Reservations!I301</f>
        <v/>
      </c>
      <c r="H301" s="47">
        <f>Capacity_Reservations!J301</f>
        <v/>
      </c>
      <c r="I301" s="47">
        <f>Capacity_Reservations!K301</f>
        <v/>
      </c>
      <c r="J301" s="47">
        <f>Capacity_Reservations!L301</f>
        <v/>
      </c>
      <c r="K301" s="24">
        <f>IF(Allocation!$C$14&lt;&gt;1,0,IF(D301="Prod",IF(B301=Allocation!$C$9,SUMIF(Request!$A$13:$A$20,E301,Request!$D$13:$D$20),0),IF(D301="NonProd",IF(B301=Allocation!$C$10,SUMIF(Request!$A$13:$A$20,E301,Request!$D$13:$D$20),0),IF(AND(D301="DR",B301=Allocation!$C$11),ROUND(SUMIF(Request!$A$13:$A$20,E301,Request!$D$13:$D$20)*Policy!$B$15,0),0))))</f>
        <v/>
      </c>
      <c r="L301" s="24">
        <f>G301+K301</f>
        <v/>
      </c>
      <c r="M301" s="24">
        <f>MAX(0,J301-K301)</f>
        <v/>
      </c>
      <c r="N301" s="24">
        <f>MAX(0,K301-J301)</f>
        <v/>
      </c>
      <c r="O301" s="24">
        <f>L301+H301</f>
        <v/>
      </c>
      <c r="P301" s="25">
        <f>IF(K301=0,"",IF(N301&gt;0,"Request exceeded free cores","Placed"))</f>
        <v/>
      </c>
    </row>
    <row r="302">
      <c r="A302" s="32">
        <f>Capacity_Reservations!A302</f>
        <v/>
      </c>
      <c r="B302" s="32">
        <f>Capacity_Reservations!B302</f>
        <v/>
      </c>
      <c r="C302" s="33">
        <f>Capacity_Reservations!C302</f>
        <v/>
      </c>
      <c r="D302" s="33">
        <f>Capacity_Reservations!D302</f>
        <v/>
      </c>
      <c r="E302" s="32">
        <f>Capacity_Reservations!E302</f>
        <v/>
      </c>
      <c r="F302" s="33">
        <f>Capacity_Reservations!F302</f>
        <v/>
      </c>
      <c r="G302" s="47">
        <f>Capacity_Reservations!I302</f>
        <v/>
      </c>
      <c r="H302" s="47">
        <f>Capacity_Reservations!J302</f>
        <v/>
      </c>
      <c r="I302" s="47">
        <f>Capacity_Reservations!K302</f>
        <v/>
      </c>
      <c r="J302" s="47">
        <f>Capacity_Reservations!L302</f>
        <v/>
      </c>
      <c r="K302" s="24">
        <f>IF(Allocation!$C$14&lt;&gt;1,0,IF(D302="Prod",IF(B302=Allocation!$C$9,SUMIF(Request!$A$13:$A$20,E302,Request!$D$13:$D$20),0),IF(D302="NonProd",IF(B302=Allocation!$C$10,SUMIF(Request!$A$13:$A$20,E302,Request!$D$13:$D$20),0),IF(AND(D302="DR",B302=Allocation!$C$11),ROUND(SUMIF(Request!$A$13:$A$20,E302,Request!$D$13:$D$20)*Policy!$B$15,0),0))))</f>
        <v/>
      </c>
      <c r="L302" s="24">
        <f>G302+K302</f>
        <v/>
      </c>
      <c r="M302" s="24">
        <f>MAX(0,J302-K302)</f>
        <v/>
      </c>
      <c r="N302" s="24">
        <f>MAX(0,K302-J302)</f>
        <v/>
      </c>
      <c r="O302" s="24">
        <f>L302+H302</f>
        <v/>
      </c>
      <c r="P302" s="25">
        <f>IF(K302=0,"",IF(N302&gt;0,"Request exceeded free cores","Placed"))</f>
        <v/>
      </c>
    </row>
    <row r="303">
      <c r="A303" s="32">
        <f>Capacity_Reservations!A303</f>
        <v/>
      </c>
      <c r="B303" s="32">
        <f>Capacity_Reservations!B303</f>
        <v/>
      </c>
      <c r="C303" s="33">
        <f>Capacity_Reservations!C303</f>
        <v/>
      </c>
      <c r="D303" s="33">
        <f>Capacity_Reservations!D303</f>
        <v/>
      </c>
      <c r="E303" s="32">
        <f>Capacity_Reservations!E303</f>
        <v/>
      </c>
      <c r="F303" s="33">
        <f>Capacity_Reservations!F303</f>
        <v/>
      </c>
      <c r="G303" s="47">
        <f>Capacity_Reservations!I303</f>
        <v/>
      </c>
      <c r="H303" s="47">
        <f>Capacity_Reservations!J303</f>
        <v/>
      </c>
      <c r="I303" s="47">
        <f>Capacity_Reservations!K303</f>
        <v/>
      </c>
      <c r="J303" s="47">
        <f>Capacity_Reservations!L303</f>
        <v/>
      </c>
      <c r="K303" s="24">
        <f>IF(Allocation!$C$14&lt;&gt;1,0,IF(D303="Prod",IF(B303=Allocation!$C$9,SUMIF(Request!$A$13:$A$20,E303,Request!$D$13:$D$20),0),IF(D303="NonProd",IF(B303=Allocation!$C$10,SUMIF(Request!$A$13:$A$20,E303,Request!$D$13:$D$20),0),IF(AND(D303="DR",B303=Allocation!$C$11),ROUND(SUMIF(Request!$A$13:$A$20,E303,Request!$D$13:$D$20)*Policy!$B$15,0),0))))</f>
        <v/>
      </c>
      <c r="L303" s="24">
        <f>G303+K303</f>
        <v/>
      </c>
      <c r="M303" s="24">
        <f>MAX(0,J303-K303)</f>
        <v/>
      </c>
      <c r="N303" s="24">
        <f>MAX(0,K303-J303)</f>
        <v/>
      </c>
      <c r="O303" s="24">
        <f>L303+H303</f>
        <v/>
      </c>
      <c r="P303" s="25">
        <f>IF(K303=0,"",IF(N303&gt;0,"Request exceeded free cores","Placed"))</f>
        <v/>
      </c>
    </row>
    <row r="304">
      <c r="A304" s="32">
        <f>Capacity_Reservations!A304</f>
        <v/>
      </c>
      <c r="B304" s="32">
        <f>Capacity_Reservations!B304</f>
        <v/>
      </c>
      <c r="C304" s="33">
        <f>Capacity_Reservations!C304</f>
        <v/>
      </c>
      <c r="D304" s="33">
        <f>Capacity_Reservations!D304</f>
        <v/>
      </c>
      <c r="E304" s="32">
        <f>Capacity_Reservations!E304</f>
        <v/>
      </c>
      <c r="F304" s="33">
        <f>Capacity_Reservations!F304</f>
        <v/>
      </c>
      <c r="G304" s="47">
        <f>Capacity_Reservations!I304</f>
        <v/>
      </c>
      <c r="H304" s="47">
        <f>Capacity_Reservations!J304</f>
        <v/>
      </c>
      <c r="I304" s="47">
        <f>Capacity_Reservations!K304</f>
        <v/>
      </c>
      <c r="J304" s="47">
        <f>Capacity_Reservations!L304</f>
        <v/>
      </c>
      <c r="K304" s="24">
        <f>IF(Allocation!$C$14&lt;&gt;1,0,IF(D304="Prod",IF(B304=Allocation!$C$9,SUMIF(Request!$A$13:$A$20,E304,Request!$D$13:$D$20),0),IF(D304="NonProd",IF(B304=Allocation!$C$10,SUMIF(Request!$A$13:$A$20,E304,Request!$D$13:$D$20),0),IF(AND(D304="DR",B304=Allocation!$C$11),ROUND(SUMIF(Request!$A$13:$A$20,E304,Request!$D$13:$D$20)*Policy!$B$15,0),0))))</f>
        <v/>
      </c>
      <c r="L304" s="24">
        <f>G304+K304</f>
        <v/>
      </c>
      <c r="M304" s="24">
        <f>MAX(0,J304-K304)</f>
        <v/>
      </c>
      <c r="N304" s="24">
        <f>MAX(0,K304-J304)</f>
        <v/>
      </c>
      <c r="O304" s="24">
        <f>L304+H304</f>
        <v/>
      </c>
      <c r="P304" s="25">
        <f>IF(K304=0,"",IF(N304&gt;0,"Request exceeded free cores","Placed"))</f>
        <v/>
      </c>
    </row>
    <row r="305">
      <c r="A305" s="32">
        <f>Capacity_Reservations!A305</f>
        <v/>
      </c>
      <c r="B305" s="32">
        <f>Capacity_Reservations!B305</f>
        <v/>
      </c>
      <c r="C305" s="33">
        <f>Capacity_Reservations!C305</f>
        <v/>
      </c>
      <c r="D305" s="33">
        <f>Capacity_Reservations!D305</f>
        <v/>
      </c>
      <c r="E305" s="32">
        <f>Capacity_Reservations!E305</f>
        <v/>
      </c>
      <c r="F305" s="33">
        <f>Capacity_Reservations!F305</f>
        <v/>
      </c>
      <c r="G305" s="47">
        <f>Capacity_Reservations!I305</f>
        <v/>
      </c>
      <c r="H305" s="47">
        <f>Capacity_Reservations!J305</f>
        <v/>
      </c>
      <c r="I305" s="47">
        <f>Capacity_Reservations!K305</f>
        <v/>
      </c>
      <c r="J305" s="47">
        <f>Capacity_Reservations!L305</f>
        <v/>
      </c>
      <c r="K305" s="24">
        <f>IF(Allocation!$C$14&lt;&gt;1,0,IF(D305="Prod",IF(B305=Allocation!$C$9,SUMIF(Request!$A$13:$A$20,E305,Request!$D$13:$D$20),0),IF(D305="NonProd",IF(B305=Allocation!$C$10,SUMIF(Request!$A$13:$A$20,E305,Request!$D$13:$D$20),0),IF(AND(D305="DR",B305=Allocation!$C$11),ROUND(SUMIF(Request!$A$13:$A$20,E305,Request!$D$13:$D$20)*Policy!$B$15,0),0))))</f>
        <v/>
      </c>
      <c r="L305" s="24">
        <f>G305+K305</f>
        <v/>
      </c>
      <c r="M305" s="24">
        <f>MAX(0,J305-K305)</f>
        <v/>
      </c>
      <c r="N305" s="24">
        <f>MAX(0,K305-J305)</f>
        <v/>
      </c>
      <c r="O305" s="24">
        <f>L305+H305</f>
        <v/>
      </c>
      <c r="P305" s="25">
        <f>IF(K305=0,"",IF(N305&gt;0,"Request exceeded free cores","Placed"))</f>
        <v/>
      </c>
    </row>
    <row r="306">
      <c r="A306" s="32">
        <f>Capacity_Reservations!A306</f>
        <v/>
      </c>
      <c r="B306" s="32">
        <f>Capacity_Reservations!B306</f>
        <v/>
      </c>
      <c r="C306" s="33">
        <f>Capacity_Reservations!C306</f>
        <v/>
      </c>
      <c r="D306" s="33">
        <f>Capacity_Reservations!D306</f>
        <v/>
      </c>
      <c r="E306" s="32">
        <f>Capacity_Reservations!E306</f>
        <v/>
      </c>
      <c r="F306" s="33">
        <f>Capacity_Reservations!F306</f>
        <v/>
      </c>
      <c r="G306" s="47">
        <f>Capacity_Reservations!I306</f>
        <v/>
      </c>
      <c r="H306" s="47">
        <f>Capacity_Reservations!J306</f>
        <v/>
      </c>
      <c r="I306" s="47">
        <f>Capacity_Reservations!K306</f>
        <v/>
      </c>
      <c r="J306" s="47">
        <f>Capacity_Reservations!L306</f>
        <v/>
      </c>
      <c r="K306" s="24">
        <f>IF(Allocation!$C$14&lt;&gt;1,0,IF(D306="Prod",IF(B306=Allocation!$C$9,SUMIF(Request!$A$13:$A$20,E306,Request!$D$13:$D$20),0),IF(D306="NonProd",IF(B306=Allocation!$C$10,SUMIF(Request!$A$13:$A$20,E306,Request!$D$13:$D$20),0),IF(AND(D306="DR",B306=Allocation!$C$11),ROUND(SUMIF(Request!$A$13:$A$20,E306,Request!$D$13:$D$20)*Policy!$B$15,0),0))))</f>
        <v/>
      </c>
      <c r="L306" s="24">
        <f>G306+K306</f>
        <v/>
      </c>
      <c r="M306" s="24">
        <f>MAX(0,J306-K306)</f>
        <v/>
      </c>
      <c r="N306" s="24">
        <f>MAX(0,K306-J306)</f>
        <v/>
      </c>
      <c r="O306" s="24">
        <f>L306+H306</f>
        <v/>
      </c>
      <c r="P306" s="25">
        <f>IF(K306=0,"",IF(N306&gt;0,"Request exceeded free cores","Placed"))</f>
        <v/>
      </c>
    </row>
    <row r="307">
      <c r="A307" s="32">
        <f>Capacity_Reservations!A307</f>
        <v/>
      </c>
      <c r="B307" s="32">
        <f>Capacity_Reservations!B307</f>
        <v/>
      </c>
      <c r="C307" s="33">
        <f>Capacity_Reservations!C307</f>
        <v/>
      </c>
      <c r="D307" s="33">
        <f>Capacity_Reservations!D307</f>
        <v/>
      </c>
      <c r="E307" s="32">
        <f>Capacity_Reservations!E307</f>
        <v/>
      </c>
      <c r="F307" s="33">
        <f>Capacity_Reservations!F307</f>
        <v/>
      </c>
      <c r="G307" s="47">
        <f>Capacity_Reservations!I307</f>
        <v/>
      </c>
      <c r="H307" s="47">
        <f>Capacity_Reservations!J307</f>
        <v/>
      </c>
      <c r="I307" s="47">
        <f>Capacity_Reservations!K307</f>
        <v/>
      </c>
      <c r="J307" s="47">
        <f>Capacity_Reservations!L307</f>
        <v/>
      </c>
      <c r="K307" s="24">
        <f>IF(Allocation!$C$14&lt;&gt;1,0,IF(D307="Prod",IF(B307=Allocation!$C$9,SUMIF(Request!$A$13:$A$20,E307,Request!$D$13:$D$20),0),IF(D307="NonProd",IF(B307=Allocation!$C$10,SUMIF(Request!$A$13:$A$20,E307,Request!$D$13:$D$20),0),IF(AND(D307="DR",B307=Allocation!$C$11),ROUND(SUMIF(Request!$A$13:$A$20,E307,Request!$D$13:$D$20)*Policy!$B$15,0),0))))</f>
        <v/>
      </c>
      <c r="L307" s="24">
        <f>G307+K307</f>
        <v/>
      </c>
      <c r="M307" s="24">
        <f>MAX(0,J307-K307)</f>
        <v/>
      </c>
      <c r="N307" s="24">
        <f>MAX(0,K307-J307)</f>
        <v/>
      </c>
      <c r="O307" s="24">
        <f>L307+H307</f>
        <v/>
      </c>
      <c r="P307" s="25">
        <f>IF(K307=0,"",IF(N307&gt;0,"Request exceeded free cores","Placed"))</f>
        <v/>
      </c>
    </row>
    <row r="308">
      <c r="A308" s="32">
        <f>Capacity_Reservations!A308</f>
        <v/>
      </c>
      <c r="B308" s="32">
        <f>Capacity_Reservations!B308</f>
        <v/>
      </c>
      <c r="C308" s="33">
        <f>Capacity_Reservations!C308</f>
        <v/>
      </c>
      <c r="D308" s="33">
        <f>Capacity_Reservations!D308</f>
        <v/>
      </c>
      <c r="E308" s="32">
        <f>Capacity_Reservations!E308</f>
        <v/>
      </c>
      <c r="F308" s="33">
        <f>Capacity_Reservations!F308</f>
        <v/>
      </c>
      <c r="G308" s="47">
        <f>Capacity_Reservations!I308</f>
        <v/>
      </c>
      <c r="H308" s="47">
        <f>Capacity_Reservations!J308</f>
        <v/>
      </c>
      <c r="I308" s="47">
        <f>Capacity_Reservations!K308</f>
        <v/>
      </c>
      <c r="J308" s="47">
        <f>Capacity_Reservations!L308</f>
        <v/>
      </c>
      <c r="K308" s="24">
        <f>IF(Allocation!$C$14&lt;&gt;1,0,IF(D308="Prod",IF(B308=Allocation!$C$9,SUMIF(Request!$A$13:$A$20,E308,Request!$D$13:$D$20),0),IF(D308="NonProd",IF(B308=Allocation!$C$10,SUMIF(Request!$A$13:$A$20,E308,Request!$D$13:$D$20),0),IF(AND(D308="DR",B308=Allocation!$C$11),ROUND(SUMIF(Request!$A$13:$A$20,E308,Request!$D$13:$D$20)*Policy!$B$15,0),0))))</f>
        <v/>
      </c>
      <c r="L308" s="24">
        <f>G308+K308</f>
        <v/>
      </c>
      <c r="M308" s="24">
        <f>MAX(0,J308-K308)</f>
        <v/>
      </c>
      <c r="N308" s="24">
        <f>MAX(0,K308-J308)</f>
        <v/>
      </c>
      <c r="O308" s="24">
        <f>L308+H308</f>
        <v/>
      </c>
      <c r="P308" s="25">
        <f>IF(K308=0,"",IF(N308&gt;0,"Request exceeded free cores","Placed"))</f>
        <v/>
      </c>
    </row>
    <row r="309">
      <c r="A309" s="32">
        <f>Capacity_Reservations!A309</f>
        <v/>
      </c>
      <c r="B309" s="32">
        <f>Capacity_Reservations!B309</f>
        <v/>
      </c>
      <c r="C309" s="33">
        <f>Capacity_Reservations!C309</f>
        <v/>
      </c>
      <c r="D309" s="33">
        <f>Capacity_Reservations!D309</f>
        <v/>
      </c>
      <c r="E309" s="32">
        <f>Capacity_Reservations!E309</f>
        <v/>
      </c>
      <c r="F309" s="33">
        <f>Capacity_Reservations!F309</f>
        <v/>
      </c>
      <c r="G309" s="47">
        <f>Capacity_Reservations!I309</f>
        <v/>
      </c>
      <c r="H309" s="47">
        <f>Capacity_Reservations!J309</f>
        <v/>
      </c>
      <c r="I309" s="47">
        <f>Capacity_Reservations!K309</f>
        <v/>
      </c>
      <c r="J309" s="47">
        <f>Capacity_Reservations!L309</f>
        <v/>
      </c>
      <c r="K309" s="24">
        <f>IF(Allocation!$C$14&lt;&gt;1,0,IF(D309="Prod",IF(B309=Allocation!$C$9,SUMIF(Request!$A$13:$A$20,E309,Request!$D$13:$D$20),0),IF(D309="NonProd",IF(B309=Allocation!$C$10,SUMIF(Request!$A$13:$A$20,E309,Request!$D$13:$D$20),0),IF(AND(D309="DR",B309=Allocation!$C$11),ROUND(SUMIF(Request!$A$13:$A$20,E309,Request!$D$13:$D$20)*Policy!$B$15,0),0))))</f>
        <v/>
      </c>
      <c r="L309" s="24">
        <f>G309+K309</f>
        <v/>
      </c>
      <c r="M309" s="24">
        <f>MAX(0,J309-K309)</f>
        <v/>
      </c>
      <c r="N309" s="24">
        <f>MAX(0,K309-J309)</f>
        <v/>
      </c>
      <c r="O309" s="24">
        <f>L309+H309</f>
        <v/>
      </c>
      <c r="P309" s="25">
        <f>IF(K309=0,"",IF(N309&gt;0,"Request exceeded free cores","Placed"))</f>
        <v/>
      </c>
    </row>
    <row r="310">
      <c r="A310" s="32">
        <f>Capacity_Reservations!A310</f>
        <v/>
      </c>
      <c r="B310" s="32">
        <f>Capacity_Reservations!B310</f>
        <v/>
      </c>
      <c r="C310" s="33">
        <f>Capacity_Reservations!C310</f>
        <v/>
      </c>
      <c r="D310" s="33">
        <f>Capacity_Reservations!D310</f>
        <v/>
      </c>
      <c r="E310" s="32">
        <f>Capacity_Reservations!E310</f>
        <v/>
      </c>
      <c r="F310" s="33">
        <f>Capacity_Reservations!F310</f>
        <v/>
      </c>
      <c r="G310" s="47">
        <f>Capacity_Reservations!I310</f>
        <v/>
      </c>
      <c r="H310" s="47">
        <f>Capacity_Reservations!J310</f>
        <v/>
      </c>
      <c r="I310" s="47">
        <f>Capacity_Reservations!K310</f>
        <v/>
      </c>
      <c r="J310" s="47">
        <f>Capacity_Reservations!L310</f>
        <v/>
      </c>
      <c r="K310" s="24">
        <f>IF(Allocation!$C$14&lt;&gt;1,0,IF(D310="Prod",IF(B310=Allocation!$C$9,SUMIF(Request!$A$13:$A$20,E310,Request!$D$13:$D$20),0),IF(D310="NonProd",IF(B310=Allocation!$C$10,SUMIF(Request!$A$13:$A$20,E310,Request!$D$13:$D$20),0),IF(AND(D310="DR",B310=Allocation!$C$11),ROUND(SUMIF(Request!$A$13:$A$20,E310,Request!$D$13:$D$20)*Policy!$B$15,0),0))))</f>
        <v/>
      </c>
      <c r="L310" s="24">
        <f>G310+K310</f>
        <v/>
      </c>
      <c r="M310" s="24">
        <f>MAX(0,J310-K310)</f>
        <v/>
      </c>
      <c r="N310" s="24">
        <f>MAX(0,K310-J310)</f>
        <v/>
      </c>
      <c r="O310" s="24">
        <f>L310+H310</f>
        <v/>
      </c>
      <c r="P310" s="25">
        <f>IF(K310=0,"",IF(N310&gt;0,"Request exceeded free cores","Placed"))</f>
        <v/>
      </c>
    </row>
    <row r="311">
      <c r="A311" s="32">
        <f>Capacity_Reservations!A311</f>
        <v/>
      </c>
      <c r="B311" s="32">
        <f>Capacity_Reservations!B311</f>
        <v/>
      </c>
      <c r="C311" s="33">
        <f>Capacity_Reservations!C311</f>
        <v/>
      </c>
      <c r="D311" s="33">
        <f>Capacity_Reservations!D311</f>
        <v/>
      </c>
      <c r="E311" s="32">
        <f>Capacity_Reservations!E311</f>
        <v/>
      </c>
      <c r="F311" s="33">
        <f>Capacity_Reservations!F311</f>
        <v/>
      </c>
      <c r="G311" s="47">
        <f>Capacity_Reservations!I311</f>
        <v/>
      </c>
      <c r="H311" s="47">
        <f>Capacity_Reservations!J311</f>
        <v/>
      </c>
      <c r="I311" s="47">
        <f>Capacity_Reservations!K311</f>
        <v/>
      </c>
      <c r="J311" s="47">
        <f>Capacity_Reservations!L311</f>
        <v/>
      </c>
      <c r="K311" s="24">
        <f>IF(Allocation!$C$14&lt;&gt;1,0,IF(D311="Prod",IF(B311=Allocation!$C$9,SUMIF(Request!$A$13:$A$20,E311,Request!$D$13:$D$20),0),IF(D311="NonProd",IF(B311=Allocation!$C$10,SUMIF(Request!$A$13:$A$20,E311,Request!$D$13:$D$20),0),IF(AND(D311="DR",B311=Allocation!$C$11),ROUND(SUMIF(Request!$A$13:$A$20,E311,Request!$D$13:$D$20)*Policy!$B$15,0),0))))</f>
        <v/>
      </c>
      <c r="L311" s="24">
        <f>G311+K311</f>
        <v/>
      </c>
      <c r="M311" s="24">
        <f>MAX(0,J311-K311)</f>
        <v/>
      </c>
      <c r="N311" s="24">
        <f>MAX(0,K311-J311)</f>
        <v/>
      </c>
      <c r="O311" s="24">
        <f>L311+H311</f>
        <v/>
      </c>
      <c r="P311" s="25">
        <f>IF(K311=0,"",IF(N311&gt;0,"Request exceeded free cores","Placed"))</f>
        <v/>
      </c>
    </row>
    <row r="312">
      <c r="A312" s="32">
        <f>Capacity_Reservations!A312</f>
        <v/>
      </c>
      <c r="B312" s="32">
        <f>Capacity_Reservations!B312</f>
        <v/>
      </c>
      <c r="C312" s="33">
        <f>Capacity_Reservations!C312</f>
        <v/>
      </c>
      <c r="D312" s="33">
        <f>Capacity_Reservations!D312</f>
        <v/>
      </c>
      <c r="E312" s="32">
        <f>Capacity_Reservations!E312</f>
        <v/>
      </c>
      <c r="F312" s="33">
        <f>Capacity_Reservations!F312</f>
        <v/>
      </c>
      <c r="G312" s="47">
        <f>Capacity_Reservations!I312</f>
        <v/>
      </c>
      <c r="H312" s="47">
        <f>Capacity_Reservations!J312</f>
        <v/>
      </c>
      <c r="I312" s="47">
        <f>Capacity_Reservations!K312</f>
        <v/>
      </c>
      <c r="J312" s="47">
        <f>Capacity_Reservations!L312</f>
        <v/>
      </c>
      <c r="K312" s="24">
        <f>IF(Allocation!$C$14&lt;&gt;1,0,IF(D312="Prod",IF(B312=Allocation!$C$9,SUMIF(Request!$A$13:$A$20,E312,Request!$D$13:$D$20),0),IF(D312="NonProd",IF(B312=Allocation!$C$10,SUMIF(Request!$A$13:$A$20,E312,Request!$D$13:$D$20),0),IF(AND(D312="DR",B312=Allocation!$C$11),ROUND(SUMIF(Request!$A$13:$A$20,E312,Request!$D$13:$D$20)*Policy!$B$15,0),0))))</f>
        <v/>
      </c>
      <c r="L312" s="24">
        <f>G312+K312</f>
        <v/>
      </c>
      <c r="M312" s="24">
        <f>MAX(0,J312-K312)</f>
        <v/>
      </c>
      <c r="N312" s="24">
        <f>MAX(0,K312-J312)</f>
        <v/>
      </c>
      <c r="O312" s="24">
        <f>L312+H312</f>
        <v/>
      </c>
      <c r="P312" s="25">
        <f>IF(K312=0,"",IF(N312&gt;0,"Request exceeded free cores","Placed"))</f>
        <v/>
      </c>
    </row>
    <row r="313">
      <c r="A313" s="32">
        <f>Capacity_Reservations!A313</f>
        <v/>
      </c>
      <c r="B313" s="32">
        <f>Capacity_Reservations!B313</f>
        <v/>
      </c>
      <c r="C313" s="33">
        <f>Capacity_Reservations!C313</f>
        <v/>
      </c>
      <c r="D313" s="33">
        <f>Capacity_Reservations!D313</f>
        <v/>
      </c>
      <c r="E313" s="32">
        <f>Capacity_Reservations!E313</f>
        <v/>
      </c>
      <c r="F313" s="33">
        <f>Capacity_Reservations!F313</f>
        <v/>
      </c>
      <c r="G313" s="47">
        <f>Capacity_Reservations!I313</f>
        <v/>
      </c>
      <c r="H313" s="47">
        <f>Capacity_Reservations!J313</f>
        <v/>
      </c>
      <c r="I313" s="47">
        <f>Capacity_Reservations!K313</f>
        <v/>
      </c>
      <c r="J313" s="47">
        <f>Capacity_Reservations!L313</f>
        <v/>
      </c>
      <c r="K313" s="24">
        <f>IF(Allocation!$C$14&lt;&gt;1,0,IF(D313="Prod",IF(B313=Allocation!$C$9,SUMIF(Request!$A$13:$A$20,E313,Request!$D$13:$D$20),0),IF(D313="NonProd",IF(B313=Allocation!$C$10,SUMIF(Request!$A$13:$A$20,E313,Request!$D$13:$D$20),0),IF(AND(D313="DR",B313=Allocation!$C$11),ROUND(SUMIF(Request!$A$13:$A$20,E313,Request!$D$13:$D$20)*Policy!$B$15,0),0))))</f>
        <v/>
      </c>
      <c r="L313" s="24">
        <f>G313+K313</f>
        <v/>
      </c>
      <c r="M313" s="24">
        <f>MAX(0,J313-K313)</f>
        <v/>
      </c>
      <c r="N313" s="24">
        <f>MAX(0,K313-J313)</f>
        <v/>
      </c>
      <c r="O313" s="24">
        <f>L313+H313</f>
        <v/>
      </c>
      <c r="P313" s="25">
        <f>IF(K313=0,"",IF(N313&gt;0,"Request exceeded free cores","Placed"))</f>
        <v/>
      </c>
    </row>
    <row r="314">
      <c r="A314" s="32">
        <f>Capacity_Reservations!A314</f>
        <v/>
      </c>
      <c r="B314" s="32">
        <f>Capacity_Reservations!B314</f>
        <v/>
      </c>
      <c r="C314" s="33">
        <f>Capacity_Reservations!C314</f>
        <v/>
      </c>
      <c r="D314" s="33">
        <f>Capacity_Reservations!D314</f>
        <v/>
      </c>
      <c r="E314" s="32">
        <f>Capacity_Reservations!E314</f>
        <v/>
      </c>
      <c r="F314" s="33">
        <f>Capacity_Reservations!F314</f>
        <v/>
      </c>
      <c r="G314" s="47">
        <f>Capacity_Reservations!I314</f>
        <v/>
      </c>
      <c r="H314" s="47">
        <f>Capacity_Reservations!J314</f>
        <v/>
      </c>
      <c r="I314" s="47">
        <f>Capacity_Reservations!K314</f>
        <v/>
      </c>
      <c r="J314" s="47">
        <f>Capacity_Reservations!L314</f>
        <v/>
      </c>
      <c r="K314" s="24">
        <f>IF(Allocation!$C$14&lt;&gt;1,0,IF(D314="Prod",IF(B314=Allocation!$C$9,SUMIF(Request!$A$13:$A$20,E314,Request!$D$13:$D$20),0),IF(D314="NonProd",IF(B314=Allocation!$C$10,SUMIF(Request!$A$13:$A$20,E314,Request!$D$13:$D$20),0),IF(AND(D314="DR",B314=Allocation!$C$11),ROUND(SUMIF(Request!$A$13:$A$20,E314,Request!$D$13:$D$20)*Policy!$B$15,0),0))))</f>
        <v/>
      </c>
      <c r="L314" s="24">
        <f>G314+K314</f>
        <v/>
      </c>
      <c r="M314" s="24">
        <f>MAX(0,J314-K314)</f>
        <v/>
      </c>
      <c r="N314" s="24">
        <f>MAX(0,K314-J314)</f>
        <v/>
      </c>
      <c r="O314" s="24">
        <f>L314+H314</f>
        <v/>
      </c>
      <c r="P314" s="25">
        <f>IF(K314=0,"",IF(N314&gt;0,"Request exceeded free cores","Placed"))</f>
        <v/>
      </c>
    </row>
    <row r="315">
      <c r="A315" s="32">
        <f>Capacity_Reservations!A315</f>
        <v/>
      </c>
      <c r="B315" s="32">
        <f>Capacity_Reservations!B315</f>
        <v/>
      </c>
      <c r="C315" s="33">
        <f>Capacity_Reservations!C315</f>
        <v/>
      </c>
      <c r="D315" s="33">
        <f>Capacity_Reservations!D315</f>
        <v/>
      </c>
      <c r="E315" s="32">
        <f>Capacity_Reservations!E315</f>
        <v/>
      </c>
      <c r="F315" s="33">
        <f>Capacity_Reservations!F315</f>
        <v/>
      </c>
      <c r="G315" s="47">
        <f>Capacity_Reservations!I315</f>
        <v/>
      </c>
      <c r="H315" s="47">
        <f>Capacity_Reservations!J315</f>
        <v/>
      </c>
      <c r="I315" s="47">
        <f>Capacity_Reservations!K315</f>
        <v/>
      </c>
      <c r="J315" s="47">
        <f>Capacity_Reservations!L315</f>
        <v/>
      </c>
      <c r="K315" s="24">
        <f>IF(Allocation!$C$14&lt;&gt;1,0,IF(D315="Prod",IF(B315=Allocation!$C$9,SUMIF(Request!$A$13:$A$20,E315,Request!$D$13:$D$20),0),IF(D315="NonProd",IF(B315=Allocation!$C$10,SUMIF(Request!$A$13:$A$20,E315,Request!$D$13:$D$20),0),IF(AND(D315="DR",B315=Allocation!$C$11),ROUND(SUMIF(Request!$A$13:$A$20,E315,Request!$D$13:$D$20)*Policy!$B$15,0),0))))</f>
        <v/>
      </c>
      <c r="L315" s="24">
        <f>G315+K315</f>
        <v/>
      </c>
      <c r="M315" s="24">
        <f>MAX(0,J315-K315)</f>
        <v/>
      </c>
      <c r="N315" s="24">
        <f>MAX(0,K315-J315)</f>
        <v/>
      </c>
      <c r="O315" s="24">
        <f>L315+H315</f>
        <v/>
      </c>
      <c r="P315" s="25">
        <f>IF(K315=0,"",IF(N315&gt;0,"Request exceeded free cores","Placed"))</f>
        <v/>
      </c>
    </row>
    <row r="316">
      <c r="A316" s="32">
        <f>Capacity_Reservations!A316</f>
        <v/>
      </c>
      <c r="B316" s="32">
        <f>Capacity_Reservations!B316</f>
        <v/>
      </c>
      <c r="C316" s="33">
        <f>Capacity_Reservations!C316</f>
        <v/>
      </c>
      <c r="D316" s="33">
        <f>Capacity_Reservations!D316</f>
        <v/>
      </c>
      <c r="E316" s="32">
        <f>Capacity_Reservations!E316</f>
        <v/>
      </c>
      <c r="F316" s="33">
        <f>Capacity_Reservations!F316</f>
        <v/>
      </c>
      <c r="G316" s="47">
        <f>Capacity_Reservations!I316</f>
        <v/>
      </c>
      <c r="H316" s="47">
        <f>Capacity_Reservations!J316</f>
        <v/>
      </c>
      <c r="I316" s="47">
        <f>Capacity_Reservations!K316</f>
        <v/>
      </c>
      <c r="J316" s="47">
        <f>Capacity_Reservations!L316</f>
        <v/>
      </c>
      <c r="K316" s="24">
        <f>IF(Allocation!$C$14&lt;&gt;1,0,IF(D316="Prod",IF(B316=Allocation!$C$9,SUMIF(Request!$A$13:$A$20,E316,Request!$D$13:$D$20),0),IF(D316="NonProd",IF(B316=Allocation!$C$10,SUMIF(Request!$A$13:$A$20,E316,Request!$D$13:$D$20),0),IF(AND(D316="DR",B316=Allocation!$C$11),ROUND(SUMIF(Request!$A$13:$A$20,E316,Request!$D$13:$D$20)*Policy!$B$15,0),0))))</f>
        <v/>
      </c>
      <c r="L316" s="24">
        <f>G316+K316</f>
        <v/>
      </c>
      <c r="M316" s="24">
        <f>MAX(0,J316-K316)</f>
        <v/>
      </c>
      <c r="N316" s="24">
        <f>MAX(0,K316-J316)</f>
        <v/>
      </c>
      <c r="O316" s="24">
        <f>L316+H316</f>
        <v/>
      </c>
      <c r="P316" s="25">
        <f>IF(K316=0,"",IF(N316&gt;0,"Request exceeded free cores","Placed"))</f>
        <v/>
      </c>
    </row>
    <row r="317">
      <c r="A317" s="32">
        <f>Capacity_Reservations!A317</f>
        <v/>
      </c>
      <c r="B317" s="32">
        <f>Capacity_Reservations!B317</f>
        <v/>
      </c>
      <c r="C317" s="33">
        <f>Capacity_Reservations!C317</f>
        <v/>
      </c>
      <c r="D317" s="33">
        <f>Capacity_Reservations!D317</f>
        <v/>
      </c>
      <c r="E317" s="32">
        <f>Capacity_Reservations!E317</f>
        <v/>
      </c>
      <c r="F317" s="33">
        <f>Capacity_Reservations!F317</f>
        <v/>
      </c>
      <c r="G317" s="47">
        <f>Capacity_Reservations!I317</f>
        <v/>
      </c>
      <c r="H317" s="47">
        <f>Capacity_Reservations!J317</f>
        <v/>
      </c>
      <c r="I317" s="47">
        <f>Capacity_Reservations!K317</f>
        <v/>
      </c>
      <c r="J317" s="47">
        <f>Capacity_Reservations!L317</f>
        <v/>
      </c>
      <c r="K317" s="24">
        <f>IF(Allocation!$C$14&lt;&gt;1,0,IF(D317="Prod",IF(B317=Allocation!$C$9,SUMIF(Request!$A$13:$A$20,E317,Request!$D$13:$D$20),0),IF(D317="NonProd",IF(B317=Allocation!$C$10,SUMIF(Request!$A$13:$A$20,E317,Request!$D$13:$D$20),0),IF(AND(D317="DR",B317=Allocation!$C$11),ROUND(SUMIF(Request!$A$13:$A$20,E317,Request!$D$13:$D$20)*Policy!$B$15,0),0))))</f>
        <v/>
      </c>
      <c r="L317" s="24">
        <f>G317+K317</f>
        <v/>
      </c>
      <c r="M317" s="24">
        <f>MAX(0,J317-K317)</f>
        <v/>
      </c>
      <c r="N317" s="24">
        <f>MAX(0,K317-J317)</f>
        <v/>
      </c>
      <c r="O317" s="24">
        <f>L317+H317</f>
        <v/>
      </c>
      <c r="P317" s="25">
        <f>IF(K317=0,"",IF(N317&gt;0,"Request exceeded free cores","Placed"))</f>
        <v/>
      </c>
    </row>
    <row r="318">
      <c r="A318" s="32">
        <f>Capacity_Reservations!A318</f>
        <v/>
      </c>
      <c r="B318" s="32">
        <f>Capacity_Reservations!B318</f>
        <v/>
      </c>
      <c r="C318" s="33">
        <f>Capacity_Reservations!C318</f>
        <v/>
      </c>
      <c r="D318" s="33">
        <f>Capacity_Reservations!D318</f>
        <v/>
      </c>
      <c r="E318" s="32">
        <f>Capacity_Reservations!E318</f>
        <v/>
      </c>
      <c r="F318" s="33">
        <f>Capacity_Reservations!F318</f>
        <v/>
      </c>
      <c r="G318" s="47">
        <f>Capacity_Reservations!I318</f>
        <v/>
      </c>
      <c r="H318" s="47">
        <f>Capacity_Reservations!J318</f>
        <v/>
      </c>
      <c r="I318" s="47">
        <f>Capacity_Reservations!K318</f>
        <v/>
      </c>
      <c r="J318" s="47">
        <f>Capacity_Reservations!L318</f>
        <v/>
      </c>
      <c r="K318" s="24">
        <f>IF(Allocation!$C$14&lt;&gt;1,0,IF(D318="Prod",IF(B318=Allocation!$C$9,SUMIF(Request!$A$13:$A$20,E318,Request!$D$13:$D$20),0),IF(D318="NonProd",IF(B318=Allocation!$C$10,SUMIF(Request!$A$13:$A$20,E318,Request!$D$13:$D$20),0),IF(AND(D318="DR",B318=Allocation!$C$11),ROUND(SUMIF(Request!$A$13:$A$20,E318,Request!$D$13:$D$20)*Policy!$B$15,0),0))))</f>
        <v/>
      </c>
      <c r="L318" s="24">
        <f>G318+K318</f>
        <v/>
      </c>
      <c r="M318" s="24">
        <f>MAX(0,J318-K318)</f>
        <v/>
      </c>
      <c r="N318" s="24">
        <f>MAX(0,K318-J318)</f>
        <v/>
      </c>
      <c r="O318" s="24">
        <f>L318+H318</f>
        <v/>
      </c>
      <c r="P318" s="25">
        <f>IF(K318=0,"",IF(N318&gt;0,"Request exceeded free cores","Placed"))</f>
        <v/>
      </c>
    </row>
    <row r="319">
      <c r="A319" s="32">
        <f>Capacity_Reservations!A319</f>
        <v/>
      </c>
      <c r="B319" s="32">
        <f>Capacity_Reservations!B319</f>
        <v/>
      </c>
      <c r="C319" s="33">
        <f>Capacity_Reservations!C319</f>
        <v/>
      </c>
      <c r="D319" s="33">
        <f>Capacity_Reservations!D319</f>
        <v/>
      </c>
      <c r="E319" s="32">
        <f>Capacity_Reservations!E319</f>
        <v/>
      </c>
      <c r="F319" s="33">
        <f>Capacity_Reservations!F319</f>
        <v/>
      </c>
      <c r="G319" s="47">
        <f>Capacity_Reservations!I319</f>
        <v/>
      </c>
      <c r="H319" s="47">
        <f>Capacity_Reservations!J319</f>
        <v/>
      </c>
      <c r="I319" s="47">
        <f>Capacity_Reservations!K319</f>
        <v/>
      </c>
      <c r="J319" s="47">
        <f>Capacity_Reservations!L319</f>
        <v/>
      </c>
      <c r="K319" s="24">
        <f>IF(Allocation!$C$14&lt;&gt;1,0,IF(D319="Prod",IF(B319=Allocation!$C$9,SUMIF(Request!$A$13:$A$20,E319,Request!$D$13:$D$20),0),IF(D319="NonProd",IF(B319=Allocation!$C$10,SUMIF(Request!$A$13:$A$20,E319,Request!$D$13:$D$20),0),IF(AND(D319="DR",B319=Allocation!$C$11),ROUND(SUMIF(Request!$A$13:$A$20,E319,Request!$D$13:$D$20)*Policy!$B$15,0),0))))</f>
        <v/>
      </c>
      <c r="L319" s="24">
        <f>G319+K319</f>
        <v/>
      </c>
      <c r="M319" s="24">
        <f>MAX(0,J319-K319)</f>
        <v/>
      </c>
      <c r="N319" s="24">
        <f>MAX(0,K319-J319)</f>
        <v/>
      </c>
      <c r="O319" s="24">
        <f>L319+H319</f>
        <v/>
      </c>
      <c r="P319" s="25">
        <f>IF(K319=0,"",IF(N319&gt;0,"Request exceeded free cores","Placed"))</f>
        <v/>
      </c>
    </row>
    <row r="320">
      <c r="A320" s="32">
        <f>Capacity_Reservations!A320</f>
        <v/>
      </c>
      <c r="B320" s="32">
        <f>Capacity_Reservations!B320</f>
        <v/>
      </c>
      <c r="C320" s="33">
        <f>Capacity_Reservations!C320</f>
        <v/>
      </c>
      <c r="D320" s="33">
        <f>Capacity_Reservations!D320</f>
        <v/>
      </c>
      <c r="E320" s="32">
        <f>Capacity_Reservations!E320</f>
        <v/>
      </c>
      <c r="F320" s="33">
        <f>Capacity_Reservations!F320</f>
        <v/>
      </c>
      <c r="G320" s="47">
        <f>Capacity_Reservations!I320</f>
        <v/>
      </c>
      <c r="H320" s="47">
        <f>Capacity_Reservations!J320</f>
        <v/>
      </c>
      <c r="I320" s="47">
        <f>Capacity_Reservations!K320</f>
        <v/>
      </c>
      <c r="J320" s="47">
        <f>Capacity_Reservations!L320</f>
        <v/>
      </c>
      <c r="K320" s="24">
        <f>IF(Allocation!$C$14&lt;&gt;1,0,IF(D320="Prod",IF(B320=Allocation!$C$9,SUMIF(Request!$A$13:$A$20,E320,Request!$D$13:$D$20),0),IF(D320="NonProd",IF(B320=Allocation!$C$10,SUMIF(Request!$A$13:$A$20,E320,Request!$D$13:$D$20),0),IF(AND(D320="DR",B320=Allocation!$C$11),ROUND(SUMIF(Request!$A$13:$A$20,E320,Request!$D$13:$D$20)*Policy!$B$15,0),0))))</f>
        <v/>
      </c>
      <c r="L320" s="24">
        <f>G320+K320</f>
        <v/>
      </c>
      <c r="M320" s="24">
        <f>MAX(0,J320-K320)</f>
        <v/>
      </c>
      <c r="N320" s="24">
        <f>MAX(0,K320-J320)</f>
        <v/>
      </c>
      <c r="O320" s="24">
        <f>L320+H320</f>
        <v/>
      </c>
      <c r="P320" s="25">
        <f>IF(K320=0,"",IF(N320&gt;0,"Request exceeded free cores","Placed"))</f>
        <v/>
      </c>
    </row>
    <row r="321">
      <c r="A321" s="32">
        <f>Capacity_Reservations!A321</f>
        <v/>
      </c>
      <c r="B321" s="32">
        <f>Capacity_Reservations!B321</f>
        <v/>
      </c>
      <c r="C321" s="33">
        <f>Capacity_Reservations!C321</f>
        <v/>
      </c>
      <c r="D321" s="33">
        <f>Capacity_Reservations!D321</f>
        <v/>
      </c>
      <c r="E321" s="32">
        <f>Capacity_Reservations!E321</f>
        <v/>
      </c>
      <c r="F321" s="33">
        <f>Capacity_Reservations!F321</f>
        <v/>
      </c>
      <c r="G321" s="47">
        <f>Capacity_Reservations!I321</f>
        <v/>
      </c>
      <c r="H321" s="47">
        <f>Capacity_Reservations!J321</f>
        <v/>
      </c>
      <c r="I321" s="47">
        <f>Capacity_Reservations!K321</f>
        <v/>
      </c>
      <c r="J321" s="47">
        <f>Capacity_Reservations!L321</f>
        <v/>
      </c>
      <c r="K321" s="24">
        <f>IF(Allocation!$C$14&lt;&gt;1,0,IF(D321="Prod",IF(B321=Allocation!$C$9,SUMIF(Request!$A$13:$A$20,E321,Request!$D$13:$D$20),0),IF(D321="NonProd",IF(B321=Allocation!$C$10,SUMIF(Request!$A$13:$A$20,E321,Request!$D$13:$D$20),0),IF(AND(D321="DR",B321=Allocation!$C$11),ROUND(SUMIF(Request!$A$13:$A$20,E321,Request!$D$13:$D$20)*Policy!$B$15,0),0))))</f>
        <v/>
      </c>
      <c r="L321" s="24">
        <f>G321+K321</f>
        <v/>
      </c>
      <c r="M321" s="24">
        <f>MAX(0,J321-K321)</f>
        <v/>
      </c>
      <c r="N321" s="24">
        <f>MAX(0,K321-J321)</f>
        <v/>
      </c>
      <c r="O321" s="24">
        <f>L321+H321</f>
        <v/>
      </c>
      <c r="P321" s="25">
        <f>IF(K321=0,"",IF(N321&gt;0,"Request exceeded free cores","Placed"))</f>
        <v/>
      </c>
    </row>
    <row r="322">
      <c r="A322" s="32">
        <f>Capacity_Reservations!A322</f>
        <v/>
      </c>
      <c r="B322" s="32">
        <f>Capacity_Reservations!B322</f>
        <v/>
      </c>
      <c r="C322" s="33">
        <f>Capacity_Reservations!C322</f>
        <v/>
      </c>
      <c r="D322" s="33">
        <f>Capacity_Reservations!D322</f>
        <v/>
      </c>
      <c r="E322" s="32">
        <f>Capacity_Reservations!E322</f>
        <v/>
      </c>
      <c r="F322" s="33">
        <f>Capacity_Reservations!F322</f>
        <v/>
      </c>
      <c r="G322" s="47">
        <f>Capacity_Reservations!I322</f>
        <v/>
      </c>
      <c r="H322" s="47">
        <f>Capacity_Reservations!J322</f>
        <v/>
      </c>
      <c r="I322" s="47">
        <f>Capacity_Reservations!K322</f>
        <v/>
      </c>
      <c r="J322" s="47">
        <f>Capacity_Reservations!L322</f>
        <v/>
      </c>
      <c r="K322" s="24">
        <f>IF(Allocation!$C$14&lt;&gt;1,0,IF(D322="Prod",IF(B322=Allocation!$C$9,SUMIF(Request!$A$13:$A$20,E322,Request!$D$13:$D$20),0),IF(D322="NonProd",IF(B322=Allocation!$C$10,SUMIF(Request!$A$13:$A$20,E322,Request!$D$13:$D$20),0),IF(AND(D322="DR",B322=Allocation!$C$11),ROUND(SUMIF(Request!$A$13:$A$20,E322,Request!$D$13:$D$20)*Policy!$B$15,0),0))))</f>
        <v/>
      </c>
      <c r="L322" s="24">
        <f>G322+K322</f>
        <v/>
      </c>
      <c r="M322" s="24">
        <f>MAX(0,J322-K322)</f>
        <v/>
      </c>
      <c r="N322" s="24">
        <f>MAX(0,K322-J322)</f>
        <v/>
      </c>
      <c r="O322" s="24">
        <f>L322+H322</f>
        <v/>
      </c>
      <c r="P322" s="25">
        <f>IF(K322=0,"",IF(N322&gt;0,"Request exceeded free cores","Placed"))</f>
        <v/>
      </c>
    </row>
    <row r="323">
      <c r="A323" s="32">
        <f>Capacity_Reservations!A323</f>
        <v/>
      </c>
      <c r="B323" s="32">
        <f>Capacity_Reservations!B323</f>
        <v/>
      </c>
      <c r="C323" s="33">
        <f>Capacity_Reservations!C323</f>
        <v/>
      </c>
      <c r="D323" s="33">
        <f>Capacity_Reservations!D323</f>
        <v/>
      </c>
      <c r="E323" s="32">
        <f>Capacity_Reservations!E323</f>
        <v/>
      </c>
      <c r="F323" s="33">
        <f>Capacity_Reservations!F323</f>
        <v/>
      </c>
      <c r="G323" s="47">
        <f>Capacity_Reservations!I323</f>
        <v/>
      </c>
      <c r="H323" s="47">
        <f>Capacity_Reservations!J323</f>
        <v/>
      </c>
      <c r="I323" s="47">
        <f>Capacity_Reservations!K323</f>
        <v/>
      </c>
      <c r="J323" s="47">
        <f>Capacity_Reservations!L323</f>
        <v/>
      </c>
      <c r="K323" s="24">
        <f>IF(Allocation!$C$14&lt;&gt;1,0,IF(D323="Prod",IF(B323=Allocation!$C$9,SUMIF(Request!$A$13:$A$20,E323,Request!$D$13:$D$20),0),IF(D323="NonProd",IF(B323=Allocation!$C$10,SUMIF(Request!$A$13:$A$20,E323,Request!$D$13:$D$20),0),IF(AND(D323="DR",B323=Allocation!$C$11),ROUND(SUMIF(Request!$A$13:$A$20,E323,Request!$D$13:$D$20)*Policy!$B$15,0),0))))</f>
        <v/>
      </c>
      <c r="L323" s="24">
        <f>G323+K323</f>
        <v/>
      </c>
      <c r="M323" s="24">
        <f>MAX(0,J323-K323)</f>
        <v/>
      </c>
      <c r="N323" s="24">
        <f>MAX(0,K323-J323)</f>
        <v/>
      </c>
      <c r="O323" s="24">
        <f>L323+H323</f>
        <v/>
      </c>
      <c r="P323" s="25">
        <f>IF(K323=0,"",IF(N323&gt;0,"Request exceeded free cores","Placed"))</f>
        <v/>
      </c>
    </row>
    <row r="324">
      <c r="A324" s="32">
        <f>Capacity_Reservations!A324</f>
        <v/>
      </c>
      <c r="B324" s="32">
        <f>Capacity_Reservations!B324</f>
        <v/>
      </c>
      <c r="C324" s="33">
        <f>Capacity_Reservations!C324</f>
        <v/>
      </c>
      <c r="D324" s="33">
        <f>Capacity_Reservations!D324</f>
        <v/>
      </c>
      <c r="E324" s="32">
        <f>Capacity_Reservations!E324</f>
        <v/>
      </c>
      <c r="F324" s="33">
        <f>Capacity_Reservations!F324</f>
        <v/>
      </c>
      <c r="G324" s="47">
        <f>Capacity_Reservations!I324</f>
        <v/>
      </c>
      <c r="H324" s="47">
        <f>Capacity_Reservations!J324</f>
        <v/>
      </c>
      <c r="I324" s="47">
        <f>Capacity_Reservations!K324</f>
        <v/>
      </c>
      <c r="J324" s="47">
        <f>Capacity_Reservations!L324</f>
        <v/>
      </c>
      <c r="K324" s="24">
        <f>IF(Allocation!$C$14&lt;&gt;1,0,IF(D324="Prod",IF(B324=Allocation!$C$9,SUMIF(Request!$A$13:$A$20,E324,Request!$D$13:$D$20),0),IF(D324="NonProd",IF(B324=Allocation!$C$10,SUMIF(Request!$A$13:$A$20,E324,Request!$D$13:$D$20),0),IF(AND(D324="DR",B324=Allocation!$C$11),ROUND(SUMIF(Request!$A$13:$A$20,E324,Request!$D$13:$D$20)*Policy!$B$15,0),0))))</f>
        <v/>
      </c>
      <c r="L324" s="24">
        <f>G324+K324</f>
        <v/>
      </c>
      <c r="M324" s="24">
        <f>MAX(0,J324-K324)</f>
        <v/>
      </c>
      <c r="N324" s="24">
        <f>MAX(0,K324-J324)</f>
        <v/>
      </c>
      <c r="O324" s="24">
        <f>L324+H324</f>
        <v/>
      </c>
      <c r="P324" s="25">
        <f>IF(K324=0,"",IF(N324&gt;0,"Request exceeded free cores","Placed"))</f>
        <v/>
      </c>
    </row>
    <row r="325">
      <c r="A325" s="32">
        <f>Capacity_Reservations!A325</f>
        <v/>
      </c>
      <c r="B325" s="32">
        <f>Capacity_Reservations!B325</f>
        <v/>
      </c>
      <c r="C325" s="33">
        <f>Capacity_Reservations!C325</f>
        <v/>
      </c>
      <c r="D325" s="33">
        <f>Capacity_Reservations!D325</f>
        <v/>
      </c>
      <c r="E325" s="32">
        <f>Capacity_Reservations!E325</f>
        <v/>
      </c>
      <c r="F325" s="33">
        <f>Capacity_Reservations!F325</f>
        <v/>
      </c>
      <c r="G325" s="47">
        <f>Capacity_Reservations!I325</f>
        <v/>
      </c>
      <c r="H325" s="47">
        <f>Capacity_Reservations!J325</f>
        <v/>
      </c>
      <c r="I325" s="47">
        <f>Capacity_Reservations!K325</f>
        <v/>
      </c>
      <c r="J325" s="47">
        <f>Capacity_Reservations!L325</f>
        <v/>
      </c>
      <c r="K325" s="24">
        <f>IF(Allocation!$C$14&lt;&gt;1,0,IF(D325="Prod",IF(B325=Allocation!$C$9,SUMIF(Request!$A$13:$A$20,E325,Request!$D$13:$D$20),0),IF(D325="NonProd",IF(B325=Allocation!$C$10,SUMIF(Request!$A$13:$A$20,E325,Request!$D$13:$D$20),0),IF(AND(D325="DR",B325=Allocation!$C$11),ROUND(SUMIF(Request!$A$13:$A$20,E325,Request!$D$13:$D$20)*Policy!$B$15,0),0))))</f>
        <v/>
      </c>
      <c r="L325" s="24">
        <f>G325+K325</f>
        <v/>
      </c>
      <c r="M325" s="24">
        <f>MAX(0,J325-K325)</f>
        <v/>
      </c>
      <c r="N325" s="24">
        <f>MAX(0,K325-J325)</f>
        <v/>
      </c>
      <c r="O325" s="24">
        <f>L325+H325</f>
        <v/>
      </c>
      <c r="P325" s="25">
        <f>IF(K325=0,"",IF(N325&gt;0,"Request exceeded free cores","Placed"))</f>
        <v/>
      </c>
    </row>
    <row r="326">
      <c r="A326" s="32">
        <f>Capacity_Reservations!A326</f>
        <v/>
      </c>
      <c r="B326" s="32">
        <f>Capacity_Reservations!B326</f>
        <v/>
      </c>
      <c r="C326" s="33">
        <f>Capacity_Reservations!C326</f>
        <v/>
      </c>
      <c r="D326" s="33">
        <f>Capacity_Reservations!D326</f>
        <v/>
      </c>
      <c r="E326" s="32">
        <f>Capacity_Reservations!E326</f>
        <v/>
      </c>
      <c r="F326" s="33">
        <f>Capacity_Reservations!F326</f>
        <v/>
      </c>
      <c r="G326" s="47">
        <f>Capacity_Reservations!I326</f>
        <v/>
      </c>
      <c r="H326" s="47">
        <f>Capacity_Reservations!J326</f>
        <v/>
      </c>
      <c r="I326" s="47">
        <f>Capacity_Reservations!K326</f>
        <v/>
      </c>
      <c r="J326" s="47">
        <f>Capacity_Reservations!L326</f>
        <v/>
      </c>
      <c r="K326" s="24">
        <f>IF(Allocation!$C$14&lt;&gt;1,0,IF(D326="Prod",IF(B326=Allocation!$C$9,SUMIF(Request!$A$13:$A$20,E326,Request!$D$13:$D$20),0),IF(D326="NonProd",IF(B326=Allocation!$C$10,SUMIF(Request!$A$13:$A$20,E326,Request!$D$13:$D$20),0),IF(AND(D326="DR",B326=Allocation!$C$11),ROUND(SUMIF(Request!$A$13:$A$20,E326,Request!$D$13:$D$20)*Policy!$B$15,0),0))))</f>
        <v/>
      </c>
      <c r="L326" s="24">
        <f>G326+K326</f>
        <v/>
      </c>
      <c r="M326" s="24">
        <f>MAX(0,J326-K326)</f>
        <v/>
      </c>
      <c r="N326" s="24">
        <f>MAX(0,K326-J326)</f>
        <v/>
      </c>
      <c r="O326" s="24">
        <f>L326+H326</f>
        <v/>
      </c>
      <c r="P326" s="25">
        <f>IF(K326=0,"",IF(N326&gt;0,"Request exceeded free cores","Placed"))</f>
        <v/>
      </c>
    </row>
    <row r="327">
      <c r="A327" s="32">
        <f>Capacity_Reservations!A327</f>
        <v/>
      </c>
      <c r="B327" s="32">
        <f>Capacity_Reservations!B327</f>
        <v/>
      </c>
      <c r="C327" s="33">
        <f>Capacity_Reservations!C327</f>
        <v/>
      </c>
      <c r="D327" s="33">
        <f>Capacity_Reservations!D327</f>
        <v/>
      </c>
      <c r="E327" s="32">
        <f>Capacity_Reservations!E327</f>
        <v/>
      </c>
      <c r="F327" s="33">
        <f>Capacity_Reservations!F327</f>
        <v/>
      </c>
      <c r="G327" s="47">
        <f>Capacity_Reservations!I327</f>
        <v/>
      </c>
      <c r="H327" s="47">
        <f>Capacity_Reservations!J327</f>
        <v/>
      </c>
      <c r="I327" s="47">
        <f>Capacity_Reservations!K327</f>
        <v/>
      </c>
      <c r="J327" s="47">
        <f>Capacity_Reservations!L327</f>
        <v/>
      </c>
      <c r="K327" s="24">
        <f>IF(Allocation!$C$14&lt;&gt;1,0,IF(D327="Prod",IF(B327=Allocation!$C$9,SUMIF(Request!$A$13:$A$20,E327,Request!$D$13:$D$20),0),IF(D327="NonProd",IF(B327=Allocation!$C$10,SUMIF(Request!$A$13:$A$20,E327,Request!$D$13:$D$20),0),IF(AND(D327="DR",B327=Allocation!$C$11),ROUND(SUMIF(Request!$A$13:$A$20,E327,Request!$D$13:$D$20)*Policy!$B$15,0),0))))</f>
        <v/>
      </c>
      <c r="L327" s="24">
        <f>G327+K327</f>
        <v/>
      </c>
      <c r="M327" s="24">
        <f>MAX(0,J327-K327)</f>
        <v/>
      </c>
      <c r="N327" s="24">
        <f>MAX(0,K327-J327)</f>
        <v/>
      </c>
      <c r="O327" s="24">
        <f>L327+H327</f>
        <v/>
      </c>
      <c r="P327" s="25">
        <f>IF(K327=0,"",IF(N327&gt;0,"Request exceeded free cores","Placed"))</f>
        <v/>
      </c>
    </row>
    <row r="328">
      <c r="A328" s="32">
        <f>Capacity_Reservations!A328</f>
        <v/>
      </c>
      <c r="B328" s="32">
        <f>Capacity_Reservations!B328</f>
        <v/>
      </c>
      <c r="C328" s="33">
        <f>Capacity_Reservations!C328</f>
        <v/>
      </c>
      <c r="D328" s="33">
        <f>Capacity_Reservations!D328</f>
        <v/>
      </c>
      <c r="E328" s="32">
        <f>Capacity_Reservations!E328</f>
        <v/>
      </c>
      <c r="F328" s="33">
        <f>Capacity_Reservations!F328</f>
        <v/>
      </c>
      <c r="G328" s="47">
        <f>Capacity_Reservations!I328</f>
        <v/>
      </c>
      <c r="H328" s="47">
        <f>Capacity_Reservations!J328</f>
        <v/>
      </c>
      <c r="I328" s="47">
        <f>Capacity_Reservations!K328</f>
        <v/>
      </c>
      <c r="J328" s="47">
        <f>Capacity_Reservations!L328</f>
        <v/>
      </c>
      <c r="K328" s="24">
        <f>IF(Allocation!$C$14&lt;&gt;1,0,IF(D328="Prod",IF(B328=Allocation!$C$9,SUMIF(Request!$A$13:$A$20,E328,Request!$D$13:$D$20),0),IF(D328="NonProd",IF(B328=Allocation!$C$10,SUMIF(Request!$A$13:$A$20,E328,Request!$D$13:$D$20),0),IF(AND(D328="DR",B328=Allocation!$C$11),ROUND(SUMIF(Request!$A$13:$A$20,E328,Request!$D$13:$D$20)*Policy!$B$15,0),0))))</f>
        <v/>
      </c>
      <c r="L328" s="24">
        <f>G328+K328</f>
        <v/>
      </c>
      <c r="M328" s="24">
        <f>MAX(0,J328-K328)</f>
        <v/>
      </c>
      <c r="N328" s="24">
        <f>MAX(0,K328-J328)</f>
        <v/>
      </c>
      <c r="O328" s="24">
        <f>L328+H328</f>
        <v/>
      </c>
      <c r="P328" s="25">
        <f>IF(K328=0,"",IF(N328&gt;0,"Request exceeded free cores","Placed"))</f>
        <v/>
      </c>
    </row>
    <row r="329">
      <c r="A329" s="32">
        <f>Capacity_Reservations!A329</f>
        <v/>
      </c>
      <c r="B329" s="32">
        <f>Capacity_Reservations!B329</f>
        <v/>
      </c>
      <c r="C329" s="33">
        <f>Capacity_Reservations!C329</f>
        <v/>
      </c>
      <c r="D329" s="33">
        <f>Capacity_Reservations!D329</f>
        <v/>
      </c>
      <c r="E329" s="32">
        <f>Capacity_Reservations!E329</f>
        <v/>
      </c>
      <c r="F329" s="33">
        <f>Capacity_Reservations!F329</f>
        <v/>
      </c>
      <c r="G329" s="47">
        <f>Capacity_Reservations!I329</f>
        <v/>
      </c>
      <c r="H329" s="47">
        <f>Capacity_Reservations!J329</f>
        <v/>
      </c>
      <c r="I329" s="47">
        <f>Capacity_Reservations!K329</f>
        <v/>
      </c>
      <c r="J329" s="47">
        <f>Capacity_Reservations!L329</f>
        <v/>
      </c>
      <c r="K329" s="24">
        <f>IF(Allocation!$C$14&lt;&gt;1,0,IF(D329="Prod",IF(B329=Allocation!$C$9,SUMIF(Request!$A$13:$A$20,E329,Request!$D$13:$D$20),0),IF(D329="NonProd",IF(B329=Allocation!$C$10,SUMIF(Request!$A$13:$A$20,E329,Request!$D$13:$D$20),0),IF(AND(D329="DR",B329=Allocation!$C$11),ROUND(SUMIF(Request!$A$13:$A$20,E329,Request!$D$13:$D$20)*Policy!$B$15,0),0))))</f>
        <v/>
      </c>
      <c r="L329" s="24">
        <f>G329+K329</f>
        <v/>
      </c>
      <c r="M329" s="24">
        <f>MAX(0,J329-K329)</f>
        <v/>
      </c>
      <c r="N329" s="24">
        <f>MAX(0,K329-J329)</f>
        <v/>
      </c>
      <c r="O329" s="24">
        <f>L329+H329</f>
        <v/>
      </c>
      <c r="P329" s="25">
        <f>IF(K329=0,"",IF(N329&gt;0,"Request exceeded free cores","Placed"))</f>
        <v/>
      </c>
    </row>
    <row r="330">
      <c r="A330" s="32">
        <f>Capacity_Reservations!A330</f>
        <v/>
      </c>
      <c r="B330" s="32">
        <f>Capacity_Reservations!B330</f>
        <v/>
      </c>
      <c r="C330" s="33">
        <f>Capacity_Reservations!C330</f>
        <v/>
      </c>
      <c r="D330" s="33">
        <f>Capacity_Reservations!D330</f>
        <v/>
      </c>
      <c r="E330" s="32">
        <f>Capacity_Reservations!E330</f>
        <v/>
      </c>
      <c r="F330" s="33">
        <f>Capacity_Reservations!F330</f>
        <v/>
      </c>
      <c r="G330" s="47">
        <f>Capacity_Reservations!I330</f>
        <v/>
      </c>
      <c r="H330" s="47">
        <f>Capacity_Reservations!J330</f>
        <v/>
      </c>
      <c r="I330" s="47">
        <f>Capacity_Reservations!K330</f>
        <v/>
      </c>
      <c r="J330" s="47">
        <f>Capacity_Reservations!L330</f>
        <v/>
      </c>
      <c r="K330" s="24">
        <f>IF(Allocation!$C$14&lt;&gt;1,0,IF(D330="Prod",IF(B330=Allocation!$C$9,SUMIF(Request!$A$13:$A$20,E330,Request!$D$13:$D$20),0),IF(D330="NonProd",IF(B330=Allocation!$C$10,SUMIF(Request!$A$13:$A$20,E330,Request!$D$13:$D$20),0),IF(AND(D330="DR",B330=Allocation!$C$11),ROUND(SUMIF(Request!$A$13:$A$20,E330,Request!$D$13:$D$20)*Policy!$B$15,0),0))))</f>
        <v/>
      </c>
      <c r="L330" s="24">
        <f>G330+K330</f>
        <v/>
      </c>
      <c r="M330" s="24">
        <f>MAX(0,J330-K330)</f>
        <v/>
      </c>
      <c r="N330" s="24">
        <f>MAX(0,K330-J330)</f>
        <v/>
      </c>
      <c r="O330" s="24">
        <f>L330+H330</f>
        <v/>
      </c>
      <c r="P330" s="25">
        <f>IF(K330=0,"",IF(N330&gt;0,"Request exceeded free cores","Placed"))</f>
        <v/>
      </c>
    </row>
    <row r="331">
      <c r="A331" s="32">
        <f>Capacity_Reservations!A331</f>
        <v/>
      </c>
      <c r="B331" s="32">
        <f>Capacity_Reservations!B331</f>
        <v/>
      </c>
      <c r="C331" s="33">
        <f>Capacity_Reservations!C331</f>
        <v/>
      </c>
      <c r="D331" s="33">
        <f>Capacity_Reservations!D331</f>
        <v/>
      </c>
      <c r="E331" s="32">
        <f>Capacity_Reservations!E331</f>
        <v/>
      </c>
      <c r="F331" s="33">
        <f>Capacity_Reservations!F331</f>
        <v/>
      </c>
      <c r="G331" s="47">
        <f>Capacity_Reservations!I331</f>
        <v/>
      </c>
      <c r="H331" s="47">
        <f>Capacity_Reservations!J331</f>
        <v/>
      </c>
      <c r="I331" s="47">
        <f>Capacity_Reservations!K331</f>
        <v/>
      </c>
      <c r="J331" s="47">
        <f>Capacity_Reservations!L331</f>
        <v/>
      </c>
      <c r="K331" s="24">
        <f>IF(Allocation!$C$14&lt;&gt;1,0,IF(D331="Prod",IF(B331=Allocation!$C$9,SUMIF(Request!$A$13:$A$20,E331,Request!$D$13:$D$20),0),IF(D331="NonProd",IF(B331=Allocation!$C$10,SUMIF(Request!$A$13:$A$20,E331,Request!$D$13:$D$20),0),IF(AND(D331="DR",B331=Allocation!$C$11),ROUND(SUMIF(Request!$A$13:$A$20,E331,Request!$D$13:$D$20)*Policy!$B$15,0),0))))</f>
        <v/>
      </c>
      <c r="L331" s="24">
        <f>G331+K331</f>
        <v/>
      </c>
      <c r="M331" s="24">
        <f>MAX(0,J331-K331)</f>
        <v/>
      </c>
      <c r="N331" s="24">
        <f>MAX(0,K331-J331)</f>
        <v/>
      </c>
      <c r="O331" s="24">
        <f>L331+H331</f>
        <v/>
      </c>
      <c r="P331" s="25">
        <f>IF(K331=0,"",IF(N331&gt;0,"Request exceeded free cores","Placed"))</f>
        <v/>
      </c>
    </row>
    <row r="332">
      <c r="A332" s="32">
        <f>Capacity_Reservations!A332</f>
        <v/>
      </c>
      <c r="B332" s="32">
        <f>Capacity_Reservations!B332</f>
        <v/>
      </c>
      <c r="C332" s="33">
        <f>Capacity_Reservations!C332</f>
        <v/>
      </c>
      <c r="D332" s="33">
        <f>Capacity_Reservations!D332</f>
        <v/>
      </c>
      <c r="E332" s="32">
        <f>Capacity_Reservations!E332</f>
        <v/>
      </c>
      <c r="F332" s="33">
        <f>Capacity_Reservations!F332</f>
        <v/>
      </c>
      <c r="G332" s="47">
        <f>Capacity_Reservations!I332</f>
        <v/>
      </c>
      <c r="H332" s="47">
        <f>Capacity_Reservations!J332</f>
        <v/>
      </c>
      <c r="I332" s="47">
        <f>Capacity_Reservations!K332</f>
        <v/>
      </c>
      <c r="J332" s="47">
        <f>Capacity_Reservations!L332</f>
        <v/>
      </c>
      <c r="K332" s="24">
        <f>IF(Allocation!$C$14&lt;&gt;1,0,IF(D332="Prod",IF(B332=Allocation!$C$9,SUMIF(Request!$A$13:$A$20,E332,Request!$D$13:$D$20),0),IF(D332="NonProd",IF(B332=Allocation!$C$10,SUMIF(Request!$A$13:$A$20,E332,Request!$D$13:$D$20),0),IF(AND(D332="DR",B332=Allocation!$C$11),ROUND(SUMIF(Request!$A$13:$A$20,E332,Request!$D$13:$D$20)*Policy!$B$15,0),0))))</f>
        <v/>
      </c>
      <c r="L332" s="24">
        <f>G332+K332</f>
        <v/>
      </c>
      <c r="M332" s="24">
        <f>MAX(0,J332-K332)</f>
        <v/>
      </c>
      <c r="N332" s="24">
        <f>MAX(0,K332-J332)</f>
        <v/>
      </c>
      <c r="O332" s="24">
        <f>L332+H332</f>
        <v/>
      </c>
      <c r="P332" s="25">
        <f>IF(K332=0,"",IF(N332&gt;0,"Request exceeded free cores","Placed"))</f>
        <v/>
      </c>
    </row>
    <row r="333">
      <c r="A333" s="32">
        <f>Capacity_Reservations!A333</f>
        <v/>
      </c>
      <c r="B333" s="32">
        <f>Capacity_Reservations!B333</f>
        <v/>
      </c>
      <c r="C333" s="33">
        <f>Capacity_Reservations!C333</f>
        <v/>
      </c>
      <c r="D333" s="33">
        <f>Capacity_Reservations!D333</f>
        <v/>
      </c>
      <c r="E333" s="32">
        <f>Capacity_Reservations!E333</f>
        <v/>
      </c>
      <c r="F333" s="33">
        <f>Capacity_Reservations!F333</f>
        <v/>
      </c>
      <c r="G333" s="47">
        <f>Capacity_Reservations!I333</f>
        <v/>
      </c>
      <c r="H333" s="47">
        <f>Capacity_Reservations!J333</f>
        <v/>
      </c>
      <c r="I333" s="47">
        <f>Capacity_Reservations!K333</f>
        <v/>
      </c>
      <c r="J333" s="47">
        <f>Capacity_Reservations!L333</f>
        <v/>
      </c>
      <c r="K333" s="24">
        <f>IF(Allocation!$C$14&lt;&gt;1,0,IF(D333="Prod",IF(B333=Allocation!$C$9,SUMIF(Request!$A$13:$A$20,E333,Request!$D$13:$D$20),0),IF(D333="NonProd",IF(B333=Allocation!$C$10,SUMIF(Request!$A$13:$A$20,E333,Request!$D$13:$D$20),0),IF(AND(D333="DR",B333=Allocation!$C$11),ROUND(SUMIF(Request!$A$13:$A$20,E333,Request!$D$13:$D$20)*Policy!$B$15,0),0))))</f>
        <v/>
      </c>
      <c r="L333" s="24">
        <f>G333+K333</f>
        <v/>
      </c>
      <c r="M333" s="24">
        <f>MAX(0,J333-K333)</f>
        <v/>
      </c>
      <c r="N333" s="24">
        <f>MAX(0,K333-J333)</f>
        <v/>
      </c>
      <c r="O333" s="24">
        <f>L333+H333</f>
        <v/>
      </c>
      <c r="P333" s="25">
        <f>IF(K333=0,"",IF(N333&gt;0,"Request exceeded free cores","Placed"))</f>
        <v/>
      </c>
    </row>
    <row r="334">
      <c r="A334" s="32">
        <f>Capacity_Reservations!A334</f>
        <v/>
      </c>
      <c r="B334" s="32">
        <f>Capacity_Reservations!B334</f>
        <v/>
      </c>
      <c r="C334" s="33">
        <f>Capacity_Reservations!C334</f>
        <v/>
      </c>
      <c r="D334" s="33">
        <f>Capacity_Reservations!D334</f>
        <v/>
      </c>
      <c r="E334" s="32">
        <f>Capacity_Reservations!E334</f>
        <v/>
      </c>
      <c r="F334" s="33">
        <f>Capacity_Reservations!F334</f>
        <v/>
      </c>
      <c r="G334" s="47">
        <f>Capacity_Reservations!I334</f>
        <v/>
      </c>
      <c r="H334" s="47">
        <f>Capacity_Reservations!J334</f>
        <v/>
      </c>
      <c r="I334" s="47">
        <f>Capacity_Reservations!K334</f>
        <v/>
      </c>
      <c r="J334" s="47">
        <f>Capacity_Reservations!L334</f>
        <v/>
      </c>
      <c r="K334" s="24">
        <f>IF(Allocation!$C$14&lt;&gt;1,0,IF(D334="Prod",IF(B334=Allocation!$C$9,SUMIF(Request!$A$13:$A$20,E334,Request!$D$13:$D$20),0),IF(D334="NonProd",IF(B334=Allocation!$C$10,SUMIF(Request!$A$13:$A$20,E334,Request!$D$13:$D$20),0),IF(AND(D334="DR",B334=Allocation!$C$11),ROUND(SUMIF(Request!$A$13:$A$20,E334,Request!$D$13:$D$20)*Policy!$B$15,0),0))))</f>
        <v/>
      </c>
      <c r="L334" s="24">
        <f>G334+K334</f>
        <v/>
      </c>
      <c r="M334" s="24">
        <f>MAX(0,J334-K334)</f>
        <v/>
      </c>
      <c r="N334" s="24">
        <f>MAX(0,K334-J334)</f>
        <v/>
      </c>
      <c r="O334" s="24">
        <f>L334+H334</f>
        <v/>
      </c>
      <c r="P334" s="25">
        <f>IF(K334=0,"",IF(N334&gt;0,"Request exceeded free cores","Placed"))</f>
        <v/>
      </c>
    </row>
    <row r="335">
      <c r="A335" s="32">
        <f>Capacity_Reservations!A335</f>
        <v/>
      </c>
      <c r="B335" s="32">
        <f>Capacity_Reservations!B335</f>
        <v/>
      </c>
      <c r="C335" s="33">
        <f>Capacity_Reservations!C335</f>
        <v/>
      </c>
      <c r="D335" s="33">
        <f>Capacity_Reservations!D335</f>
        <v/>
      </c>
      <c r="E335" s="32">
        <f>Capacity_Reservations!E335</f>
        <v/>
      </c>
      <c r="F335" s="33">
        <f>Capacity_Reservations!F335</f>
        <v/>
      </c>
      <c r="G335" s="47">
        <f>Capacity_Reservations!I335</f>
        <v/>
      </c>
      <c r="H335" s="47">
        <f>Capacity_Reservations!J335</f>
        <v/>
      </c>
      <c r="I335" s="47">
        <f>Capacity_Reservations!K335</f>
        <v/>
      </c>
      <c r="J335" s="47">
        <f>Capacity_Reservations!L335</f>
        <v/>
      </c>
      <c r="K335" s="24">
        <f>IF(Allocation!$C$14&lt;&gt;1,0,IF(D335="Prod",IF(B335=Allocation!$C$9,SUMIF(Request!$A$13:$A$20,E335,Request!$D$13:$D$20),0),IF(D335="NonProd",IF(B335=Allocation!$C$10,SUMIF(Request!$A$13:$A$20,E335,Request!$D$13:$D$20),0),IF(AND(D335="DR",B335=Allocation!$C$11),ROUND(SUMIF(Request!$A$13:$A$20,E335,Request!$D$13:$D$20)*Policy!$B$15,0),0))))</f>
        <v/>
      </c>
      <c r="L335" s="24">
        <f>G335+K335</f>
        <v/>
      </c>
      <c r="M335" s="24">
        <f>MAX(0,J335-K335)</f>
        <v/>
      </c>
      <c r="N335" s="24">
        <f>MAX(0,K335-J335)</f>
        <v/>
      </c>
      <c r="O335" s="24">
        <f>L335+H335</f>
        <v/>
      </c>
      <c r="P335" s="25">
        <f>IF(K335=0,"",IF(N335&gt;0,"Request exceeded free cores","Placed"))</f>
        <v/>
      </c>
    </row>
    <row r="336">
      <c r="A336" s="32">
        <f>Capacity_Reservations!A336</f>
        <v/>
      </c>
      <c r="B336" s="32">
        <f>Capacity_Reservations!B336</f>
        <v/>
      </c>
      <c r="C336" s="33">
        <f>Capacity_Reservations!C336</f>
        <v/>
      </c>
      <c r="D336" s="33">
        <f>Capacity_Reservations!D336</f>
        <v/>
      </c>
      <c r="E336" s="32">
        <f>Capacity_Reservations!E336</f>
        <v/>
      </c>
      <c r="F336" s="33">
        <f>Capacity_Reservations!F336</f>
        <v/>
      </c>
      <c r="G336" s="47">
        <f>Capacity_Reservations!I336</f>
        <v/>
      </c>
      <c r="H336" s="47">
        <f>Capacity_Reservations!J336</f>
        <v/>
      </c>
      <c r="I336" s="47">
        <f>Capacity_Reservations!K336</f>
        <v/>
      </c>
      <c r="J336" s="47">
        <f>Capacity_Reservations!L336</f>
        <v/>
      </c>
      <c r="K336" s="24">
        <f>IF(Allocation!$C$14&lt;&gt;1,0,IF(D336="Prod",IF(B336=Allocation!$C$9,SUMIF(Request!$A$13:$A$20,E336,Request!$D$13:$D$20),0),IF(D336="NonProd",IF(B336=Allocation!$C$10,SUMIF(Request!$A$13:$A$20,E336,Request!$D$13:$D$20),0),IF(AND(D336="DR",B336=Allocation!$C$11),ROUND(SUMIF(Request!$A$13:$A$20,E336,Request!$D$13:$D$20)*Policy!$B$15,0),0))))</f>
        <v/>
      </c>
      <c r="L336" s="24">
        <f>G336+K336</f>
        <v/>
      </c>
      <c r="M336" s="24">
        <f>MAX(0,J336-K336)</f>
        <v/>
      </c>
      <c r="N336" s="24">
        <f>MAX(0,K336-J336)</f>
        <v/>
      </c>
      <c r="O336" s="24">
        <f>L336+H336</f>
        <v/>
      </c>
      <c r="P336" s="25">
        <f>IF(K336=0,"",IF(N336&gt;0,"Request exceeded free cores","Placed"))</f>
        <v/>
      </c>
    </row>
    <row r="337">
      <c r="A337" s="32">
        <f>Capacity_Reservations!A337</f>
        <v/>
      </c>
      <c r="B337" s="32">
        <f>Capacity_Reservations!B337</f>
        <v/>
      </c>
      <c r="C337" s="33">
        <f>Capacity_Reservations!C337</f>
        <v/>
      </c>
      <c r="D337" s="33">
        <f>Capacity_Reservations!D337</f>
        <v/>
      </c>
      <c r="E337" s="32">
        <f>Capacity_Reservations!E337</f>
        <v/>
      </c>
      <c r="F337" s="33">
        <f>Capacity_Reservations!F337</f>
        <v/>
      </c>
      <c r="G337" s="47">
        <f>Capacity_Reservations!I337</f>
        <v/>
      </c>
      <c r="H337" s="47">
        <f>Capacity_Reservations!J337</f>
        <v/>
      </c>
      <c r="I337" s="47">
        <f>Capacity_Reservations!K337</f>
        <v/>
      </c>
      <c r="J337" s="47">
        <f>Capacity_Reservations!L337</f>
        <v/>
      </c>
      <c r="K337" s="24">
        <f>IF(Allocation!$C$14&lt;&gt;1,0,IF(D337="Prod",IF(B337=Allocation!$C$9,SUMIF(Request!$A$13:$A$20,E337,Request!$D$13:$D$20),0),IF(D337="NonProd",IF(B337=Allocation!$C$10,SUMIF(Request!$A$13:$A$20,E337,Request!$D$13:$D$20),0),IF(AND(D337="DR",B337=Allocation!$C$11),ROUND(SUMIF(Request!$A$13:$A$20,E337,Request!$D$13:$D$20)*Policy!$B$15,0),0))))</f>
        <v/>
      </c>
      <c r="L337" s="24">
        <f>G337+K337</f>
        <v/>
      </c>
      <c r="M337" s="24">
        <f>MAX(0,J337-K337)</f>
        <v/>
      </c>
      <c r="N337" s="24">
        <f>MAX(0,K337-J337)</f>
        <v/>
      </c>
      <c r="O337" s="24">
        <f>L337+H337</f>
        <v/>
      </c>
      <c r="P337" s="25">
        <f>IF(K337=0,"",IF(N337&gt;0,"Request exceeded free cores","Placed"))</f>
        <v/>
      </c>
    </row>
    <row r="338">
      <c r="A338" s="32">
        <f>Capacity_Reservations!A338</f>
        <v/>
      </c>
      <c r="B338" s="32">
        <f>Capacity_Reservations!B338</f>
        <v/>
      </c>
      <c r="C338" s="33">
        <f>Capacity_Reservations!C338</f>
        <v/>
      </c>
      <c r="D338" s="33">
        <f>Capacity_Reservations!D338</f>
        <v/>
      </c>
      <c r="E338" s="32">
        <f>Capacity_Reservations!E338</f>
        <v/>
      </c>
      <c r="F338" s="33">
        <f>Capacity_Reservations!F338</f>
        <v/>
      </c>
      <c r="G338" s="47">
        <f>Capacity_Reservations!I338</f>
        <v/>
      </c>
      <c r="H338" s="47">
        <f>Capacity_Reservations!J338</f>
        <v/>
      </c>
      <c r="I338" s="47">
        <f>Capacity_Reservations!K338</f>
        <v/>
      </c>
      <c r="J338" s="47">
        <f>Capacity_Reservations!L338</f>
        <v/>
      </c>
      <c r="K338" s="24">
        <f>IF(Allocation!$C$14&lt;&gt;1,0,IF(D338="Prod",IF(B338=Allocation!$C$9,SUMIF(Request!$A$13:$A$20,E338,Request!$D$13:$D$20),0),IF(D338="NonProd",IF(B338=Allocation!$C$10,SUMIF(Request!$A$13:$A$20,E338,Request!$D$13:$D$20),0),IF(AND(D338="DR",B338=Allocation!$C$11),ROUND(SUMIF(Request!$A$13:$A$20,E338,Request!$D$13:$D$20)*Policy!$B$15,0),0))))</f>
        <v/>
      </c>
      <c r="L338" s="24">
        <f>G338+K338</f>
        <v/>
      </c>
      <c r="M338" s="24">
        <f>MAX(0,J338-K338)</f>
        <v/>
      </c>
      <c r="N338" s="24">
        <f>MAX(0,K338-J338)</f>
        <v/>
      </c>
      <c r="O338" s="24">
        <f>L338+H338</f>
        <v/>
      </c>
      <c r="P338" s="25">
        <f>IF(K338=0,"",IF(N338&gt;0,"Request exceeded free cores","Placed"))</f>
        <v/>
      </c>
    </row>
    <row r="339">
      <c r="A339" s="32">
        <f>Capacity_Reservations!A339</f>
        <v/>
      </c>
      <c r="B339" s="32">
        <f>Capacity_Reservations!B339</f>
        <v/>
      </c>
      <c r="C339" s="33">
        <f>Capacity_Reservations!C339</f>
        <v/>
      </c>
      <c r="D339" s="33">
        <f>Capacity_Reservations!D339</f>
        <v/>
      </c>
      <c r="E339" s="32">
        <f>Capacity_Reservations!E339</f>
        <v/>
      </c>
      <c r="F339" s="33">
        <f>Capacity_Reservations!F339</f>
        <v/>
      </c>
      <c r="G339" s="47">
        <f>Capacity_Reservations!I339</f>
        <v/>
      </c>
      <c r="H339" s="47">
        <f>Capacity_Reservations!J339</f>
        <v/>
      </c>
      <c r="I339" s="47">
        <f>Capacity_Reservations!K339</f>
        <v/>
      </c>
      <c r="J339" s="47">
        <f>Capacity_Reservations!L339</f>
        <v/>
      </c>
      <c r="K339" s="24">
        <f>IF(Allocation!$C$14&lt;&gt;1,0,IF(D339="Prod",IF(B339=Allocation!$C$9,SUMIF(Request!$A$13:$A$20,E339,Request!$D$13:$D$20),0),IF(D339="NonProd",IF(B339=Allocation!$C$10,SUMIF(Request!$A$13:$A$20,E339,Request!$D$13:$D$20),0),IF(AND(D339="DR",B339=Allocation!$C$11),ROUND(SUMIF(Request!$A$13:$A$20,E339,Request!$D$13:$D$20)*Policy!$B$15,0),0))))</f>
        <v/>
      </c>
      <c r="L339" s="24">
        <f>G339+K339</f>
        <v/>
      </c>
      <c r="M339" s="24">
        <f>MAX(0,J339-K339)</f>
        <v/>
      </c>
      <c r="N339" s="24">
        <f>MAX(0,K339-J339)</f>
        <v/>
      </c>
      <c r="O339" s="24">
        <f>L339+H339</f>
        <v/>
      </c>
      <c r="P339" s="25">
        <f>IF(K339=0,"",IF(N339&gt;0,"Request exceeded free cores","Placed"))</f>
        <v/>
      </c>
    </row>
    <row r="340">
      <c r="A340" s="32">
        <f>Capacity_Reservations!A340</f>
        <v/>
      </c>
      <c r="B340" s="32">
        <f>Capacity_Reservations!B340</f>
        <v/>
      </c>
      <c r="C340" s="33">
        <f>Capacity_Reservations!C340</f>
        <v/>
      </c>
      <c r="D340" s="33">
        <f>Capacity_Reservations!D340</f>
        <v/>
      </c>
      <c r="E340" s="32">
        <f>Capacity_Reservations!E340</f>
        <v/>
      </c>
      <c r="F340" s="33">
        <f>Capacity_Reservations!F340</f>
        <v/>
      </c>
      <c r="G340" s="47">
        <f>Capacity_Reservations!I340</f>
        <v/>
      </c>
      <c r="H340" s="47">
        <f>Capacity_Reservations!J340</f>
        <v/>
      </c>
      <c r="I340" s="47">
        <f>Capacity_Reservations!K340</f>
        <v/>
      </c>
      <c r="J340" s="47">
        <f>Capacity_Reservations!L340</f>
        <v/>
      </c>
      <c r="K340" s="24">
        <f>IF(Allocation!$C$14&lt;&gt;1,0,IF(D340="Prod",IF(B340=Allocation!$C$9,SUMIF(Request!$A$13:$A$20,E340,Request!$D$13:$D$20),0),IF(D340="NonProd",IF(B340=Allocation!$C$10,SUMIF(Request!$A$13:$A$20,E340,Request!$D$13:$D$20),0),IF(AND(D340="DR",B340=Allocation!$C$11),ROUND(SUMIF(Request!$A$13:$A$20,E340,Request!$D$13:$D$20)*Policy!$B$15,0),0))))</f>
        <v/>
      </c>
      <c r="L340" s="24">
        <f>G340+K340</f>
        <v/>
      </c>
      <c r="M340" s="24">
        <f>MAX(0,J340-K340)</f>
        <v/>
      </c>
      <c r="N340" s="24">
        <f>MAX(0,K340-J340)</f>
        <v/>
      </c>
      <c r="O340" s="24">
        <f>L340+H340</f>
        <v/>
      </c>
      <c r="P340" s="25">
        <f>IF(K340=0,"",IF(N340&gt;0,"Request exceeded free cores","Placed"))</f>
        <v/>
      </c>
    </row>
  </sheetData>
  <autoFilter ref="A4:P340"/>
  <mergeCells count="1">
    <mergeCell ref="A2:P2"/>
  </mergeCells>
  <conditionalFormatting sqref="K5:K34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/>
  </sheetPr>
  <dimension ref="A1:K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16" customWidth="1" min="4" max="4"/>
    <col width="12" customWidth="1" min="5" max="5"/>
    <col width="12" customWidth="1" min="6" max="6"/>
    <col width="14" customWidth="1" min="7" max="7"/>
    <col width="18" customWidth="1" min="8" max="8"/>
    <col width="12" customWidth="1" min="9" max="9"/>
    <col width="14" customWidth="1" min="10" max="10"/>
    <col width="18" customWidth="1" min="11" max="11"/>
  </cols>
  <sheetData>
    <row r="1">
      <c r="A1" s="1" t="inlineStr">
        <is>
          <t>Quota groups after a successful allocation</t>
        </is>
      </c>
    </row>
    <row r="2">
      <c r="A2" s="18" t="inlineStr">
        <is>
          <t>Added cores are the Prod, CVAL, and DR amounts placed in that region for that family. Available falls by the same number. The regional vCPU cap lives on Quota_Groups columns N–P; HC-3 already took the lesser of family available and that regional available.</t>
        </is>
      </c>
    </row>
    <row r="4" ht="32" customHeight="1">
      <c r="A4" s="12" t="inlineStr">
        <is>
          <t>Quota group</t>
        </is>
      </c>
      <c r="B4" s="12" t="inlineStr">
        <is>
          <t>Region</t>
        </is>
      </c>
      <c r="C4" s="12" t="inlineStr">
        <is>
          <t>Region id</t>
        </is>
      </c>
      <c r="D4" s="12" t="inlineStr">
        <is>
          <t>Geography</t>
        </is>
      </c>
      <c r="E4" s="12" t="inlineStr">
        <is>
          <t>Family</t>
        </is>
      </c>
      <c r="F4" s="12" t="inlineStr">
        <is>
          <t>Limit</t>
        </is>
      </c>
      <c r="G4" s="12" t="inlineStr">
        <is>
          <t>Used before</t>
        </is>
      </c>
      <c r="H4" s="12" t="inlineStr">
        <is>
          <t>Available before</t>
        </is>
      </c>
      <c r="I4" s="12" t="inlineStr">
        <is>
          <t>Added</t>
        </is>
      </c>
      <c r="J4" s="12" t="inlineStr">
        <is>
          <t>Used after</t>
        </is>
      </c>
      <c r="K4" s="12" t="inlineStr">
        <is>
          <t>Available after</t>
        </is>
      </c>
    </row>
    <row r="5">
      <c r="A5" s="32">
        <f>Quota_Groups!A5</f>
        <v/>
      </c>
      <c r="B5" s="32">
        <f>Quota_Groups!B5</f>
        <v/>
      </c>
      <c r="C5" s="32">
        <f>Quota_Groups!C5</f>
        <v/>
      </c>
      <c r="D5" s="33">
        <f>Quota_Groups!D5</f>
        <v/>
      </c>
      <c r="E5" s="32">
        <f>Quota_Groups!E5</f>
        <v/>
      </c>
      <c r="F5" s="47">
        <f>Quota_Groups!F5</f>
        <v/>
      </c>
      <c r="G5" s="47">
        <f>Quota_Groups!G5</f>
        <v/>
      </c>
      <c r="H5" s="47">
        <f>Quota_Groups!H5</f>
        <v/>
      </c>
      <c r="I5" s="24">
        <f>SUMIFS(Post_Allocation!$K$5:$K$340,Post_Allocation!$B$5:$B$340,C5,Post_Allocation!$F$5:$F$340,E5)</f>
        <v/>
      </c>
      <c r="J5" s="24">
        <f>G5+I5</f>
        <v/>
      </c>
      <c r="K5" s="24">
        <f>F5-J5</f>
        <v/>
      </c>
    </row>
    <row r="6">
      <c r="A6" s="32">
        <f>Quota_Groups!A6</f>
        <v/>
      </c>
      <c r="B6" s="32">
        <f>Quota_Groups!B6</f>
        <v/>
      </c>
      <c r="C6" s="32">
        <f>Quota_Groups!C6</f>
        <v/>
      </c>
      <c r="D6" s="33">
        <f>Quota_Groups!D6</f>
        <v/>
      </c>
      <c r="E6" s="32">
        <f>Quota_Groups!E6</f>
        <v/>
      </c>
      <c r="F6" s="47">
        <f>Quota_Groups!F6</f>
        <v/>
      </c>
      <c r="G6" s="47">
        <f>Quota_Groups!G6</f>
        <v/>
      </c>
      <c r="H6" s="47">
        <f>Quota_Groups!H6</f>
        <v/>
      </c>
      <c r="I6" s="24">
        <f>SUMIFS(Post_Allocation!$K$5:$K$340,Post_Allocation!$B$5:$B$340,C6,Post_Allocation!$F$5:$F$340,E6)</f>
        <v/>
      </c>
      <c r="J6" s="24">
        <f>G6+I6</f>
        <v/>
      </c>
      <c r="K6" s="24">
        <f>F6-J6</f>
        <v/>
      </c>
    </row>
    <row r="7">
      <c r="A7" s="32">
        <f>Quota_Groups!A7</f>
        <v/>
      </c>
      <c r="B7" s="32">
        <f>Quota_Groups!B7</f>
        <v/>
      </c>
      <c r="C7" s="32">
        <f>Quota_Groups!C7</f>
        <v/>
      </c>
      <c r="D7" s="33">
        <f>Quota_Groups!D7</f>
        <v/>
      </c>
      <c r="E7" s="32">
        <f>Quota_Groups!E7</f>
        <v/>
      </c>
      <c r="F7" s="47">
        <f>Quota_Groups!F7</f>
        <v/>
      </c>
      <c r="G7" s="47">
        <f>Quota_Groups!G7</f>
        <v/>
      </c>
      <c r="H7" s="47">
        <f>Quota_Groups!H7</f>
        <v/>
      </c>
      <c r="I7" s="24">
        <f>SUMIFS(Post_Allocation!$K$5:$K$340,Post_Allocation!$B$5:$B$340,C7,Post_Allocation!$F$5:$F$340,E7)</f>
        <v/>
      </c>
      <c r="J7" s="24">
        <f>G7+I7</f>
        <v/>
      </c>
      <c r="K7" s="24">
        <f>F7-J7</f>
        <v/>
      </c>
    </row>
    <row r="8">
      <c r="A8" s="32">
        <f>Quota_Groups!A8</f>
        <v/>
      </c>
      <c r="B8" s="32">
        <f>Quota_Groups!B8</f>
        <v/>
      </c>
      <c r="C8" s="32">
        <f>Quota_Groups!C8</f>
        <v/>
      </c>
      <c r="D8" s="33">
        <f>Quota_Groups!D8</f>
        <v/>
      </c>
      <c r="E8" s="32">
        <f>Quota_Groups!E8</f>
        <v/>
      </c>
      <c r="F8" s="47">
        <f>Quota_Groups!F8</f>
        <v/>
      </c>
      <c r="G8" s="47">
        <f>Quota_Groups!G8</f>
        <v/>
      </c>
      <c r="H8" s="47">
        <f>Quota_Groups!H8</f>
        <v/>
      </c>
      <c r="I8" s="24">
        <f>SUMIFS(Post_Allocation!$K$5:$K$340,Post_Allocation!$B$5:$B$340,C8,Post_Allocation!$F$5:$F$340,E8)</f>
        <v/>
      </c>
      <c r="J8" s="24">
        <f>G8+I8</f>
        <v/>
      </c>
      <c r="K8" s="24">
        <f>F8-J8</f>
        <v/>
      </c>
    </row>
    <row r="9">
      <c r="A9" s="32">
        <f>Quota_Groups!A9</f>
        <v/>
      </c>
      <c r="B9" s="32">
        <f>Quota_Groups!B9</f>
        <v/>
      </c>
      <c r="C9" s="32">
        <f>Quota_Groups!C9</f>
        <v/>
      </c>
      <c r="D9" s="33">
        <f>Quota_Groups!D9</f>
        <v/>
      </c>
      <c r="E9" s="32">
        <f>Quota_Groups!E9</f>
        <v/>
      </c>
      <c r="F9" s="47">
        <f>Quota_Groups!F9</f>
        <v/>
      </c>
      <c r="G9" s="47">
        <f>Quota_Groups!G9</f>
        <v/>
      </c>
      <c r="H9" s="47">
        <f>Quota_Groups!H9</f>
        <v/>
      </c>
      <c r="I9" s="24">
        <f>SUMIFS(Post_Allocation!$K$5:$K$340,Post_Allocation!$B$5:$B$340,C9,Post_Allocation!$F$5:$F$340,E9)</f>
        <v/>
      </c>
      <c r="J9" s="24">
        <f>G9+I9</f>
        <v/>
      </c>
      <c r="K9" s="24">
        <f>F9-J9</f>
        <v/>
      </c>
    </row>
    <row r="10">
      <c r="A10" s="32">
        <f>Quota_Groups!A10</f>
        <v/>
      </c>
      <c r="B10" s="32">
        <f>Quota_Groups!B10</f>
        <v/>
      </c>
      <c r="C10" s="32">
        <f>Quota_Groups!C10</f>
        <v/>
      </c>
      <c r="D10" s="33">
        <f>Quota_Groups!D10</f>
        <v/>
      </c>
      <c r="E10" s="32">
        <f>Quota_Groups!E10</f>
        <v/>
      </c>
      <c r="F10" s="47">
        <f>Quota_Groups!F10</f>
        <v/>
      </c>
      <c r="G10" s="47">
        <f>Quota_Groups!G10</f>
        <v/>
      </c>
      <c r="H10" s="47">
        <f>Quota_Groups!H10</f>
        <v/>
      </c>
      <c r="I10" s="24">
        <f>SUMIFS(Post_Allocation!$K$5:$K$340,Post_Allocation!$B$5:$B$340,C10,Post_Allocation!$F$5:$F$340,E10)</f>
        <v/>
      </c>
      <c r="J10" s="24">
        <f>G10+I10</f>
        <v/>
      </c>
      <c r="K10" s="24">
        <f>F10-J10</f>
        <v/>
      </c>
    </row>
    <row r="11">
      <c r="A11" s="32">
        <f>Quota_Groups!A11</f>
        <v/>
      </c>
      <c r="B11" s="32">
        <f>Quota_Groups!B11</f>
        <v/>
      </c>
      <c r="C11" s="32">
        <f>Quota_Groups!C11</f>
        <v/>
      </c>
      <c r="D11" s="33">
        <f>Quota_Groups!D11</f>
        <v/>
      </c>
      <c r="E11" s="32">
        <f>Quota_Groups!E11</f>
        <v/>
      </c>
      <c r="F11" s="47">
        <f>Quota_Groups!F11</f>
        <v/>
      </c>
      <c r="G11" s="47">
        <f>Quota_Groups!G11</f>
        <v/>
      </c>
      <c r="H11" s="47">
        <f>Quota_Groups!H11</f>
        <v/>
      </c>
      <c r="I11" s="24">
        <f>SUMIFS(Post_Allocation!$K$5:$K$340,Post_Allocation!$B$5:$B$340,C11,Post_Allocation!$F$5:$F$340,E11)</f>
        <v/>
      </c>
      <c r="J11" s="24">
        <f>G11+I11</f>
        <v/>
      </c>
      <c r="K11" s="24">
        <f>F11-J11</f>
        <v/>
      </c>
    </row>
    <row r="12">
      <c r="A12" s="32">
        <f>Quota_Groups!A12</f>
        <v/>
      </c>
      <c r="B12" s="32">
        <f>Quota_Groups!B12</f>
        <v/>
      </c>
      <c r="C12" s="32">
        <f>Quota_Groups!C12</f>
        <v/>
      </c>
      <c r="D12" s="33">
        <f>Quota_Groups!D12</f>
        <v/>
      </c>
      <c r="E12" s="32">
        <f>Quota_Groups!E12</f>
        <v/>
      </c>
      <c r="F12" s="47">
        <f>Quota_Groups!F12</f>
        <v/>
      </c>
      <c r="G12" s="47">
        <f>Quota_Groups!G12</f>
        <v/>
      </c>
      <c r="H12" s="47">
        <f>Quota_Groups!H12</f>
        <v/>
      </c>
      <c r="I12" s="24">
        <f>SUMIFS(Post_Allocation!$K$5:$K$340,Post_Allocation!$B$5:$B$340,C12,Post_Allocation!$F$5:$F$340,E12)</f>
        <v/>
      </c>
      <c r="J12" s="24">
        <f>G12+I12</f>
        <v/>
      </c>
      <c r="K12" s="24">
        <f>F12-J12</f>
        <v/>
      </c>
    </row>
    <row r="13">
      <c r="A13" s="32">
        <f>Quota_Groups!A13</f>
        <v/>
      </c>
      <c r="B13" s="32">
        <f>Quota_Groups!B13</f>
        <v/>
      </c>
      <c r="C13" s="32">
        <f>Quota_Groups!C13</f>
        <v/>
      </c>
      <c r="D13" s="33">
        <f>Quota_Groups!D13</f>
        <v/>
      </c>
      <c r="E13" s="32">
        <f>Quota_Groups!E13</f>
        <v/>
      </c>
      <c r="F13" s="47">
        <f>Quota_Groups!F13</f>
        <v/>
      </c>
      <c r="G13" s="47">
        <f>Quota_Groups!G13</f>
        <v/>
      </c>
      <c r="H13" s="47">
        <f>Quota_Groups!H13</f>
        <v/>
      </c>
      <c r="I13" s="24">
        <f>SUMIFS(Post_Allocation!$K$5:$K$340,Post_Allocation!$B$5:$B$340,C13,Post_Allocation!$F$5:$F$340,E13)</f>
        <v/>
      </c>
      <c r="J13" s="24">
        <f>G13+I13</f>
        <v/>
      </c>
      <c r="K13" s="24">
        <f>F13-J13</f>
        <v/>
      </c>
    </row>
    <row r="14">
      <c r="A14" s="32">
        <f>Quota_Groups!A14</f>
        <v/>
      </c>
      <c r="B14" s="32">
        <f>Quota_Groups!B14</f>
        <v/>
      </c>
      <c r="C14" s="32">
        <f>Quota_Groups!C14</f>
        <v/>
      </c>
      <c r="D14" s="33">
        <f>Quota_Groups!D14</f>
        <v/>
      </c>
      <c r="E14" s="32">
        <f>Quota_Groups!E14</f>
        <v/>
      </c>
      <c r="F14" s="47">
        <f>Quota_Groups!F14</f>
        <v/>
      </c>
      <c r="G14" s="47">
        <f>Quota_Groups!G14</f>
        <v/>
      </c>
      <c r="H14" s="47">
        <f>Quota_Groups!H14</f>
        <v/>
      </c>
      <c r="I14" s="24">
        <f>SUMIFS(Post_Allocation!$K$5:$K$340,Post_Allocation!$B$5:$B$340,C14,Post_Allocation!$F$5:$F$340,E14)</f>
        <v/>
      </c>
      <c r="J14" s="24">
        <f>G14+I14</f>
        <v/>
      </c>
      <c r="K14" s="24">
        <f>F14-J14</f>
        <v/>
      </c>
    </row>
    <row r="15">
      <c r="A15" s="32">
        <f>Quota_Groups!A15</f>
        <v/>
      </c>
      <c r="B15" s="32">
        <f>Quota_Groups!B15</f>
        <v/>
      </c>
      <c r="C15" s="32">
        <f>Quota_Groups!C15</f>
        <v/>
      </c>
      <c r="D15" s="33">
        <f>Quota_Groups!D15</f>
        <v/>
      </c>
      <c r="E15" s="32">
        <f>Quota_Groups!E15</f>
        <v/>
      </c>
      <c r="F15" s="47">
        <f>Quota_Groups!F15</f>
        <v/>
      </c>
      <c r="G15" s="47">
        <f>Quota_Groups!G15</f>
        <v/>
      </c>
      <c r="H15" s="47">
        <f>Quota_Groups!H15</f>
        <v/>
      </c>
      <c r="I15" s="24">
        <f>SUMIFS(Post_Allocation!$K$5:$K$340,Post_Allocation!$B$5:$B$340,C15,Post_Allocation!$F$5:$F$340,E15)</f>
        <v/>
      </c>
      <c r="J15" s="24">
        <f>G15+I15</f>
        <v/>
      </c>
      <c r="K15" s="24">
        <f>F15-J15</f>
        <v/>
      </c>
    </row>
    <row r="16">
      <c r="A16" s="32">
        <f>Quota_Groups!A16</f>
        <v/>
      </c>
      <c r="B16" s="32">
        <f>Quota_Groups!B16</f>
        <v/>
      </c>
      <c r="C16" s="32">
        <f>Quota_Groups!C16</f>
        <v/>
      </c>
      <c r="D16" s="33">
        <f>Quota_Groups!D16</f>
        <v/>
      </c>
      <c r="E16" s="32">
        <f>Quota_Groups!E16</f>
        <v/>
      </c>
      <c r="F16" s="47">
        <f>Quota_Groups!F16</f>
        <v/>
      </c>
      <c r="G16" s="47">
        <f>Quota_Groups!G16</f>
        <v/>
      </c>
      <c r="H16" s="47">
        <f>Quota_Groups!H16</f>
        <v/>
      </c>
      <c r="I16" s="24">
        <f>SUMIFS(Post_Allocation!$K$5:$K$340,Post_Allocation!$B$5:$B$340,C16,Post_Allocation!$F$5:$F$340,E16)</f>
        <v/>
      </c>
      <c r="J16" s="24">
        <f>G16+I16</f>
        <v/>
      </c>
      <c r="K16" s="24">
        <f>F16-J16</f>
        <v/>
      </c>
    </row>
    <row r="17">
      <c r="A17" s="32">
        <f>Quota_Groups!A17</f>
        <v/>
      </c>
      <c r="B17" s="32">
        <f>Quota_Groups!B17</f>
        <v/>
      </c>
      <c r="C17" s="32">
        <f>Quota_Groups!C17</f>
        <v/>
      </c>
      <c r="D17" s="33">
        <f>Quota_Groups!D17</f>
        <v/>
      </c>
      <c r="E17" s="32">
        <f>Quota_Groups!E17</f>
        <v/>
      </c>
      <c r="F17" s="47">
        <f>Quota_Groups!F17</f>
        <v/>
      </c>
      <c r="G17" s="47">
        <f>Quota_Groups!G17</f>
        <v/>
      </c>
      <c r="H17" s="47">
        <f>Quota_Groups!H17</f>
        <v/>
      </c>
      <c r="I17" s="24">
        <f>SUMIFS(Post_Allocation!$K$5:$K$340,Post_Allocation!$B$5:$B$340,C17,Post_Allocation!$F$5:$F$340,E17)</f>
        <v/>
      </c>
      <c r="J17" s="24">
        <f>G17+I17</f>
        <v/>
      </c>
      <c r="K17" s="24">
        <f>F17-J17</f>
        <v/>
      </c>
    </row>
    <row r="18">
      <c r="A18" s="32">
        <f>Quota_Groups!A18</f>
        <v/>
      </c>
      <c r="B18" s="32">
        <f>Quota_Groups!B18</f>
        <v/>
      </c>
      <c r="C18" s="32">
        <f>Quota_Groups!C18</f>
        <v/>
      </c>
      <c r="D18" s="33">
        <f>Quota_Groups!D18</f>
        <v/>
      </c>
      <c r="E18" s="32">
        <f>Quota_Groups!E18</f>
        <v/>
      </c>
      <c r="F18" s="47">
        <f>Quota_Groups!F18</f>
        <v/>
      </c>
      <c r="G18" s="47">
        <f>Quota_Groups!G18</f>
        <v/>
      </c>
      <c r="H18" s="47">
        <f>Quota_Groups!H18</f>
        <v/>
      </c>
      <c r="I18" s="24">
        <f>SUMIFS(Post_Allocation!$K$5:$K$340,Post_Allocation!$B$5:$B$340,C18,Post_Allocation!$F$5:$F$340,E18)</f>
        <v/>
      </c>
      <c r="J18" s="24">
        <f>G18+I18</f>
        <v/>
      </c>
      <c r="K18" s="24">
        <f>F18-J18</f>
        <v/>
      </c>
    </row>
    <row r="19">
      <c r="A19" s="32">
        <f>Quota_Groups!A19</f>
        <v/>
      </c>
      <c r="B19" s="32">
        <f>Quota_Groups!B19</f>
        <v/>
      </c>
      <c r="C19" s="32">
        <f>Quota_Groups!C19</f>
        <v/>
      </c>
      <c r="D19" s="33">
        <f>Quota_Groups!D19</f>
        <v/>
      </c>
      <c r="E19" s="32">
        <f>Quota_Groups!E19</f>
        <v/>
      </c>
      <c r="F19" s="47">
        <f>Quota_Groups!F19</f>
        <v/>
      </c>
      <c r="G19" s="47">
        <f>Quota_Groups!G19</f>
        <v/>
      </c>
      <c r="H19" s="47">
        <f>Quota_Groups!H19</f>
        <v/>
      </c>
      <c r="I19" s="24">
        <f>SUMIFS(Post_Allocation!$K$5:$K$340,Post_Allocation!$B$5:$B$340,C19,Post_Allocation!$F$5:$F$340,E19)</f>
        <v/>
      </c>
      <c r="J19" s="24">
        <f>G19+I19</f>
        <v/>
      </c>
      <c r="K19" s="24">
        <f>F19-J19</f>
        <v/>
      </c>
    </row>
    <row r="20">
      <c r="A20" s="32">
        <f>Quota_Groups!A20</f>
        <v/>
      </c>
      <c r="B20" s="32">
        <f>Quota_Groups!B20</f>
        <v/>
      </c>
      <c r="C20" s="32">
        <f>Quota_Groups!C20</f>
        <v/>
      </c>
      <c r="D20" s="33">
        <f>Quota_Groups!D20</f>
        <v/>
      </c>
      <c r="E20" s="32">
        <f>Quota_Groups!E20</f>
        <v/>
      </c>
      <c r="F20" s="47">
        <f>Quota_Groups!F20</f>
        <v/>
      </c>
      <c r="G20" s="47">
        <f>Quota_Groups!G20</f>
        <v/>
      </c>
      <c r="H20" s="47">
        <f>Quota_Groups!H20</f>
        <v/>
      </c>
      <c r="I20" s="24">
        <f>SUMIFS(Post_Allocation!$K$5:$K$340,Post_Allocation!$B$5:$B$340,C20,Post_Allocation!$F$5:$F$340,E20)</f>
        <v/>
      </c>
      <c r="J20" s="24">
        <f>G20+I20</f>
        <v/>
      </c>
      <c r="K20" s="24">
        <f>F20-J20</f>
        <v/>
      </c>
    </row>
    <row r="21">
      <c r="A21" s="32">
        <f>Quota_Groups!A21</f>
        <v/>
      </c>
      <c r="B21" s="32">
        <f>Quota_Groups!B21</f>
        <v/>
      </c>
      <c r="C21" s="32">
        <f>Quota_Groups!C21</f>
        <v/>
      </c>
      <c r="D21" s="33">
        <f>Quota_Groups!D21</f>
        <v/>
      </c>
      <c r="E21" s="32">
        <f>Quota_Groups!E21</f>
        <v/>
      </c>
      <c r="F21" s="47">
        <f>Quota_Groups!F21</f>
        <v/>
      </c>
      <c r="G21" s="47">
        <f>Quota_Groups!G21</f>
        <v/>
      </c>
      <c r="H21" s="47">
        <f>Quota_Groups!H21</f>
        <v/>
      </c>
      <c r="I21" s="24">
        <f>SUMIFS(Post_Allocation!$K$5:$K$340,Post_Allocation!$B$5:$B$340,C21,Post_Allocation!$F$5:$F$340,E21)</f>
        <v/>
      </c>
      <c r="J21" s="24">
        <f>G21+I21</f>
        <v/>
      </c>
      <c r="K21" s="24">
        <f>F21-J21</f>
        <v/>
      </c>
    </row>
    <row r="22">
      <c r="A22" s="32">
        <f>Quota_Groups!A22</f>
        <v/>
      </c>
      <c r="B22" s="32">
        <f>Quota_Groups!B22</f>
        <v/>
      </c>
      <c r="C22" s="32">
        <f>Quota_Groups!C22</f>
        <v/>
      </c>
      <c r="D22" s="33">
        <f>Quota_Groups!D22</f>
        <v/>
      </c>
      <c r="E22" s="32">
        <f>Quota_Groups!E22</f>
        <v/>
      </c>
      <c r="F22" s="47">
        <f>Quota_Groups!F22</f>
        <v/>
      </c>
      <c r="G22" s="47">
        <f>Quota_Groups!G22</f>
        <v/>
      </c>
      <c r="H22" s="47">
        <f>Quota_Groups!H22</f>
        <v/>
      </c>
      <c r="I22" s="24">
        <f>SUMIFS(Post_Allocation!$K$5:$K$340,Post_Allocation!$B$5:$B$340,C22,Post_Allocation!$F$5:$F$340,E22)</f>
        <v/>
      </c>
      <c r="J22" s="24">
        <f>G22+I22</f>
        <v/>
      </c>
      <c r="K22" s="24">
        <f>F22-J22</f>
        <v/>
      </c>
    </row>
    <row r="23">
      <c r="A23" s="32">
        <f>Quota_Groups!A23</f>
        <v/>
      </c>
      <c r="B23" s="32">
        <f>Quota_Groups!B23</f>
        <v/>
      </c>
      <c r="C23" s="32">
        <f>Quota_Groups!C23</f>
        <v/>
      </c>
      <c r="D23" s="33">
        <f>Quota_Groups!D23</f>
        <v/>
      </c>
      <c r="E23" s="32">
        <f>Quota_Groups!E23</f>
        <v/>
      </c>
      <c r="F23" s="47">
        <f>Quota_Groups!F23</f>
        <v/>
      </c>
      <c r="G23" s="47">
        <f>Quota_Groups!G23</f>
        <v/>
      </c>
      <c r="H23" s="47">
        <f>Quota_Groups!H23</f>
        <v/>
      </c>
      <c r="I23" s="24">
        <f>SUMIFS(Post_Allocation!$K$5:$K$340,Post_Allocation!$B$5:$B$340,C23,Post_Allocation!$F$5:$F$340,E23)</f>
        <v/>
      </c>
      <c r="J23" s="24">
        <f>G23+I23</f>
        <v/>
      </c>
      <c r="K23" s="24">
        <f>F23-J23</f>
        <v/>
      </c>
    </row>
    <row r="24">
      <c r="A24" s="32">
        <f>Quota_Groups!A24</f>
        <v/>
      </c>
      <c r="B24" s="32">
        <f>Quota_Groups!B24</f>
        <v/>
      </c>
      <c r="C24" s="32">
        <f>Quota_Groups!C24</f>
        <v/>
      </c>
      <c r="D24" s="33">
        <f>Quota_Groups!D24</f>
        <v/>
      </c>
      <c r="E24" s="32">
        <f>Quota_Groups!E24</f>
        <v/>
      </c>
      <c r="F24" s="47">
        <f>Quota_Groups!F24</f>
        <v/>
      </c>
      <c r="G24" s="47">
        <f>Quota_Groups!G24</f>
        <v/>
      </c>
      <c r="H24" s="47">
        <f>Quota_Groups!H24</f>
        <v/>
      </c>
      <c r="I24" s="24">
        <f>SUMIFS(Post_Allocation!$K$5:$K$340,Post_Allocation!$B$5:$B$340,C24,Post_Allocation!$F$5:$F$340,E24)</f>
        <v/>
      </c>
      <c r="J24" s="24">
        <f>G24+I24</f>
        <v/>
      </c>
      <c r="K24" s="24">
        <f>F24-J24</f>
        <v/>
      </c>
    </row>
    <row r="25">
      <c r="A25" s="32">
        <f>Quota_Groups!A25</f>
        <v/>
      </c>
      <c r="B25" s="32">
        <f>Quota_Groups!B25</f>
        <v/>
      </c>
      <c r="C25" s="32">
        <f>Quota_Groups!C25</f>
        <v/>
      </c>
      <c r="D25" s="33">
        <f>Quota_Groups!D25</f>
        <v/>
      </c>
      <c r="E25" s="32">
        <f>Quota_Groups!E25</f>
        <v/>
      </c>
      <c r="F25" s="47">
        <f>Quota_Groups!F25</f>
        <v/>
      </c>
      <c r="G25" s="47">
        <f>Quota_Groups!G25</f>
        <v/>
      </c>
      <c r="H25" s="47">
        <f>Quota_Groups!H25</f>
        <v/>
      </c>
      <c r="I25" s="24">
        <f>SUMIFS(Post_Allocation!$K$5:$K$340,Post_Allocation!$B$5:$B$340,C25,Post_Allocation!$F$5:$F$340,E25)</f>
        <v/>
      </c>
      <c r="J25" s="24">
        <f>G25+I25</f>
        <v/>
      </c>
      <c r="K25" s="24">
        <f>F25-J25</f>
        <v/>
      </c>
    </row>
    <row r="26">
      <c r="A26" s="32">
        <f>Quota_Groups!A26</f>
        <v/>
      </c>
      <c r="B26" s="32">
        <f>Quota_Groups!B26</f>
        <v/>
      </c>
      <c r="C26" s="32">
        <f>Quota_Groups!C26</f>
        <v/>
      </c>
      <c r="D26" s="33">
        <f>Quota_Groups!D26</f>
        <v/>
      </c>
      <c r="E26" s="32">
        <f>Quota_Groups!E26</f>
        <v/>
      </c>
      <c r="F26" s="47">
        <f>Quota_Groups!F26</f>
        <v/>
      </c>
      <c r="G26" s="47">
        <f>Quota_Groups!G26</f>
        <v/>
      </c>
      <c r="H26" s="47">
        <f>Quota_Groups!H26</f>
        <v/>
      </c>
      <c r="I26" s="24">
        <f>SUMIFS(Post_Allocation!$K$5:$K$340,Post_Allocation!$B$5:$B$340,C26,Post_Allocation!$F$5:$F$340,E26)</f>
        <v/>
      </c>
      <c r="J26" s="24">
        <f>G26+I26</f>
        <v/>
      </c>
      <c r="K26" s="24">
        <f>F26-J26</f>
        <v/>
      </c>
    </row>
    <row r="27">
      <c r="A27" s="32">
        <f>Quota_Groups!A27</f>
        <v/>
      </c>
      <c r="B27" s="32">
        <f>Quota_Groups!B27</f>
        <v/>
      </c>
      <c r="C27" s="32">
        <f>Quota_Groups!C27</f>
        <v/>
      </c>
      <c r="D27" s="33">
        <f>Quota_Groups!D27</f>
        <v/>
      </c>
      <c r="E27" s="32">
        <f>Quota_Groups!E27</f>
        <v/>
      </c>
      <c r="F27" s="47">
        <f>Quota_Groups!F27</f>
        <v/>
      </c>
      <c r="G27" s="47">
        <f>Quota_Groups!G27</f>
        <v/>
      </c>
      <c r="H27" s="47">
        <f>Quota_Groups!H27</f>
        <v/>
      </c>
      <c r="I27" s="24">
        <f>SUMIFS(Post_Allocation!$K$5:$K$340,Post_Allocation!$B$5:$B$340,C27,Post_Allocation!$F$5:$F$340,E27)</f>
        <v/>
      </c>
      <c r="J27" s="24">
        <f>G27+I27</f>
        <v/>
      </c>
      <c r="K27" s="24">
        <f>F27-J27</f>
        <v/>
      </c>
    </row>
    <row r="28">
      <c r="A28" s="32">
        <f>Quota_Groups!A28</f>
        <v/>
      </c>
      <c r="B28" s="32">
        <f>Quota_Groups!B28</f>
        <v/>
      </c>
      <c r="C28" s="32">
        <f>Quota_Groups!C28</f>
        <v/>
      </c>
      <c r="D28" s="33">
        <f>Quota_Groups!D28</f>
        <v/>
      </c>
      <c r="E28" s="32">
        <f>Quota_Groups!E28</f>
        <v/>
      </c>
      <c r="F28" s="47">
        <f>Quota_Groups!F28</f>
        <v/>
      </c>
      <c r="G28" s="47">
        <f>Quota_Groups!G28</f>
        <v/>
      </c>
      <c r="H28" s="47">
        <f>Quota_Groups!H28</f>
        <v/>
      </c>
      <c r="I28" s="24">
        <f>SUMIFS(Post_Allocation!$K$5:$K$340,Post_Allocation!$B$5:$B$340,C28,Post_Allocation!$F$5:$F$340,E28)</f>
        <v/>
      </c>
      <c r="J28" s="24">
        <f>G28+I28</f>
        <v/>
      </c>
      <c r="K28" s="24">
        <f>F28-J28</f>
        <v/>
      </c>
    </row>
    <row r="29">
      <c r="A29" s="32">
        <f>Quota_Groups!A29</f>
        <v/>
      </c>
      <c r="B29" s="32">
        <f>Quota_Groups!B29</f>
        <v/>
      </c>
      <c r="C29" s="32">
        <f>Quota_Groups!C29</f>
        <v/>
      </c>
      <c r="D29" s="33">
        <f>Quota_Groups!D29</f>
        <v/>
      </c>
      <c r="E29" s="32">
        <f>Quota_Groups!E29</f>
        <v/>
      </c>
      <c r="F29" s="47">
        <f>Quota_Groups!F29</f>
        <v/>
      </c>
      <c r="G29" s="47">
        <f>Quota_Groups!G29</f>
        <v/>
      </c>
      <c r="H29" s="47">
        <f>Quota_Groups!H29</f>
        <v/>
      </c>
      <c r="I29" s="24">
        <f>SUMIFS(Post_Allocation!$K$5:$K$340,Post_Allocation!$B$5:$B$340,C29,Post_Allocation!$F$5:$F$340,E29)</f>
        <v/>
      </c>
      <c r="J29" s="24">
        <f>G29+I29</f>
        <v/>
      </c>
      <c r="K29" s="24">
        <f>F29-J29</f>
        <v/>
      </c>
    </row>
    <row r="30">
      <c r="A30" s="32">
        <f>Quota_Groups!A30</f>
        <v/>
      </c>
      <c r="B30" s="32">
        <f>Quota_Groups!B30</f>
        <v/>
      </c>
      <c r="C30" s="32">
        <f>Quota_Groups!C30</f>
        <v/>
      </c>
      <c r="D30" s="33">
        <f>Quota_Groups!D30</f>
        <v/>
      </c>
      <c r="E30" s="32">
        <f>Quota_Groups!E30</f>
        <v/>
      </c>
      <c r="F30" s="47">
        <f>Quota_Groups!F30</f>
        <v/>
      </c>
      <c r="G30" s="47">
        <f>Quota_Groups!G30</f>
        <v/>
      </c>
      <c r="H30" s="47">
        <f>Quota_Groups!H30</f>
        <v/>
      </c>
      <c r="I30" s="24">
        <f>SUMIFS(Post_Allocation!$K$5:$K$340,Post_Allocation!$B$5:$B$340,C30,Post_Allocation!$F$5:$F$340,E30)</f>
        <v/>
      </c>
      <c r="J30" s="24">
        <f>G30+I30</f>
        <v/>
      </c>
      <c r="K30" s="24">
        <f>F30-J30</f>
        <v/>
      </c>
    </row>
    <row r="31">
      <c r="A31" s="32">
        <f>Quota_Groups!A31</f>
        <v/>
      </c>
      <c r="B31" s="32">
        <f>Quota_Groups!B31</f>
        <v/>
      </c>
      <c r="C31" s="32">
        <f>Quota_Groups!C31</f>
        <v/>
      </c>
      <c r="D31" s="33">
        <f>Quota_Groups!D31</f>
        <v/>
      </c>
      <c r="E31" s="32">
        <f>Quota_Groups!E31</f>
        <v/>
      </c>
      <c r="F31" s="47">
        <f>Quota_Groups!F31</f>
        <v/>
      </c>
      <c r="G31" s="47">
        <f>Quota_Groups!G31</f>
        <v/>
      </c>
      <c r="H31" s="47">
        <f>Quota_Groups!H31</f>
        <v/>
      </c>
      <c r="I31" s="24">
        <f>SUMIFS(Post_Allocation!$K$5:$K$340,Post_Allocation!$B$5:$B$340,C31,Post_Allocation!$F$5:$F$340,E31)</f>
        <v/>
      </c>
      <c r="J31" s="24">
        <f>G31+I31</f>
        <v/>
      </c>
      <c r="K31" s="24">
        <f>F31-J31</f>
        <v/>
      </c>
    </row>
    <row r="32">
      <c r="A32" s="32">
        <f>Quota_Groups!A32</f>
        <v/>
      </c>
      <c r="B32" s="32">
        <f>Quota_Groups!B32</f>
        <v/>
      </c>
      <c r="C32" s="32">
        <f>Quota_Groups!C32</f>
        <v/>
      </c>
      <c r="D32" s="33">
        <f>Quota_Groups!D32</f>
        <v/>
      </c>
      <c r="E32" s="32">
        <f>Quota_Groups!E32</f>
        <v/>
      </c>
      <c r="F32" s="47">
        <f>Quota_Groups!F32</f>
        <v/>
      </c>
      <c r="G32" s="47">
        <f>Quota_Groups!G32</f>
        <v/>
      </c>
      <c r="H32" s="47">
        <f>Quota_Groups!H32</f>
        <v/>
      </c>
      <c r="I32" s="24">
        <f>SUMIFS(Post_Allocation!$K$5:$K$340,Post_Allocation!$B$5:$B$340,C32,Post_Allocation!$F$5:$F$340,E32)</f>
        <v/>
      </c>
      <c r="J32" s="24">
        <f>G32+I32</f>
        <v/>
      </c>
      <c r="K32" s="24">
        <f>F32-J32</f>
        <v/>
      </c>
    </row>
    <row r="33">
      <c r="A33" s="32">
        <f>Quota_Groups!A33</f>
        <v/>
      </c>
      <c r="B33" s="32">
        <f>Quota_Groups!B33</f>
        <v/>
      </c>
      <c r="C33" s="32">
        <f>Quota_Groups!C33</f>
        <v/>
      </c>
      <c r="D33" s="33">
        <f>Quota_Groups!D33</f>
        <v/>
      </c>
      <c r="E33" s="32">
        <f>Quota_Groups!E33</f>
        <v/>
      </c>
      <c r="F33" s="47">
        <f>Quota_Groups!F33</f>
        <v/>
      </c>
      <c r="G33" s="47">
        <f>Quota_Groups!G33</f>
        <v/>
      </c>
      <c r="H33" s="47">
        <f>Quota_Groups!H33</f>
        <v/>
      </c>
      <c r="I33" s="24">
        <f>SUMIFS(Post_Allocation!$K$5:$K$340,Post_Allocation!$B$5:$B$340,C33,Post_Allocation!$F$5:$F$340,E33)</f>
        <v/>
      </c>
      <c r="J33" s="24">
        <f>G33+I33</f>
        <v/>
      </c>
      <c r="K33" s="24">
        <f>F33-J33</f>
        <v/>
      </c>
    </row>
    <row r="34">
      <c r="A34" s="32">
        <f>Quota_Groups!A34</f>
        <v/>
      </c>
      <c r="B34" s="32">
        <f>Quota_Groups!B34</f>
        <v/>
      </c>
      <c r="C34" s="32">
        <f>Quota_Groups!C34</f>
        <v/>
      </c>
      <c r="D34" s="33">
        <f>Quota_Groups!D34</f>
        <v/>
      </c>
      <c r="E34" s="32">
        <f>Quota_Groups!E34</f>
        <v/>
      </c>
      <c r="F34" s="47">
        <f>Quota_Groups!F34</f>
        <v/>
      </c>
      <c r="G34" s="47">
        <f>Quota_Groups!G34</f>
        <v/>
      </c>
      <c r="H34" s="47">
        <f>Quota_Groups!H34</f>
        <v/>
      </c>
      <c r="I34" s="24">
        <f>SUMIFS(Post_Allocation!$K$5:$K$340,Post_Allocation!$B$5:$B$340,C34,Post_Allocation!$F$5:$F$340,E34)</f>
        <v/>
      </c>
      <c r="J34" s="24">
        <f>G34+I34</f>
        <v/>
      </c>
      <c r="K34" s="24">
        <f>F34-J34</f>
        <v/>
      </c>
    </row>
    <row r="35">
      <c r="A35" s="32">
        <f>Quota_Groups!A35</f>
        <v/>
      </c>
      <c r="B35" s="32">
        <f>Quota_Groups!B35</f>
        <v/>
      </c>
      <c r="C35" s="32">
        <f>Quota_Groups!C35</f>
        <v/>
      </c>
      <c r="D35" s="33">
        <f>Quota_Groups!D35</f>
        <v/>
      </c>
      <c r="E35" s="32">
        <f>Quota_Groups!E35</f>
        <v/>
      </c>
      <c r="F35" s="47">
        <f>Quota_Groups!F35</f>
        <v/>
      </c>
      <c r="G35" s="47">
        <f>Quota_Groups!G35</f>
        <v/>
      </c>
      <c r="H35" s="47">
        <f>Quota_Groups!H35</f>
        <v/>
      </c>
      <c r="I35" s="24">
        <f>SUMIFS(Post_Allocation!$K$5:$K$340,Post_Allocation!$B$5:$B$340,C35,Post_Allocation!$F$5:$F$340,E35)</f>
        <v/>
      </c>
      <c r="J35" s="24">
        <f>G35+I35</f>
        <v/>
      </c>
      <c r="K35" s="24">
        <f>F35-J35</f>
        <v/>
      </c>
    </row>
    <row r="36">
      <c r="A36" s="32">
        <f>Quota_Groups!A36</f>
        <v/>
      </c>
      <c r="B36" s="32">
        <f>Quota_Groups!B36</f>
        <v/>
      </c>
      <c r="C36" s="32">
        <f>Quota_Groups!C36</f>
        <v/>
      </c>
      <c r="D36" s="33">
        <f>Quota_Groups!D36</f>
        <v/>
      </c>
      <c r="E36" s="32">
        <f>Quota_Groups!E36</f>
        <v/>
      </c>
      <c r="F36" s="47">
        <f>Quota_Groups!F36</f>
        <v/>
      </c>
      <c r="G36" s="47">
        <f>Quota_Groups!G36</f>
        <v/>
      </c>
      <c r="H36" s="47">
        <f>Quota_Groups!H36</f>
        <v/>
      </c>
      <c r="I36" s="24">
        <f>SUMIFS(Post_Allocation!$K$5:$K$340,Post_Allocation!$B$5:$B$340,C36,Post_Allocation!$F$5:$F$340,E36)</f>
        <v/>
      </c>
      <c r="J36" s="24">
        <f>G36+I36</f>
        <v/>
      </c>
      <c r="K36" s="24">
        <f>F36-J36</f>
        <v/>
      </c>
    </row>
    <row r="37">
      <c r="A37" s="32">
        <f>Quota_Groups!A37</f>
        <v/>
      </c>
      <c r="B37" s="32">
        <f>Quota_Groups!B37</f>
        <v/>
      </c>
      <c r="C37" s="32">
        <f>Quota_Groups!C37</f>
        <v/>
      </c>
      <c r="D37" s="33">
        <f>Quota_Groups!D37</f>
        <v/>
      </c>
      <c r="E37" s="32">
        <f>Quota_Groups!E37</f>
        <v/>
      </c>
      <c r="F37" s="47">
        <f>Quota_Groups!F37</f>
        <v/>
      </c>
      <c r="G37" s="47">
        <f>Quota_Groups!G37</f>
        <v/>
      </c>
      <c r="H37" s="47">
        <f>Quota_Groups!H37</f>
        <v/>
      </c>
      <c r="I37" s="24">
        <f>SUMIFS(Post_Allocation!$K$5:$K$340,Post_Allocation!$B$5:$B$340,C37,Post_Allocation!$F$5:$F$340,E37)</f>
        <v/>
      </c>
      <c r="J37" s="24">
        <f>G37+I37</f>
        <v/>
      </c>
      <c r="K37" s="24">
        <f>F37-J37</f>
        <v/>
      </c>
    </row>
    <row r="38">
      <c r="A38" s="32">
        <f>Quota_Groups!A38</f>
        <v/>
      </c>
      <c r="B38" s="32">
        <f>Quota_Groups!B38</f>
        <v/>
      </c>
      <c r="C38" s="32">
        <f>Quota_Groups!C38</f>
        <v/>
      </c>
      <c r="D38" s="33">
        <f>Quota_Groups!D38</f>
        <v/>
      </c>
      <c r="E38" s="32">
        <f>Quota_Groups!E38</f>
        <v/>
      </c>
      <c r="F38" s="47">
        <f>Quota_Groups!F38</f>
        <v/>
      </c>
      <c r="G38" s="47">
        <f>Quota_Groups!G38</f>
        <v/>
      </c>
      <c r="H38" s="47">
        <f>Quota_Groups!H38</f>
        <v/>
      </c>
      <c r="I38" s="24">
        <f>SUMIFS(Post_Allocation!$K$5:$K$340,Post_Allocation!$B$5:$B$340,C38,Post_Allocation!$F$5:$F$340,E38)</f>
        <v/>
      </c>
      <c r="J38" s="24">
        <f>G38+I38</f>
        <v/>
      </c>
      <c r="K38" s="24">
        <f>F38-J38</f>
        <v/>
      </c>
    </row>
    <row r="39">
      <c r="A39" s="32">
        <f>Quota_Groups!A39</f>
        <v/>
      </c>
      <c r="B39" s="32">
        <f>Quota_Groups!B39</f>
        <v/>
      </c>
      <c r="C39" s="32">
        <f>Quota_Groups!C39</f>
        <v/>
      </c>
      <c r="D39" s="33">
        <f>Quota_Groups!D39</f>
        <v/>
      </c>
      <c r="E39" s="32">
        <f>Quota_Groups!E39</f>
        <v/>
      </c>
      <c r="F39" s="47">
        <f>Quota_Groups!F39</f>
        <v/>
      </c>
      <c r="G39" s="47">
        <f>Quota_Groups!G39</f>
        <v/>
      </c>
      <c r="H39" s="47">
        <f>Quota_Groups!H39</f>
        <v/>
      </c>
      <c r="I39" s="24">
        <f>SUMIFS(Post_Allocation!$K$5:$K$340,Post_Allocation!$B$5:$B$340,C39,Post_Allocation!$F$5:$F$340,E39)</f>
        <v/>
      </c>
      <c r="J39" s="24">
        <f>G39+I39</f>
        <v/>
      </c>
      <c r="K39" s="24">
        <f>F39-J39</f>
        <v/>
      </c>
    </row>
    <row r="40">
      <c r="A40" s="32">
        <f>Quota_Groups!A40</f>
        <v/>
      </c>
      <c r="B40" s="32">
        <f>Quota_Groups!B40</f>
        <v/>
      </c>
      <c r="C40" s="32">
        <f>Quota_Groups!C40</f>
        <v/>
      </c>
      <c r="D40" s="33">
        <f>Quota_Groups!D40</f>
        <v/>
      </c>
      <c r="E40" s="32">
        <f>Quota_Groups!E40</f>
        <v/>
      </c>
      <c r="F40" s="47">
        <f>Quota_Groups!F40</f>
        <v/>
      </c>
      <c r="G40" s="47">
        <f>Quota_Groups!G40</f>
        <v/>
      </c>
      <c r="H40" s="47">
        <f>Quota_Groups!H40</f>
        <v/>
      </c>
      <c r="I40" s="24">
        <f>SUMIFS(Post_Allocation!$K$5:$K$340,Post_Allocation!$B$5:$B$340,C40,Post_Allocation!$F$5:$F$340,E40)</f>
        <v/>
      </c>
      <c r="J40" s="24">
        <f>G40+I40</f>
        <v/>
      </c>
      <c r="K40" s="24">
        <f>F40-J40</f>
        <v/>
      </c>
    </row>
    <row r="41">
      <c r="A41" s="32">
        <f>Quota_Groups!A41</f>
        <v/>
      </c>
      <c r="B41" s="32">
        <f>Quota_Groups!B41</f>
        <v/>
      </c>
      <c r="C41" s="32">
        <f>Quota_Groups!C41</f>
        <v/>
      </c>
      <c r="D41" s="33">
        <f>Quota_Groups!D41</f>
        <v/>
      </c>
      <c r="E41" s="32">
        <f>Quota_Groups!E41</f>
        <v/>
      </c>
      <c r="F41" s="47">
        <f>Quota_Groups!F41</f>
        <v/>
      </c>
      <c r="G41" s="47">
        <f>Quota_Groups!G41</f>
        <v/>
      </c>
      <c r="H41" s="47">
        <f>Quota_Groups!H41</f>
        <v/>
      </c>
      <c r="I41" s="24">
        <f>SUMIFS(Post_Allocation!$K$5:$K$340,Post_Allocation!$B$5:$B$340,C41,Post_Allocation!$F$5:$F$340,E41)</f>
        <v/>
      </c>
      <c r="J41" s="24">
        <f>G41+I41</f>
        <v/>
      </c>
      <c r="K41" s="24">
        <f>F41-J41</f>
        <v/>
      </c>
    </row>
    <row r="42">
      <c r="A42" s="32">
        <f>Quota_Groups!A42</f>
        <v/>
      </c>
      <c r="B42" s="32">
        <f>Quota_Groups!B42</f>
        <v/>
      </c>
      <c r="C42" s="32">
        <f>Quota_Groups!C42</f>
        <v/>
      </c>
      <c r="D42" s="33">
        <f>Quota_Groups!D42</f>
        <v/>
      </c>
      <c r="E42" s="32">
        <f>Quota_Groups!E42</f>
        <v/>
      </c>
      <c r="F42" s="47">
        <f>Quota_Groups!F42</f>
        <v/>
      </c>
      <c r="G42" s="47">
        <f>Quota_Groups!G42</f>
        <v/>
      </c>
      <c r="H42" s="47">
        <f>Quota_Groups!H42</f>
        <v/>
      </c>
      <c r="I42" s="24">
        <f>SUMIFS(Post_Allocation!$K$5:$K$340,Post_Allocation!$B$5:$B$340,C42,Post_Allocation!$F$5:$F$340,E42)</f>
        <v/>
      </c>
      <c r="J42" s="24">
        <f>G42+I42</f>
        <v/>
      </c>
      <c r="K42" s="24">
        <f>F42-J42</f>
        <v/>
      </c>
    </row>
    <row r="43">
      <c r="A43" s="32">
        <f>Quota_Groups!A43</f>
        <v/>
      </c>
      <c r="B43" s="32">
        <f>Quota_Groups!B43</f>
        <v/>
      </c>
      <c r="C43" s="32">
        <f>Quota_Groups!C43</f>
        <v/>
      </c>
      <c r="D43" s="33">
        <f>Quota_Groups!D43</f>
        <v/>
      </c>
      <c r="E43" s="32">
        <f>Quota_Groups!E43</f>
        <v/>
      </c>
      <c r="F43" s="47">
        <f>Quota_Groups!F43</f>
        <v/>
      </c>
      <c r="G43" s="47">
        <f>Quota_Groups!G43</f>
        <v/>
      </c>
      <c r="H43" s="47">
        <f>Quota_Groups!H43</f>
        <v/>
      </c>
      <c r="I43" s="24">
        <f>SUMIFS(Post_Allocation!$K$5:$K$340,Post_Allocation!$B$5:$B$340,C43,Post_Allocation!$F$5:$F$340,E43)</f>
        <v/>
      </c>
      <c r="J43" s="24">
        <f>G43+I43</f>
        <v/>
      </c>
      <c r="K43" s="24">
        <f>F43-J43</f>
        <v/>
      </c>
    </row>
    <row r="44">
      <c r="A44" s="32">
        <f>Quota_Groups!A44</f>
        <v/>
      </c>
      <c r="B44" s="32">
        <f>Quota_Groups!B44</f>
        <v/>
      </c>
      <c r="C44" s="32">
        <f>Quota_Groups!C44</f>
        <v/>
      </c>
      <c r="D44" s="33">
        <f>Quota_Groups!D44</f>
        <v/>
      </c>
      <c r="E44" s="32">
        <f>Quota_Groups!E44</f>
        <v/>
      </c>
      <c r="F44" s="47">
        <f>Quota_Groups!F44</f>
        <v/>
      </c>
      <c r="G44" s="47">
        <f>Quota_Groups!G44</f>
        <v/>
      </c>
      <c r="H44" s="47">
        <f>Quota_Groups!H44</f>
        <v/>
      </c>
      <c r="I44" s="24">
        <f>SUMIFS(Post_Allocation!$K$5:$K$340,Post_Allocation!$B$5:$B$340,C44,Post_Allocation!$F$5:$F$340,E44)</f>
        <v/>
      </c>
      <c r="J44" s="24">
        <f>G44+I44</f>
        <v/>
      </c>
      <c r="K44" s="24">
        <f>F44-J44</f>
        <v/>
      </c>
    </row>
    <row r="45">
      <c r="A45" s="32">
        <f>Quota_Groups!A45</f>
        <v/>
      </c>
      <c r="B45" s="32">
        <f>Quota_Groups!B45</f>
        <v/>
      </c>
      <c r="C45" s="32">
        <f>Quota_Groups!C45</f>
        <v/>
      </c>
      <c r="D45" s="33">
        <f>Quota_Groups!D45</f>
        <v/>
      </c>
      <c r="E45" s="32">
        <f>Quota_Groups!E45</f>
        <v/>
      </c>
      <c r="F45" s="47">
        <f>Quota_Groups!F45</f>
        <v/>
      </c>
      <c r="G45" s="47">
        <f>Quota_Groups!G45</f>
        <v/>
      </c>
      <c r="H45" s="47">
        <f>Quota_Groups!H45</f>
        <v/>
      </c>
      <c r="I45" s="24">
        <f>SUMIFS(Post_Allocation!$K$5:$K$340,Post_Allocation!$B$5:$B$340,C45,Post_Allocation!$F$5:$F$340,E45)</f>
        <v/>
      </c>
      <c r="J45" s="24">
        <f>G45+I45</f>
        <v/>
      </c>
      <c r="K45" s="24">
        <f>F45-J45</f>
        <v/>
      </c>
    </row>
    <row r="46">
      <c r="A46" s="32">
        <f>Quota_Groups!A46</f>
        <v/>
      </c>
      <c r="B46" s="32">
        <f>Quota_Groups!B46</f>
        <v/>
      </c>
      <c r="C46" s="32">
        <f>Quota_Groups!C46</f>
        <v/>
      </c>
      <c r="D46" s="33">
        <f>Quota_Groups!D46</f>
        <v/>
      </c>
      <c r="E46" s="32">
        <f>Quota_Groups!E46</f>
        <v/>
      </c>
      <c r="F46" s="47">
        <f>Quota_Groups!F46</f>
        <v/>
      </c>
      <c r="G46" s="47">
        <f>Quota_Groups!G46</f>
        <v/>
      </c>
      <c r="H46" s="47">
        <f>Quota_Groups!H46</f>
        <v/>
      </c>
      <c r="I46" s="24">
        <f>SUMIFS(Post_Allocation!$K$5:$K$340,Post_Allocation!$B$5:$B$340,C46,Post_Allocation!$F$5:$F$340,E46)</f>
        <v/>
      </c>
      <c r="J46" s="24">
        <f>G46+I46</f>
        <v/>
      </c>
      <c r="K46" s="24">
        <f>F46-J46</f>
        <v/>
      </c>
    </row>
    <row r="47">
      <c r="A47" s="32">
        <f>Quota_Groups!A47</f>
        <v/>
      </c>
      <c r="B47" s="32">
        <f>Quota_Groups!B47</f>
        <v/>
      </c>
      <c r="C47" s="32">
        <f>Quota_Groups!C47</f>
        <v/>
      </c>
      <c r="D47" s="33">
        <f>Quota_Groups!D47</f>
        <v/>
      </c>
      <c r="E47" s="32">
        <f>Quota_Groups!E47</f>
        <v/>
      </c>
      <c r="F47" s="47">
        <f>Quota_Groups!F47</f>
        <v/>
      </c>
      <c r="G47" s="47">
        <f>Quota_Groups!G47</f>
        <v/>
      </c>
      <c r="H47" s="47">
        <f>Quota_Groups!H47</f>
        <v/>
      </c>
      <c r="I47" s="24">
        <f>SUMIFS(Post_Allocation!$K$5:$K$340,Post_Allocation!$B$5:$B$340,C47,Post_Allocation!$F$5:$F$340,E47)</f>
        <v/>
      </c>
      <c r="J47" s="24">
        <f>G47+I47</f>
        <v/>
      </c>
      <c r="K47" s="24">
        <f>F47-J47</f>
        <v/>
      </c>
    </row>
    <row r="48">
      <c r="A48" s="32">
        <f>Quota_Groups!A48</f>
        <v/>
      </c>
      <c r="B48" s="32">
        <f>Quota_Groups!B48</f>
        <v/>
      </c>
      <c r="C48" s="32">
        <f>Quota_Groups!C48</f>
        <v/>
      </c>
      <c r="D48" s="33">
        <f>Quota_Groups!D48</f>
        <v/>
      </c>
      <c r="E48" s="32">
        <f>Quota_Groups!E48</f>
        <v/>
      </c>
      <c r="F48" s="47">
        <f>Quota_Groups!F48</f>
        <v/>
      </c>
      <c r="G48" s="47">
        <f>Quota_Groups!G48</f>
        <v/>
      </c>
      <c r="H48" s="47">
        <f>Quota_Groups!H48</f>
        <v/>
      </c>
      <c r="I48" s="24">
        <f>SUMIFS(Post_Allocation!$K$5:$K$340,Post_Allocation!$B$5:$B$340,C48,Post_Allocation!$F$5:$F$340,E48)</f>
        <v/>
      </c>
      <c r="J48" s="24">
        <f>G48+I48</f>
        <v/>
      </c>
      <c r="K48" s="24">
        <f>F48-J48</f>
        <v/>
      </c>
    </row>
    <row r="49">
      <c r="A49" s="32">
        <f>Quota_Groups!A49</f>
        <v/>
      </c>
      <c r="B49" s="32">
        <f>Quota_Groups!B49</f>
        <v/>
      </c>
      <c r="C49" s="32">
        <f>Quota_Groups!C49</f>
        <v/>
      </c>
      <c r="D49" s="33">
        <f>Quota_Groups!D49</f>
        <v/>
      </c>
      <c r="E49" s="32">
        <f>Quota_Groups!E49</f>
        <v/>
      </c>
      <c r="F49" s="47">
        <f>Quota_Groups!F49</f>
        <v/>
      </c>
      <c r="G49" s="47">
        <f>Quota_Groups!G49</f>
        <v/>
      </c>
      <c r="H49" s="47">
        <f>Quota_Groups!H49</f>
        <v/>
      </c>
      <c r="I49" s="24">
        <f>SUMIFS(Post_Allocation!$K$5:$K$340,Post_Allocation!$B$5:$B$340,C49,Post_Allocation!$F$5:$F$340,E49)</f>
        <v/>
      </c>
      <c r="J49" s="24">
        <f>G49+I49</f>
        <v/>
      </c>
      <c r="K49" s="24">
        <f>F49-J49</f>
        <v/>
      </c>
    </row>
    <row r="50">
      <c r="A50" s="32">
        <f>Quota_Groups!A50</f>
        <v/>
      </c>
      <c r="B50" s="32">
        <f>Quota_Groups!B50</f>
        <v/>
      </c>
      <c r="C50" s="32">
        <f>Quota_Groups!C50</f>
        <v/>
      </c>
      <c r="D50" s="33">
        <f>Quota_Groups!D50</f>
        <v/>
      </c>
      <c r="E50" s="32">
        <f>Quota_Groups!E50</f>
        <v/>
      </c>
      <c r="F50" s="47">
        <f>Quota_Groups!F50</f>
        <v/>
      </c>
      <c r="G50" s="47">
        <f>Quota_Groups!G50</f>
        <v/>
      </c>
      <c r="H50" s="47">
        <f>Quota_Groups!H50</f>
        <v/>
      </c>
      <c r="I50" s="24">
        <f>SUMIFS(Post_Allocation!$K$5:$K$340,Post_Allocation!$B$5:$B$340,C50,Post_Allocation!$F$5:$F$340,E50)</f>
        <v/>
      </c>
      <c r="J50" s="24">
        <f>G50+I50</f>
        <v/>
      </c>
      <c r="K50" s="24">
        <f>F50-J50</f>
        <v/>
      </c>
    </row>
    <row r="51">
      <c r="A51" s="32">
        <f>Quota_Groups!A51</f>
        <v/>
      </c>
      <c r="B51" s="32">
        <f>Quota_Groups!B51</f>
        <v/>
      </c>
      <c r="C51" s="32">
        <f>Quota_Groups!C51</f>
        <v/>
      </c>
      <c r="D51" s="33">
        <f>Quota_Groups!D51</f>
        <v/>
      </c>
      <c r="E51" s="32">
        <f>Quota_Groups!E51</f>
        <v/>
      </c>
      <c r="F51" s="47">
        <f>Quota_Groups!F51</f>
        <v/>
      </c>
      <c r="G51" s="47">
        <f>Quota_Groups!G51</f>
        <v/>
      </c>
      <c r="H51" s="47">
        <f>Quota_Groups!H51</f>
        <v/>
      </c>
      <c r="I51" s="24">
        <f>SUMIFS(Post_Allocation!$K$5:$K$340,Post_Allocation!$B$5:$B$340,C51,Post_Allocation!$F$5:$F$340,E51)</f>
        <v/>
      </c>
      <c r="J51" s="24">
        <f>G51+I51</f>
        <v/>
      </c>
      <c r="K51" s="24">
        <f>F51-J51</f>
        <v/>
      </c>
    </row>
    <row r="52">
      <c r="A52" s="32">
        <f>Quota_Groups!A52</f>
        <v/>
      </c>
      <c r="B52" s="32">
        <f>Quota_Groups!B52</f>
        <v/>
      </c>
      <c r="C52" s="32">
        <f>Quota_Groups!C52</f>
        <v/>
      </c>
      <c r="D52" s="33">
        <f>Quota_Groups!D52</f>
        <v/>
      </c>
      <c r="E52" s="32">
        <f>Quota_Groups!E52</f>
        <v/>
      </c>
      <c r="F52" s="47">
        <f>Quota_Groups!F52</f>
        <v/>
      </c>
      <c r="G52" s="47">
        <f>Quota_Groups!G52</f>
        <v/>
      </c>
      <c r="H52" s="47">
        <f>Quota_Groups!H52</f>
        <v/>
      </c>
      <c r="I52" s="24">
        <f>SUMIFS(Post_Allocation!$K$5:$K$340,Post_Allocation!$B$5:$B$340,C52,Post_Allocation!$F$5:$F$340,E52)</f>
        <v/>
      </c>
      <c r="J52" s="24">
        <f>G52+I52</f>
        <v/>
      </c>
      <c r="K52" s="24">
        <f>F52-J52</f>
        <v/>
      </c>
    </row>
    <row r="53">
      <c r="A53" s="32">
        <f>Quota_Groups!A53</f>
        <v/>
      </c>
      <c r="B53" s="32">
        <f>Quota_Groups!B53</f>
        <v/>
      </c>
      <c r="C53" s="32">
        <f>Quota_Groups!C53</f>
        <v/>
      </c>
      <c r="D53" s="33">
        <f>Quota_Groups!D53</f>
        <v/>
      </c>
      <c r="E53" s="32">
        <f>Quota_Groups!E53</f>
        <v/>
      </c>
      <c r="F53" s="47">
        <f>Quota_Groups!F53</f>
        <v/>
      </c>
      <c r="G53" s="47">
        <f>Quota_Groups!G53</f>
        <v/>
      </c>
      <c r="H53" s="47">
        <f>Quota_Groups!H53</f>
        <v/>
      </c>
      <c r="I53" s="24">
        <f>SUMIFS(Post_Allocation!$K$5:$K$340,Post_Allocation!$B$5:$B$340,C53,Post_Allocation!$F$5:$F$340,E53)</f>
        <v/>
      </c>
      <c r="J53" s="24">
        <f>G53+I53</f>
        <v/>
      </c>
      <c r="K53" s="24">
        <f>F53-J53</f>
        <v/>
      </c>
    </row>
    <row r="54">
      <c r="A54" s="32">
        <f>Quota_Groups!A54</f>
        <v/>
      </c>
      <c r="B54" s="32">
        <f>Quota_Groups!B54</f>
        <v/>
      </c>
      <c r="C54" s="32">
        <f>Quota_Groups!C54</f>
        <v/>
      </c>
      <c r="D54" s="33">
        <f>Quota_Groups!D54</f>
        <v/>
      </c>
      <c r="E54" s="32">
        <f>Quota_Groups!E54</f>
        <v/>
      </c>
      <c r="F54" s="47">
        <f>Quota_Groups!F54</f>
        <v/>
      </c>
      <c r="G54" s="47">
        <f>Quota_Groups!G54</f>
        <v/>
      </c>
      <c r="H54" s="47">
        <f>Quota_Groups!H54</f>
        <v/>
      </c>
      <c r="I54" s="24">
        <f>SUMIFS(Post_Allocation!$K$5:$K$340,Post_Allocation!$B$5:$B$340,C54,Post_Allocation!$F$5:$F$340,E54)</f>
        <v/>
      </c>
      <c r="J54" s="24">
        <f>G54+I54</f>
        <v/>
      </c>
      <c r="K54" s="24">
        <f>F54-J54</f>
        <v/>
      </c>
    </row>
    <row r="55">
      <c r="A55" s="32">
        <f>Quota_Groups!A55</f>
        <v/>
      </c>
      <c r="B55" s="32">
        <f>Quota_Groups!B55</f>
        <v/>
      </c>
      <c r="C55" s="32">
        <f>Quota_Groups!C55</f>
        <v/>
      </c>
      <c r="D55" s="33">
        <f>Quota_Groups!D55</f>
        <v/>
      </c>
      <c r="E55" s="32">
        <f>Quota_Groups!E55</f>
        <v/>
      </c>
      <c r="F55" s="47">
        <f>Quota_Groups!F55</f>
        <v/>
      </c>
      <c r="G55" s="47">
        <f>Quota_Groups!G55</f>
        <v/>
      </c>
      <c r="H55" s="47">
        <f>Quota_Groups!H55</f>
        <v/>
      </c>
      <c r="I55" s="24">
        <f>SUMIFS(Post_Allocation!$K$5:$K$340,Post_Allocation!$B$5:$B$340,C55,Post_Allocation!$F$5:$F$340,E55)</f>
        <v/>
      </c>
      <c r="J55" s="24">
        <f>G55+I55</f>
        <v/>
      </c>
      <c r="K55" s="24">
        <f>F55-J55</f>
        <v/>
      </c>
    </row>
    <row r="56">
      <c r="A56" s="32">
        <f>Quota_Groups!A56</f>
        <v/>
      </c>
      <c r="B56" s="32">
        <f>Quota_Groups!B56</f>
        <v/>
      </c>
      <c r="C56" s="32">
        <f>Quota_Groups!C56</f>
        <v/>
      </c>
      <c r="D56" s="33">
        <f>Quota_Groups!D56</f>
        <v/>
      </c>
      <c r="E56" s="32">
        <f>Quota_Groups!E56</f>
        <v/>
      </c>
      <c r="F56" s="47">
        <f>Quota_Groups!F56</f>
        <v/>
      </c>
      <c r="G56" s="47">
        <f>Quota_Groups!G56</f>
        <v/>
      </c>
      <c r="H56" s="47">
        <f>Quota_Groups!H56</f>
        <v/>
      </c>
      <c r="I56" s="24">
        <f>SUMIFS(Post_Allocation!$K$5:$K$340,Post_Allocation!$B$5:$B$340,C56,Post_Allocation!$F$5:$F$340,E56)</f>
        <v/>
      </c>
      <c r="J56" s="24">
        <f>G56+I56</f>
        <v/>
      </c>
      <c r="K56" s="24">
        <f>F56-J56</f>
        <v/>
      </c>
    </row>
    <row r="57">
      <c r="A57" s="32">
        <f>Quota_Groups!A57</f>
        <v/>
      </c>
      <c r="B57" s="32">
        <f>Quota_Groups!B57</f>
        <v/>
      </c>
      <c r="C57" s="32">
        <f>Quota_Groups!C57</f>
        <v/>
      </c>
      <c r="D57" s="33">
        <f>Quota_Groups!D57</f>
        <v/>
      </c>
      <c r="E57" s="32">
        <f>Quota_Groups!E57</f>
        <v/>
      </c>
      <c r="F57" s="47">
        <f>Quota_Groups!F57</f>
        <v/>
      </c>
      <c r="G57" s="47">
        <f>Quota_Groups!G57</f>
        <v/>
      </c>
      <c r="H57" s="47">
        <f>Quota_Groups!H57</f>
        <v/>
      </c>
      <c r="I57" s="24">
        <f>SUMIFS(Post_Allocation!$K$5:$K$340,Post_Allocation!$B$5:$B$340,C57,Post_Allocation!$F$5:$F$340,E57)</f>
        <v/>
      </c>
      <c r="J57" s="24">
        <f>G57+I57</f>
        <v/>
      </c>
      <c r="K57" s="24">
        <f>F57-J57</f>
        <v/>
      </c>
    </row>
    <row r="58">
      <c r="A58" s="32">
        <f>Quota_Groups!A58</f>
        <v/>
      </c>
      <c r="B58" s="32">
        <f>Quota_Groups!B58</f>
        <v/>
      </c>
      <c r="C58" s="32">
        <f>Quota_Groups!C58</f>
        <v/>
      </c>
      <c r="D58" s="33">
        <f>Quota_Groups!D58</f>
        <v/>
      </c>
      <c r="E58" s="32">
        <f>Quota_Groups!E58</f>
        <v/>
      </c>
      <c r="F58" s="47">
        <f>Quota_Groups!F58</f>
        <v/>
      </c>
      <c r="G58" s="47">
        <f>Quota_Groups!G58</f>
        <v/>
      </c>
      <c r="H58" s="47">
        <f>Quota_Groups!H58</f>
        <v/>
      </c>
      <c r="I58" s="24">
        <f>SUMIFS(Post_Allocation!$K$5:$K$340,Post_Allocation!$B$5:$B$340,C58,Post_Allocation!$F$5:$F$340,E58)</f>
        <v/>
      </c>
      <c r="J58" s="24">
        <f>G58+I58</f>
        <v/>
      </c>
      <c r="K58" s="24">
        <f>F58-J58</f>
        <v/>
      </c>
    </row>
    <row r="59">
      <c r="A59" s="32">
        <f>Quota_Groups!A59</f>
        <v/>
      </c>
      <c r="B59" s="32">
        <f>Quota_Groups!B59</f>
        <v/>
      </c>
      <c r="C59" s="32">
        <f>Quota_Groups!C59</f>
        <v/>
      </c>
      <c r="D59" s="33">
        <f>Quota_Groups!D59</f>
        <v/>
      </c>
      <c r="E59" s="32">
        <f>Quota_Groups!E59</f>
        <v/>
      </c>
      <c r="F59" s="47">
        <f>Quota_Groups!F59</f>
        <v/>
      </c>
      <c r="G59" s="47">
        <f>Quota_Groups!G59</f>
        <v/>
      </c>
      <c r="H59" s="47">
        <f>Quota_Groups!H59</f>
        <v/>
      </c>
      <c r="I59" s="24">
        <f>SUMIFS(Post_Allocation!$K$5:$K$340,Post_Allocation!$B$5:$B$340,C59,Post_Allocation!$F$5:$F$340,E59)</f>
        <v/>
      </c>
      <c r="J59" s="24">
        <f>G59+I59</f>
        <v/>
      </c>
      <c r="K59" s="24">
        <f>F59-J59</f>
        <v/>
      </c>
    </row>
    <row r="60">
      <c r="A60" s="32">
        <f>Quota_Groups!A60</f>
        <v/>
      </c>
      <c r="B60" s="32">
        <f>Quota_Groups!B60</f>
        <v/>
      </c>
      <c r="C60" s="32">
        <f>Quota_Groups!C60</f>
        <v/>
      </c>
      <c r="D60" s="33">
        <f>Quota_Groups!D60</f>
        <v/>
      </c>
      <c r="E60" s="32">
        <f>Quota_Groups!E60</f>
        <v/>
      </c>
      <c r="F60" s="47">
        <f>Quota_Groups!F60</f>
        <v/>
      </c>
      <c r="G60" s="47">
        <f>Quota_Groups!G60</f>
        <v/>
      </c>
      <c r="H60" s="47">
        <f>Quota_Groups!H60</f>
        <v/>
      </c>
      <c r="I60" s="24">
        <f>SUMIFS(Post_Allocation!$K$5:$K$340,Post_Allocation!$B$5:$B$340,C60,Post_Allocation!$F$5:$F$340,E60)</f>
        <v/>
      </c>
      <c r="J60" s="24">
        <f>G60+I60</f>
        <v/>
      </c>
      <c r="K60" s="24">
        <f>F60-J60</f>
        <v/>
      </c>
    </row>
  </sheetData>
  <autoFilter ref="A4:K60"/>
  <conditionalFormatting sqref="I5:I60">
    <cfRule type="cellIs" priority="1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2026-10-07T09:47:56Z</dcterms:created>
  <dcterms:modified xmlns:dcterms="http://purl.org/dc/terms/" xmlns:xsi="http://www.w3.org/2001/XMLSchema-instance" xsi:type="dcterms:W3CDTF">2026-10-07T09:47:56Z</dcterms:modified>
</cp:coreProperties>
</file>