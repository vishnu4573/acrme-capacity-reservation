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quest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KU_Family_Map" sheetId="4" state="visible" r:id="rId4"/>
    <sheet xmlns:r="http://schemas.openxmlformats.org/officeDocument/2006/relationships" name="SKU_Catalogue" sheetId="5" state="visible" r:id="rId5"/>
    <sheet xmlns:r="http://schemas.openxmlformats.org/officeDocument/2006/relationships" name="Capacity_By_SKU" sheetId="6" state="visible" r:id="rId6"/>
    <sheet xmlns:r="http://schemas.openxmlformats.org/officeDocument/2006/relationships" name="Quota_Groups" sheetId="7" state="visible" r:id="rId7"/>
    <sheet xmlns:r="http://schemas.openxmlformats.org/officeDocument/2006/relationships" name="Score_Prod" sheetId="8" state="visible" r:id="rId8"/>
    <sheet xmlns:r="http://schemas.openxmlformats.org/officeDocument/2006/relationships" name="Score_CVAL" sheetId="9" state="visible" r:id="rId9"/>
    <sheet xmlns:r="http://schemas.openxmlformats.org/officeDocument/2006/relationships" name="Score_DR" sheetId="10" state="visible" r:id="rId10"/>
    <sheet xmlns:r="http://schemas.openxmlformats.org/officeDocument/2006/relationships" name="Resul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i val="1"/>
      <color rgb="00C00000"/>
    </font>
    <font>
      <b val="1"/>
    </font>
    <font>
      <b val="1"/>
      <color rgb="001F3864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183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0" borderId="1" pivotButton="0" quotePrefix="0" xfId="0"/>
    <xf numFmtId="0" fontId="0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5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ACRME SKU-LEVEL PLACEMENT WHAT-IF  —  PHASE 2 (Multi-SKU deployment scoring)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A DIFFERENT what-if from the region-selection model (Phase 1). That model scores capacity/quota as ONE blended number per region.</t>
        </is>
      </c>
    </row>
    <row r="5">
      <c r="A5" s="2" t="inlineStr">
        <is>
          <t>This model scores placement at SKU grain for a MULTI-SKU deployment: enter up to 8 SKU lines (SKU + VM count each).</t>
        </is>
      </c>
    </row>
    <row r="6">
      <c r="A6" s="2" t="inlineStr">
        <is>
          <t>A candidate region is Eligible only when EVERY active SKU line has GROUP AVAIL &gt;= Line Cores (Meets-All = 1).</t>
        </is>
      </c>
    </row>
    <row r="7">
      <c r="A7" s="2" t="inlineStr">
        <is>
          <t>Score components are aggregated across lines using MIN (bottleneck-SKU drives the score).</t>
        </is>
      </c>
    </row>
    <row r="8">
      <c r="A8" s="2" t="inlineStr"/>
    </row>
    <row r="9">
      <c r="A9" s="3" t="inlineStr">
        <is>
          <t>HOW TO USE</t>
        </is>
      </c>
    </row>
    <row r="10">
      <c r="A10" s="2" t="inlineStr">
        <is>
          <t>1. Open the Request sheet. Fill yellow cells:</t>
        </is>
      </c>
    </row>
    <row r="11">
      <c r="A11" s="2" t="inlineStr">
        <is>
          <t xml:space="preserve">   - B4: Geography (US or EU).  B5: Customer ID.</t>
        </is>
      </c>
    </row>
    <row r="12">
      <c r="A12" s="2" t="inlineStr">
        <is>
          <t xml:space="preserve">   - Rows 8-15: For each SKU line, select SKU (col B dropdown) and enter VM count (col C).</t>
        </is>
      </c>
    </row>
    <row r="13">
      <c r="A13" s="2" t="inlineStr">
        <is>
          <t xml:space="preserve">   - vCPU/inst (col D), Line Cores (col E), and Quota Family (col F) are derived automatically.</t>
        </is>
      </c>
    </row>
    <row r="14">
      <c r="A14" s="2" t="inlineStr">
        <is>
          <t xml:space="preserve">   - Leave a row blank (B and C empty) to deactivate that line. At least 1 active line required.</t>
        </is>
      </c>
    </row>
    <row r="15">
      <c r="A15" s="2" t="inlineStr">
        <is>
          <t>2. (Optional) tune Policy weights/thresholds (yellow). Weights must sum to 1.00 (check cell B7).</t>
        </is>
      </c>
    </row>
    <row r="16">
      <c r="A16" s="2" t="inlineStr">
        <is>
          <t>3. Read Result: recommended Prod/CVAL/DR region for the deployment + ranked Prod candidates + readiness.</t>
        </is>
      </c>
    </row>
    <row r="17">
      <c r="A17" s="2" t="inlineStr"/>
    </row>
    <row r="18">
      <c r="A18" s="3" t="inlineStr">
        <is>
          <t>SCORING (per candidate region, per environment)</t>
        </is>
      </c>
    </row>
    <row r="19">
      <c r="A19" s="2" t="inlineStr">
        <is>
          <t>Eligible = InGeo=1 AND Meets-All=1 AND Readiness is READY or READY_WITH_RISK.</t>
        </is>
      </c>
    </row>
    <row r="20">
      <c r="A20" s="2" t="inlineStr">
        <is>
          <t>Meets-All = MIN across active lines of: 1 if GROUP_AVAIL(line) &gt;= Line_Cores(line), else 0.</t>
        </is>
      </c>
    </row>
    <row r="21">
      <c r="A21" s="2" t="inlineStr">
        <is>
          <t>PS = w_alpha * alpha_c + w_beta * beta_c + w_eps * eps_c   (only for eligible candidates).</t>
        </is>
      </c>
    </row>
    <row r="22">
      <c r="A22" s="2" t="inlineStr">
        <is>
          <t xml:space="preserve">  alpha_c = MAX(0, MIN(1 - Line_Cores/GAVAIL) across active lines)   [bottleneck line drives score]</t>
        </is>
      </c>
    </row>
    <row r="23">
      <c r="A23" s="2" t="inlineStr">
        <is>
          <t xml:space="preserve">  beta_c  = MAX(0, MIN(quota-avail / quota-limit) across active lines)</t>
        </is>
      </c>
    </row>
    <row r="24">
      <c r="A24" s="2" t="inlineStr">
        <is>
          <t xml:space="preserve">  eps_c   = MAX(0, MIN(reserved-free / reserved) across active lines)</t>
        </is>
      </c>
    </row>
    <row r="25">
      <c r="A25" s="2" t="inlineStr">
        <is>
          <t xml:space="preserve">  GAVAIL per line = MIN(reserved-free for that SKU in this env, quota-avail for its family).</t>
        </is>
      </c>
    </row>
    <row r="26">
      <c r="A26" s="2" t="inlineStr">
        <is>
          <t>Readiness (RDY-002) hierarchy: NO_REQUEST -&gt; RESERVATION_DEFICIT -&gt; QUOTA_DEFICIT -&gt; CAPACITY_DEFICIT -&gt; READY_WITH_RISK -&gt; READY.</t>
        </is>
      </c>
    </row>
    <row r="27">
      <c r="A27" s="2" t="inlineStr">
        <is>
          <t xml:space="preserve">  NO_REQUEST: no active SKU lines.  RESERVATION_DEFICIT: any line has reserved-free=0.</t>
        </is>
      </c>
    </row>
    <row r="28">
      <c r="A28" s="2" t="inlineStr">
        <is>
          <t xml:space="preserve">  QUOTA_DEFICIT: any line's family has quota-avail=0.  CAPACITY_DEFICIT: Meets-All=0 (GAVAIL &lt; Line Cores for some line).</t>
        </is>
      </c>
    </row>
    <row r="29">
      <c r="A29" s="2" t="inlineStr">
        <is>
          <t xml:space="preserve">  READY_WITH_RISK: Meets-All=1 but MIN(alpha) &lt; risk_threshold (Policy!B10).  READY: all checks pass.</t>
        </is>
      </c>
    </row>
    <row r="30">
      <c r="A30" s="2" t="inlineStr"/>
    </row>
    <row r="31">
      <c r="A31" s="3" t="inlineStr">
        <is>
          <t>RULINGS BAKED IN (from Phase 1)</t>
        </is>
      </c>
    </row>
    <row r="32">
      <c r="A32" s="2" t="inlineStr">
        <is>
          <t>- ONE pooled quota group per region+family across Prod+NonProd+DR (QUA-004).</t>
        </is>
      </c>
    </row>
    <row r="33">
      <c r="A33" s="2" t="inlineStr">
        <is>
          <t>- ENV-003 hard separation applies to CAPACITY reservations only; quota pooled (separate planes).</t>
        </is>
      </c>
    </row>
    <row r="34">
      <c r="A34" s="2" t="inlineStr">
        <is>
          <t>- Quota hoarded to a single pool, distributed on demand (QUA-003).</t>
        </is>
      </c>
    </row>
    <row r="35">
      <c r="A35" s="2" t="inlineStr">
        <is>
          <t>- DR = 30% bootstrap of Prod (ENV-005), not a full duplicate.</t>
        </is>
      </c>
    </row>
    <row r="36">
      <c r="A36" s="2" t="inlineStr"/>
    </row>
    <row r="37">
      <c r="A37" s="3" t="inlineStr">
        <is>
          <t>SCOPE / LIMITATIONS</t>
        </is>
      </c>
    </row>
    <row r="38">
      <c r="A38" s="4" t="inlineStr">
        <is>
          <t>- Read-only feasibility. Does NOT modify the v2.4 baseline or the Phase 1 workbook.</t>
        </is>
      </c>
    </row>
    <row r="39">
      <c r="A39" s="4" t="inlineStr">
        <is>
          <t>- SKU dropdown is constrained to the ACRME catalogue; new SKUs require updating the builder.</t>
        </is>
      </c>
    </row>
    <row r="40">
      <c r="A40" s="4" t="inlineStr">
        <is>
          <t>- CRG scope is regional (crg-...-reg); per-AZ CRGs (CAP-023) are a later increment.</t>
        </is>
      </c>
    </row>
    <row r="41">
      <c r="A41" s="4" t="inlineStr">
        <is>
          <t>- Freeze &amp; logical lock (the LOCKED state + Allocation_Ledger) is Phase 3, not in this file.</t>
        </is>
      </c>
    </row>
    <row r="42">
      <c r="A42" s="4" t="inlineStr">
        <is>
          <t>- SKU-&gt;family map is naming-derived; a canonical Azure family table would replace it.</t>
        </is>
      </c>
    </row>
  </sheetData>
  <mergeCells count="42">
    <mergeCell ref="A5:J5"/>
    <mergeCell ref="A23:J23"/>
    <mergeCell ref="A32:J32"/>
    <mergeCell ref="A8:J8"/>
    <mergeCell ref="A14:J14"/>
    <mergeCell ref="A22:J22"/>
    <mergeCell ref="A17:J17"/>
    <mergeCell ref="A29:J29"/>
    <mergeCell ref="A4:J4"/>
    <mergeCell ref="A35:J35"/>
    <mergeCell ref="A20:J20"/>
    <mergeCell ref="A38:J38"/>
    <mergeCell ref="A10:J10"/>
    <mergeCell ref="A28:J28"/>
    <mergeCell ref="A19:J19"/>
    <mergeCell ref="A13:J13"/>
    <mergeCell ref="A31:J31"/>
    <mergeCell ref="A40:J40"/>
    <mergeCell ref="A9:J9"/>
    <mergeCell ref="A30:J30"/>
    <mergeCell ref="A39:J39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41:J41"/>
    <mergeCell ref="A37:J37"/>
    <mergeCell ref="A18:J18"/>
    <mergeCell ref="A27:J27"/>
    <mergeCell ref="A3:J3"/>
    <mergeCell ref="A21:J21"/>
    <mergeCell ref="A12:J12"/>
    <mergeCell ref="A26:J26"/>
    <mergeCell ref="A2:J2"/>
    <mergeCell ref="A42:J4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0" customWidth="1" min="3" max="3"/>
    <col width="12" customWidth="1" min="4" max="4"/>
    <col width="12" customWidth="1" min="5" max="5"/>
    <col width="18" customWidth="1" min="6" max="6"/>
    <col width="28" customWidth="1" min="7" max="7"/>
  </cols>
  <sheetData>
    <row r="1">
      <c r="A1" s="5" t="inlineStr">
        <is>
          <t>REQUEST  —  Customer placement request (edit yellow cells)</t>
        </is>
      </c>
    </row>
    <row r="2">
      <c r="A2" s="6" t="inlineStr">
        <is>
          <t>Phase 2 evaluates up to 8 SKU lines per deployment. Enter each SKU and VM count; ALL lines must be satisfiable in a candidate region for it to be Eligible.</t>
        </is>
      </c>
    </row>
    <row r="4">
      <c r="A4" s="7" t="inlineStr">
        <is>
          <t>Geography</t>
        </is>
      </c>
      <c r="B4" s="8" t="inlineStr">
        <is>
          <t>US</t>
        </is>
      </c>
      <c r="C4" s="6" t="inlineStr">
        <is>
          <t>US or EU (candidate regions filtered to this)</t>
        </is>
      </c>
    </row>
    <row r="5">
      <c r="A5" s="7" t="inlineStr">
        <is>
          <t>Customer ID</t>
        </is>
      </c>
      <c r="B5" s="8" t="inlineStr">
        <is>
          <t>CUST-0042</t>
        </is>
      </c>
    </row>
    <row r="7">
      <c r="A7" s="9" t="inlineStr">
        <is>
          <t>Line #</t>
        </is>
      </c>
      <c r="B7" s="9" t="inlineStr">
        <is>
          <t>SKU</t>
        </is>
      </c>
      <c r="C7" s="9" t="inlineStr">
        <is>
          <t>VM Count</t>
        </is>
      </c>
      <c r="D7" s="9" t="inlineStr">
        <is>
          <t>vCPU / inst</t>
        </is>
      </c>
      <c r="E7" s="9" t="inlineStr">
        <is>
          <t>Line Cores</t>
        </is>
      </c>
      <c r="F7" s="9" t="inlineStr">
        <is>
          <t>Quota Family</t>
        </is>
      </c>
      <c r="G7" s="9" t="inlineStr">
        <is>
          <t>Notes</t>
        </is>
      </c>
    </row>
    <row r="8">
      <c r="A8" s="10" t="n">
        <v>1</v>
      </c>
      <c r="B8" s="8" t="inlineStr">
        <is>
          <t>Standard_E32ads_v5</t>
        </is>
      </c>
      <c r="C8" s="8" t="n">
        <v>4</v>
      </c>
      <c r="D8" s="11">
        <f>IFERROR(IF(B8="","",VLOOKUP(B8,SKU_Catalogue!$A:$B,2,FALSE)),"")</f>
        <v/>
      </c>
      <c r="E8" s="11">
        <f>IFERROR(IF(OR(B8="",C8=""),"",C8*D8),"")</f>
        <v/>
      </c>
      <c r="F8" s="11">
        <f>IFERROR(IF(B8="","",VLOOKUP(B8,SKU_Family_Map!$A:$B,2,FALSE)),"")</f>
        <v/>
      </c>
      <c r="G8" s="12" t="n"/>
    </row>
    <row r="9">
      <c r="A9" s="10" t="n">
        <v>2</v>
      </c>
      <c r="B9" s="8" t="inlineStr">
        <is>
          <t>Standard_D8as_v5</t>
        </is>
      </c>
      <c r="C9" s="8" t="n">
        <v>2</v>
      </c>
      <c r="D9" s="11">
        <f>IFERROR(IF(B9="","",VLOOKUP(B9,SKU_Catalogue!$A:$B,2,FALSE)),"")</f>
        <v/>
      </c>
      <c r="E9" s="11">
        <f>IFERROR(IF(OR(B9="",C9=""),"",C9*D9),"")</f>
        <v/>
      </c>
      <c r="F9" s="11">
        <f>IFERROR(IF(B9="","",VLOOKUP(B9,SKU_Family_Map!$A:$B,2,FALSE)),"")</f>
        <v/>
      </c>
      <c r="G9" s="12" t="n"/>
    </row>
    <row r="10">
      <c r="A10" s="10" t="n">
        <v>3</v>
      </c>
      <c r="B10" s="8" t="inlineStr"/>
      <c r="C10" s="8" t="inlineStr"/>
      <c r="D10" s="11">
        <f>IFERROR(IF(B10="","",VLOOKUP(B10,SKU_Catalogue!$A:$B,2,FALSE)),"")</f>
        <v/>
      </c>
      <c r="E10" s="11">
        <f>IFERROR(IF(OR(B10="",C10=""),"",C10*D10),"")</f>
        <v/>
      </c>
      <c r="F10" s="11">
        <f>IFERROR(IF(B10="","",VLOOKUP(B10,SKU_Family_Map!$A:$B,2,FALSE)),"")</f>
        <v/>
      </c>
      <c r="G10" s="12" t="n"/>
    </row>
    <row r="11">
      <c r="A11" s="10" t="n">
        <v>4</v>
      </c>
      <c r="B11" s="8" t="inlineStr"/>
      <c r="C11" s="8" t="inlineStr"/>
      <c r="D11" s="11">
        <f>IFERROR(IF(B11="","",VLOOKUP(B11,SKU_Catalogue!$A:$B,2,FALSE)),"")</f>
        <v/>
      </c>
      <c r="E11" s="11">
        <f>IFERROR(IF(OR(B11="",C11=""),"",C11*D11),"")</f>
        <v/>
      </c>
      <c r="F11" s="11">
        <f>IFERROR(IF(B11="","",VLOOKUP(B11,SKU_Family_Map!$A:$B,2,FALSE)),"")</f>
        <v/>
      </c>
      <c r="G11" s="12" t="n"/>
    </row>
    <row r="12">
      <c r="A12" s="10" t="n">
        <v>5</v>
      </c>
      <c r="B12" s="8" t="inlineStr"/>
      <c r="C12" s="8" t="inlineStr"/>
      <c r="D12" s="11">
        <f>IFERROR(IF(B12="","",VLOOKUP(B12,SKU_Catalogue!$A:$B,2,FALSE)),"")</f>
        <v/>
      </c>
      <c r="E12" s="11">
        <f>IFERROR(IF(OR(B12="",C12=""),"",C12*D12),"")</f>
        <v/>
      </c>
      <c r="F12" s="11">
        <f>IFERROR(IF(B12="","",VLOOKUP(B12,SKU_Family_Map!$A:$B,2,FALSE)),"")</f>
        <v/>
      </c>
      <c r="G12" s="12" t="n"/>
    </row>
    <row r="13">
      <c r="A13" s="10" t="n">
        <v>6</v>
      </c>
      <c r="B13" s="8" t="inlineStr"/>
      <c r="C13" s="8" t="inlineStr"/>
      <c r="D13" s="11">
        <f>IFERROR(IF(B13="","",VLOOKUP(B13,SKU_Catalogue!$A:$B,2,FALSE)),"")</f>
        <v/>
      </c>
      <c r="E13" s="11">
        <f>IFERROR(IF(OR(B13="",C13=""),"",C13*D13),"")</f>
        <v/>
      </c>
      <c r="F13" s="11">
        <f>IFERROR(IF(B13="","",VLOOKUP(B13,SKU_Family_Map!$A:$B,2,FALSE)),"")</f>
        <v/>
      </c>
      <c r="G13" s="12" t="n"/>
    </row>
    <row r="14">
      <c r="A14" s="10" t="n">
        <v>7</v>
      </c>
      <c r="B14" s="8" t="inlineStr"/>
      <c r="C14" s="8" t="inlineStr"/>
      <c r="D14" s="11">
        <f>IFERROR(IF(B14="","",VLOOKUP(B14,SKU_Catalogue!$A:$B,2,FALSE)),"")</f>
        <v/>
      </c>
      <c r="E14" s="11">
        <f>IFERROR(IF(OR(B14="",C14=""),"",C14*D14),"")</f>
        <v/>
      </c>
      <c r="F14" s="11">
        <f>IFERROR(IF(B14="","",VLOOKUP(B14,SKU_Family_Map!$A:$B,2,FALSE)),"")</f>
        <v/>
      </c>
      <c r="G14" s="12" t="n"/>
    </row>
    <row r="15">
      <c r="A15" s="10" t="n">
        <v>8</v>
      </c>
      <c r="B15" s="8" t="inlineStr"/>
      <c r="C15" s="8" t="inlineStr"/>
      <c r="D15" s="11">
        <f>IFERROR(IF(B15="","",VLOOKUP(B15,SKU_Catalogue!$A:$B,2,FALSE)),"")</f>
        <v/>
      </c>
      <c r="E15" s="11">
        <f>IFERROR(IF(OR(B15="",C15=""),"",C15*D15),"")</f>
        <v/>
      </c>
      <c r="F15" s="11">
        <f>IFERROR(IF(B15="","",VLOOKUP(B15,SKU_Family_Map!$A:$B,2,FALSE)),"")</f>
        <v/>
      </c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7" t="inlineStr">
        <is>
          <t>Active lines (SKU + VM both filled)</t>
        </is>
      </c>
      <c r="B17" s="11">
        <f>COUNTIFS(B8:B15,"&lt;&gt;",C8:C15,"&lt;&gt;")</f>
        <v/>
      </c>
    </row>
    <row r="18">
      <c r="A18" s="7" t="inlineStr">
        <is>
          <t>Total requested cores (all active lines)</t>
        </is>
      </c>
      <c r="B18" s="11">
        <f>SUMPRODUCT(IFERROR(E8:E15*1,0))</f>
        <v/>
      </c>
    </row>
    <row r="19">
      <c r="A19" s="6" t="inlineStr">
        <is>
          <t>★ A region is Eligible only when every active line can be satisfied (Meets-All = 1).</t>
        </is>
      </c>
    </row>
  </sheetData>
  <mergeCells count="4">
    <mergeCell ref="A19:G19"/>
    <mergeCell ref="A2:G2"/>
    <mergeCell ref="A1:G1"/>
    <mergeCell ref="A17"/>
  </mergeCells>
  <dataValidations count="2">
    <dataValidation sqref="B4" showDropDown="0" showInputMessage="0" showErrorMessage="0" allowBlank="0" type="list">
      <formula1>"US,EU"</formula1>
    </dataValidation>
    <dataValidation sqref="B8 B9 B10 B11 B12 B13 B14 B15" showDropDown="0" showInputMessage="0" showErrorMessage="0" allowBlank="1" type="list">
      <formula1>"Standard_E32ads_v5,Standard_E64ads_v5,Standard_E16ads_v5,Standard_E32ads_v6,Standard_D8ads_v5,Standard_D16ads_v5,Standard_D8as_v5,Standard_D16as_v5"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4" customWidth="1" min="3" max="3"/>
  </cols>
  <sheetData>
    <row r="1">
      <c r="A1" s="5" t="inlineStr">
        <is>
          <t>POLICY  —  Placement-score weights &amp; thresholds (edit yellow cells)</t>
        </is>
      </c>
    </row>
    <row r="3">
      <c r="A3" s="13" t="inlineStr">
        <is>
          <t>Score weights (must sum to 1.00)</t>
        </is>
      </c>
    </row>
    <row r="4">
      <c r="A4" s="12" t="inlineStr">
        <is>
          <t>w_alpha  (availability fit: group_avail vs requested)</t>
        </is>
      </c>
      <c r="B4" s="8" t="n">
        <v>0.5</v>
      </c>
    </row>
    <row r="5">
      <c r="A5" s="12" t="inlineStr">
        <is>
          <t>w_beta   (family quota headroom ratio)</t>
        </is>
      </c>
      <c r="B5" s="8" t="n">
        <v>0.3</v>
      </c>
    </row>
    <row r="6">
      <c r="A6" s="12" t="inlineStr">
        <is>
          <t>w_epsilon (buffer safety: reserved-free vs reserved)</t>
        </is>
      </c>
      <c r="B6" s="8" t="n">
        <v>0.2</v>
      </c>
    </row>
    <row r="7">
      <c r="A7" s="14" t="inlineStr">
        <is>
          <t>Sum of weights (check = 1.00)</t>
        </is>
      </c>
      <c r="B7" s="10">
        <f>B4+B5+B6</f>
        <v/>
      </c>
    </row>
    <row r="9">
      <c r="A9" s="13" t="inlineStr">
        <is>
          <t>Thresholds</t>
        </is>
      </c>
    </row>
    <row r="10">
      <c r="A10" s="12" t="inlineStr">
        <is>
          <t>risk_threshold  (READY_WITH_RISK if alpha &lt; this value; 0.10 = keep ≥10% buffer)</t>
        </is>
      </c>
      <c r="B10" s="8" t="n">
        <v>0.1</v>
      </c>
    </row>
    <row r="11">
      <c r="A11" s="12" t="inlineStr">
        <is>
          <t>min_buffer_floor (cores; buffer must stay &gt;= this after placement)</t>
        </is>
      </c>
      <c r="B11" s="8" t="n">
        <v>8</v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5" t="inlineStr">
        <is>
          <t>SKU -&gt; QUOTA FAMILY MAP (drives all lookups)</t>
        </is>
      </c>
    </row>
    <row r="2">
      <c r="A2" s="6" t="inlineStr">
        <is>
          <t>Capacity is reserved per SKU; quota is granted per family. Many SKUs -&gt; one family.</t>
        </is>
      </c>
    </row>
    <row r="3">
      <c r="A3" s="15" t="inlineStr">
        <is>
          <t>SKU</t>
        </is>
      </c>
      <c r="B3" s="15" t="inlineStr">
        <is>
          <t>Quota Family</t>
        </is>
      </c>
    </row>
    <row r="4">
      <c r="A4" s="12" t="inlineStr">
        <is>
          <t>Standard_E32ads_v5</t>
        </is>
      </c>
      <c r="B4" s="12" t="inlineStr">
        <is>
          <t>Eadsv5</t>
        </is>
      </c>
    </row>
    <row r="5">
      <c r="A5" s="12" t="inlineStr">
        <is>
          <t>Standard_E64ads_v5</t>
        </is>
      </c>
      <c r="B5" s="12" t="inlineStr">
        <is>
          <t>Eadsv5</t>
        </is>
      </c>
    </row>
    <row r="6">
      <c r="A6" s="12" t="inlineStr">
        <is>
          <t>Standard_E16ads_v5</t>
        </is>
      </c>
      <c r="B6" s="12" t="inlineStr">
        <is>
          <t>Eadsv5</t>
        </is>
      </c>
    </row>
    <row r="7">
      <c r="A7" s="12" t="inlineStr">
        <is>
          <t>Standard_E32ads_v6</t>
        </is>
      </c>
      <c r="B7" s="12" t="inlineStr">
        <is>
          <t>Eadsv6</t>
        </is>
      </c>
    </row>
    <row r="8">
      <c r="A8" s="12" t="inlineStr">
        <is>
          <t>Standard_D8ads_v5</t>
        </is>
      </c>
      <c r="B8" s="12" t="inlineStr">
        <is>
          <t>Dadsv5</t>
        </is>
      </c>
    </row>
    <row r="9">
      <c r="A9" s="12" t="inlineStr">
        <is>
          <t>Standard_D16ads_v5</t>
        </is>
      </c>
      <c r="B9" s="12" t="inlineStr">
        <is>
          <t>Dadsv5</t>
        </is>
      </c>
    </row>
    <row r="10">
      <c r="A10" s="12" t="inlineStr">
        <is>
          <t>Standard_D8as_v5</t>
        </is>
      </c>
      <c r="B10" s="12" t="inlineStr">
        <is>
          <t>Dasv5</t>
        </is>
      </c>
    </row>
    <row r="11">
      <c r="A11" s="12" t="inlineStr">
        <is>
          <t>Standard_D16as_v5</t>
        </is>
      </c>
      <c r="B11" s="12" t="inlineStr">
        <is>
          <t>Dasv5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5" customWidth="1" min="4" max="4"/>
    <col width="10" customWidth="1" min="5" max="5"/>
    <col width="52" customWidth="1" min="6" max="6"/>
  </cols>
  <sheetData>
    <row r="1">
      <c r="A1" s="5" t="inlineStr">
        <is>
          <t>SKU CATALOGUE (managed seed-matrix view, CAP-022)</t>
        </is>
      </c>
    </row>
    <row r="3">
      <c r="A3" s="15" t="inlineStr">
        <is>
          <t>SKU</t>
        </is>
      </c>
      <c r="B3" s="15" t="inlineStr">
        <is>
          <t>vCPU/inst</t>
        </is>
      </c>
      <c r="C3" s="15" t="inlineStr">
        <is>
          <t>Quota Family</t>
        </is>
      </c>
      <c r="D3" s="15" t="inlineStr">
        <is>
          <t>Zonal? (CAP-020)</t>
        </is>
      </c>
      <c r="E3" s="15" t="inlineStr">
        <is>
          <t>Eligible?</t>
        </is>
      </c>
      <c r="F3" s="15" t="inlineStr">
        <is>
          <t>Notes</t>
        </is>
      </c>
    </row>
    <row r="4">
      <c r="A4" s="12" t="inlineStr">
        <is>
          <t>Standard_E32ads_v5</t>
        </is>
      </c>
      <c r="B4" s="16" t="n">
        <v>32</v>
      </c>
      <c r="C4" s="12" t="inlineStr">
        <is>
          <t>Eadsv5</t>
        </is>
      </c>
      <c r="D4" s="16" t="inlineStr">
        <is>
          <t>Yes</t>
        </is>
      </c>
      <c r="E4" s="16" t="inlineStr">
        <is>
          <t>Yes</t>
        </is>
      </c>
      <c r="F4" s="12" t="inlineStr">
        <is>
          <t xml:space="preserve"> Dadsv5/eadsv5/dasv5 general-purpose &amp; memory-optimised</t>
        </is>
      </c>
    </row>
    <row r="5">
      <c r="A5" s="12" t="inlineStr">
        <is>
          <t>Standard_E64ads_v5</t>
        </is>
      </c>
      <c r="B5" s="16" t="n">
        <v>64</v>
      </c>
      <c r="C5" s="12" t="inlineStr">
        <is>
          <t>Eadsv5</t>
        </is>
      </c>
      <c r="D5" s="16" t="inlineStr">
        <is>
          <t>Yes</t>
        </is>
      </c>
      <c r="E5" s="16" t="inlineStr">
        <is>
          <t>Yes</t>
        </is>
      </c>
      <c r="F5" s="12" t="inlineStr">
        <is>
          <t xml:space="preserve"> Dadsv5/eadsv5/dasv5 general-purpose &amp; memory-optimised</t>
        </is>
      </c>
    </row>
    <row r="6">
      <c r="A6" s="12" t="inlineStr">
        <is>
          <t>Standard_E16ads_v5</t>
        </is>
      </c>
      <c r="B6" s="16" t="n">
        <v>16</v>
      </c>
      <c r="C6" s="12" t="inlineStr">
        <is>
          <t>Eadsv5</t>
        </is>
      </c>
      <c r="D6" s="16" t="inlineStr">
        <is>
          <t>Yes</t>
        </is>
      </c>
      <c r="E6" s="16" t="inlineStr">
        <is>
          <t>Yes</t>
        </is>
      </c>
      <c r="F6" s="12" t="inlineStr">
        <is>
          <t xml:space="preserve"> Dadsv5/eadsv5/dasv5 general-purpose &amp; memory-optimised</t>
        </is>
      </c>
    </row>
    <row r="7">
      <c r="A7" s="12" t="inlineStr">
        <is>
          <t>Standard_E32ads_v6</t>
        </is>
      </c>
      <c r="B7" s="16" t="n">
        <v>32</v>
      </c>
      <c r="C7" s="12" t="inlineStr">
        <is>
          <t>Eadsv6</t>
        </is>
      </c>
      <c r="D7" s="16" t="inlineStr">
        <is>
          <t>Yes</t>
        </is>
      </c>
      <c r="E7" s="16" t="inlineStr">
        <is>
          <t>Yes</t>
        </is>
      </c>
      <c r="F7" s="12" t="inlineStr">
        <is>
          <t xml:space="preserve"> Dadsv5/eadsv5/dasv5 general-purpose &amp; memory-optimised</t>
        </is>
      </c>
    </row>
    <row r="8">
      <c r="A8" s="12" t="inlineStr">
        <is>
          <t>Standard_D8ads_v5</t>
        </is>
      </c>
      <c r="B8" s="16" t="n">
        <v>8</v>
      </c>
      <c r="C8" s="12" t="inlineStr">
        <is>
          <t>Dadsv5</t>
        </is>
      </c>
      <c r="D8" s="16" t="inlineStr">
        <is>
          <t>Yes</t>
        </is>
      </c>
      <c r="E8" s="16" t="inlineStr">
        <is>
          <t>Yes</t>
        </is>
      </c>
      <c r="F8" s="12" t="inlineStr">
        <is>
          <t xml:space="preserve"> Dadsv5/eadsv5/dasv5 general-purpose &amp; memory-optimised</t>
        </is>
      </c>
    </row>
    <row r="9">
      <c r="A9" s="12" t="inlineStr">
        <is>
          <t>Standard_D16ads_v5</t>
        </is>
      </c>
      <c r="B9" s="16" t="n">
        <v>16</v>
      </c>
      <c r="C9" s="12" t="inlineStr">
        <is>
          <t>Dadsv5</t>
        </is>
      </c>
      <c r="D9" s="16" t="inlineStr">
        <is>
          <t>Yes</t>
        </is>
      </c>
      <c r="E9" s="16" t="inlineStr">
        <is>
          <t>Yes</t>
        </is>
      </c>
      <c r="F9" s="12" t="inlineStr">
        <is>
          <t xml:space="preserve"> Dadsv5/eadsv5/dasv5 general-purpose &amp; memory-optimised</t>
        </is>
      </c>
    </row>
    <row r="10">
      <c r="A10" s="12" t="inlineStr">
        <is>
          <t>Standard_D8as_v5</t>
        </is>
      </c>
      <c r="B10" s="16" t="n">
        <v>8</v>
      </c>
      <c r="C10" s="12" t="inlineStr">
        <is>
          <t>Dasv5</t>
        </is>
      </c>
      <c r="D10" s="16" t="inlineStr">
        <is>
          <t>Yes</t>
        </is>
      </c>
      <c r="E10" s="16" t="inlineStr">
        <is>
          <t>Yes</t>
        </is>
      </c>
      <c r="F10" s="12" t="inlineStr">
        <is>
          <t xml:space="preserve"> Dadsv5/eadsv5/dasv5 general-purpose &amp; memory-optimised</t>
        </is>
      </c>
    </row>
    <row r="11">
      <c r="A11" s="12" t="inlineStr">
        <is>
          <t>Standard_D16as_v5</t>
        </is>
      </c>
      <c r="B11" s="16" t="n">
        <v>16</v>
      </c>
      <c r="C11" s="12" t="inlineStr">
        <is>
          <t>Dasv5</t>
        </is>
      </c>
      <c r="D11" s="16" t="inlineStr">
        <is>
          <t>Yes</t>
        </is>
      </c>
      <c r="E11" s="16" t="inlineStr">
        <is>
          <t>Yes</t>
        </is>
      </c>
      <c r="F11" s="12" t="inlineStr">
        <is>
          <t xml:space="preserve"> Dadsv5/eadsv5/dasv5 general-purpose &amp; memory-optimised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20" customWidth="1" min="4" max="4"/>
    <col width="10" customWidth="1" min="5" max="5"/>
    <col width="20" customWidth="1" min="6" max="6"/>
    <col width="9" customWidth="1" min="7" max="7"/>
    <col width="10" customWidth="1" min="8" max="8"/>
    <col width="8" customWidth="1" min="9" max="9"/>
    <col width="10" customWidth="1" min="10" max="10"/>
    <col width="12" customWidth="1" min="11" max="11"/>
    <col width="16" customWidth="1" min="12" max="12"/>
    <col width="16" customWidth="1" min="13" max="13"/>
    <col width="16" customWidth="1" min="14" max="14"/>
    <col width="20" customWidth="1" min="15" max="15"/>
    <col width="8" customWidth="1" min="16" max="16"/>
  </cols>
  <sheetData>
    <row r="1">
      <c r="A1" s="5" t="inlineStr">
        <is>
          <t>CAPACITY BY SKU  —  reservations at Region x Environment x SKU (CAP-023)</t>
        </is>
      </c>
    </row>
    <row r="2">
      <c r="A2" s="6" t="inlineStr">
        <is>
          <t>Reservation plane. GROUP AVAIL (col M) = MIN(reserved-free, family quota-available) is the placeable headroom for one SKU.</t>
        </is>
      </c>
    </row>
    <row r="3">
      <c r="A3" s="17" t="inlineStr">
        <is>
          <t>NOTE: CRG modelled at REGIONAL scope (crg-...-reg). Per-AZ CRGs (crg-...-az1, CAP-023/CAP-011) are the next increment. Allocated is derived from real usage; Canada Central is a flagged mock; DR = 30% of Prod (ENV-005 bootstrap).</t>
        </is>
      </c>
    </row>
    <row r="4">
      <c r="A4" s="15" t="inlineStr">
        <is>
          <t>Region</t>
        </is>
      </c>
      <c r="B4" s="15" t="inlineStr">
        <is>
          <t>Geography</t>
        </is>
      </c>
      <c r="C4" s="15" t="inlineStr">
        <is>
          <t>Environment</t>
        </is>
      </c>
      <c r="D4" s="15" t="inlineStr">
        <is>
          <t>SKU</t>
        </is>
      </c>
      <c r="E4" s="15" t="inlineStr">
        <is>
          <t>Family</t>
        </is>
      </c>
      <c r="F4" s="15" t="inlineStr">
        <is>
          <t>CRG (CAP-023)</t>
        </is>
      </c>
      <c r="G4" s="15" t="inlineStr">
        <is>
          <t>vCPU/inst</t>
        </is>
      </c>
      <c r="H4" s="15" t="inlineStr">
        <is>
          <t>Allocated</t>
        </is>
      </c>
      <c r="I4" s="15" t="inlineStr">
        <is>
          <t>Buffer</t>
        </is>
      </c>
      <c r="J4" s="15" t="inlineStr">
        <is>
          <t>Reserved</t>
        </is>
      </c>
      <c r="K4" s="15" t="inlineStr">
        <is>
          <t>Reserved-Free</t>
        </is>
      </c>
      <c r="L4" s="15" t="inlineStr">
        <is>
          <t>Family Quota-Avail</t>
        </is>
      </c>
      <c r="M4" s="15" t="inlineStr">
        <is>
          <t>GROUP AVAIL (MIN)</t>
        </is>
      </c>
      <c r="N4" s="15" t="inlineStr">
        <is>
          <t>Binding Constraint</t>
        </is>
      </c>
      <c r="O4" s="15" t="inlineStr">
        <is>
          <t>Readiness (RDY-002)</t>
        </is>
      </c>
      <c r="P4" s="15" t="inlineStr">
        <is>
          <t>Notes</t>
        </is>
      </c>
    </row>
    <row r="5">
      <c r="A5" s="12" t="inlineStr">
        <is>
          <t>West US 3</t>
        </is>
      </c>
      <c r="B5" s="12" t="inlineStr">
        <is>
          <t>US</t>
        </is>
      </c>
      <c r="C5" s="12" t="inlineStr">
        <is>
          <t>Prod</t>
        </is>
      </c>
      <c r="D5" s="12" t="inlineStr">
        <is>
          <t>Standard_E32ads_v5</t>
        </is>
      </c>
      <c r="E5" s="12">
        <f>VLOOKUP(D5,SKU_Family_Map!$A:$B,2,FALSE)</f>
        <v/>
      </c>
      <c r="F5" s="12" t="inlineStr">
        <is>
          <t>crg-pr-wus3-reg</t>
        </is>
      </c>
      <c r="G5" s="16" t="n">
        <v>32</v>
      </c>
      <c r="H5" s="16" t="n">
        <v>0</v>
      </c>
      <c r="I5" s="16" t="n">
        <v>8</v>
      </c>
      <c r="J5" s="16">
        <f>H5+I5</f>
        <v/>
      </c>
      <c r="K5" s="16">
        <f>J5-H5</f>
        <v/>
      </c>
      <c r="L5" s="16">
        <f>SUMIFS(Quota_Groups!$G:$G,Quota_Groups!$B:$B,A5,Quota_Groups!$D:$D,E5)</f>
        <v/>
      </c>
      <c r="M5" s="18">
        <f>MIN(K5,L5)</f>
        <v/>
      </c>
      <c r="N5" s="12">
        <f>IF(K5&lt;=L5,"CAPACITY","QUOTA")</f>
        <v/>
      </c>
      <c r="O5" s="12">
        <f>IF(K5&lt;=0,"RESERVATION_DEFICIT",IF(L5&lt;=0,"QUOTA_DEFICIT",IF(M5&lt;I5*0.5,"READY_WITH_RISK","READY")))</f>
        <v/>
      </c>
      <c r="P5" s="12" t="inlineStr"/>
    </row>
    <row r="6">
      <c r="A6" s="12" t="inlineStr">
        <is>
          <t>West US 3</t>
        </is>
      </c>
      <c r="B6" s="12" t="inlineStr">
        <is>
          <t>US</t>
        </is>
      </c>
      <c r="C6" s="12" t="inlineStr">
        <is>
          <t>Prod</t>
        </is>
      </c>
      <c r="D6" s="12" t="inlineStr">
        <is>
          <t>Standard_E64ads_v5</t>
        </is>
      </c>
      <c r="E6" s="12">
        <f>VLOOKUP(D6,SKU_Family_Map!$A:$B,2,FALSE)</f>
        <v/>
      </c>
      <c r="F6" s="12" t="inlineStr">
        <is>
          <t>crg-pr-wus3-reg</t>
        </is>
      </c>
      <c r="G6" s="16" t="n">
        <v>64</v>
      </c>
      <c r="H6" s="16" t="n">
        <v>0</v>
      </c>
      <c r="I6" s="16" t="n">
        <v>8</v>
      </c>
      <c r="J6" s="16">
        <f>H6+I6</f>
        <v/>
      </c>
      <c r="K6" s="16">
        <f>J6-H6</f>
        <v/>
      </c>
      <c r="L6" s="16">
        <f>SUMIFS(Quota_Groups!$G:$G,Quota_Groups!$B:$B,A6,Quota_Groups!$D:$D,E6)</f>
        <v/>
      </c>
      <c r="M6" s="18">
        <f>MIN(K6,L6)</f>
        <v/>
      </c>
      <c r="N6" s="12">
        <f>IF(K6&lt;=L6,"CAPACITY","QUOTA")</f>
        <v/>
      </c>
      <c r="O6" s="12">
        <f>IF(K6&lt;=0,"RESERVATION_DEFICIT",IF(L6&lt;=0,"QUOTA_DEFICIT",IF(M6&lt;I6*0.5,"READY_WITH_RISK","READY")))</f>
        <v/>
      </c>
      <c r="P6" s="12" t="inlineStr"/>
    </row>
    <row r="7">
      <c r="A7" s="12" t="inlineStr">
        <is>
          <t>West US 3</t>
        </is>
      </c>
      <c r="B7" s="12" t="inlineStr">
        <is>
          <t>US</t>
        </is>
      </c>
      <c r="C7" s="12" t="inlineStr">
        <is>
          <t>Prod</t>
        </is>
      </c>
      <c r="D7" s="12" t="inlineStr">
        <is>
          <t>Standard_E16ads_v5</t>
        </is>
      </c>
      <c r="E7" s="12">
        <f>VLOOKUP(D7,SKU_Family_Map!$A:$B,2,FALSE)</f>
        <v/>
      </c>
      <c r="F7" s="12" t="inlineStr">
        <is>
          <t>crg-pr-wus3-reg</t>
        </is>
      </c>
      <c r="G7" s="16" t="n">
        <v>16</v>
      </c>
      <c r="H7" s="16" t="n">
        <v>0</v>
      </c>
      <c r="I7" s="16" t="n">
        <v>8</v>
      </c>
      <c r="J7" s="16">
        <f>H7+I7</f>
        <v/>
      </c>
      <c r="K7" s="16">
        <f>J7-H7</f>
        <v/>
      </c>
      <c r="L7" s="16">
        <f>SUMIFS(Quota_Groups!$G:$G,Quota_Groups!$B:$B,A7,Quota_Groups!$D:$D,E7)</f>
        <v/>
      </c>
      <c r="M7" s="18">
        <f>MIN(K7,L7)</f>
        <v/>
      </c>
      <c r="N7" s="12">
        <f>IF(K7&lt;=L7,"CAPACITY","QUOTA")</f>
        <v/>
      </c>
      <c r="O7" s="12">
        <f>IF(K7&lt;=0,"RESERVATION_DEFICIT",IF(L7&lt;=0,"QUOTA_DEFICIT",IF(M7&lt;I7*0.5,"READY_WITH_RISK","READY")))</f>
        <v/>
      </c>
      <c r="P7" s="12" t="inlineStr"/>
    </row>
    <row r="8">
      <c r="A8" s="12" t="inlineStr">
        <is>
          <t>West US 3</t>
        </is>
      </c>
      <c r="B8" s="12" t="inlineStr">
        <is>
          <t>US</t>
        </is>
      </c>
      <c r="C8" s="12" t="inlineStr">
        <is>
          <t>Prod</t>
        </is>
      </c>
      <c r="D8" s="12" t="inlineStr">
        <is>
          <t>Standard_E32ads_v6</t>
        </is>
      </c>
      <c r="E8" s="12">
        <f>VLOOKUP(D8,SKU_Family_Map!$A:$B,2,FALSE)</f>
        <v/>
      </c>
      <c r="F8" s="12" t="inlineStr">
        <is>
          <t>crg-pr-wus3-reg</t>
        </is>
      </c>
      <c r="G8" s="16" t="n">
        <v>32</v>
      </c>
      <c r="H8" s="16" t="n">
        <v>0</v>
      </c>
      <c r="I8" s="16" t="n">
        <v>8</v>
      </c>
      <c r="J8" s="16">
        <f>H8+I8</f>
        <v/>
      </c>
      <c r="K8" s="16">
        <f>J8-H8</f>
        <v/>
      </c>
      <c r="L8" s="16">
        <f>SUMIFS(Quota_Groups!$G:$G,Quota_Groups!$B:$B,A8,Quota_Groups!$D:$D,E8)</f>
        <v/>
      </c>
      <c r="M8" s="18">
        <f>MIN(K8,L8)</f>
        <v/>
      </c>
      <c r="N8" s="12">
        <f>IF(K8&lt;=L8,"CAPACITY","QUOTA")</f>
        <v/>
      </c>
      <c r="O8" s="12">
        <f>IF(K8&lt;=0,"RESERVATION_DEFICIT",IF(L8&lt;=0,"QUOTA_DEFICIT",IF(M8&lt;I8*0.5,"READY_WITH_RISK","READY")))</f>
        <v/>
      </c>
      <c r="P8" s="12" t="inlineStr"/>
    </row>
    <row r="9">
      <c r="A9" s="12" t="inlineStr">
        <is>
          <t>West US 3</t>
        </is>
      </c>
      <c r="B9" s="12" t="inlineStr">
        <is>
          <t>US</t>
        </is>
      </c>
      <c r="C9" s="12" t="inlineStr">
        <is>
          <t>Prod</t>
        </is>
      </c>
      <c r="D9" s="12" t="inlineStr">
        <is>
          <t>Standard_D8ads_v5</t>
        </is>
      </c>
      <c r="E9" s="12">
        <f>VLOOKUP(D9,SKU_Family_Map!$A:$B,2,FALSE)</f>
        <v/>
      </c>
      <c r="F9" s="12" t="inlineStr">
        <is>
          <t>crg-pr-wus3-reg</t>
        </is>
      </c>
      <c r="G9" s="16" t="n">
        <v>8</v>
      </c>
      <c r="H9" s="16" t="n">
        <v>0</v>
      </c>
      <c r="I9" s="16" t="n">
        <v>8</v>
      </c>
      <c r="J9" s="16">
        <f>H9+I9</f>
        <v/>
      </c>
      <c r="K9" s="16">
        <f>J9-H9</f>
        <v/>
      </c>
      <c r="L9" s="16">
        <f>SUMIFS(Quota_Groups!$G:$G,Quota_Groups!$B:$B,A9,Quota_Groups!$D:$D,E9)</f>
        <v/>
      </c>
      <c r="M9" s="18">
        <f>MIN(K9,L9)</f>
        <v/>
      </c>
      <c r="N9" s="12">
        <f>IF(K9&lt;=L9,"CAPACITY","QUOTA")</f>
        <v/>
      </c>
      <c r="O9" s="12">
        <f>IF(K9&lt;=0,"RESERVATION_DEFICIT",IF(L9&lt;=0,"QUOTA_DEFICIT",IF(M9&lt;I9*0.5,"READY_WITH_RISK","READY")))</f>
        <v/>
      </c>
      <c r="P9" s="12" t="inlineStr"/>
    </row>
    <row r="10">
      <c r="A10" s="12" t="inlineStr">
        <is>
          <t>West US 3</t>
        </is>
      </c>
      <c r="B10" s="12" t="inlineStr">
        <is>
          <t>US</t>
        </is>
      </c>
      <c r="C10" s="12" t="inlineStr">
        <is>
          <t>Prod</t>
        </is>
      </c>
      <c r="D10" s="12" t="inlineStr">
        <is>
          <t>Standard_D16ads_v5</t>
        </is>
      </c>
      <c r="E10" s="12">
        <f>VLOOKUP(D10,SKU_Family_Map!$A:$B,2,FALSE)</f>
        <v/>
      </c>
      <c r="F10" s="12" t="inlineStr">
        <is>
          <t>crg-pr-wus3-reg</t>
        </is>
      </c>
      <c r="G10" s="16" t="n">
        <v>16</v>
      </c>
      <c r="H10" s="16" t="n">
        <v>0</v>
      </c>
      <c r="I10" s="16" t="n">
        <v>8</v>
      </c>
      <c r="J10" s="16">
        <f>H10+I10</f>
        <v/>
      </c>
      <c r="K10" s="16">
        <f>J10-H10</f>
        <v/>
      </c>
      <c r="L10" s="16">
        <f>SUMIFS(Quota_Groups!$G:$G,Quota_Groups!$B:$B,A10,Quota_Groups!$D:$D,E10)</f>
        <v/>
      </c>
      <c r="M10" s="18">
        <f>MIN(K10,L10)</f>
        <v/>
      </c>
      <c r="N10" s="12">
        <f>IF(K10&lt;=L10,"CAPACITY","QUOTA")</f>
        <v/>
      </c>
      <c r="O10" s="12">
        <f>IF(K10&lt;=0,"RESERVATION_DEFICIT",IF(L10&lt;=0,"QUOTA_DEFICIT",IF(M10&lt;I10*0.5,"READY_WITH_RISK","READY")))</f>
        <v/>
      </c>
      <c r="P10" s="12" t="inlineStr"/>
    </row>
    <row r="11">
      <c r="A11" s="12" t="inlineStr">
        <is>
          <t>West US 3</t>
        </is>
      </c>
      <c r="B11" s="12" t="inlineStr">
        <is>
          <t>US</t>
        </is>
      </c>
      <c r="C11" s="12" t="inlineStr">
        <is>
          <t>Prod</t>
        </is>
      </c>
      <c r="D11" s="12" t="inlineStr">
        <is>
          <t>Standard_D8as_v5</t>
        </is>
      </c>
      <c r="E11" s="12">
        <f>VLOOKUP(D11,SKU_Family_Map!$A:$B,2,FALSE)</f>
        <v/>
      </c>
      <c r="F11" s="12" t="inlineStr">
        <is>
          <t>crg-pr-wus3-reg</t>
        </is>
      </c>
      <c r="G11" s="16" t="n">
        <v>8</v>
      </c>
      <c r="H11" s="16" t="n">
        <v>0</v>
      </c>
      <c r="I11" s="16" t="n">
        <v>8</v>
      </c>
      <c r="J11" s="16">
        <f>H11+I11</f>
        <v/>
      </c>
      <c r="K11" s="16">
        <f>J11-H11</f>
        <v/>
      </c>
      <c r="L11" s="16">
        <f>SUMIFS(Quota_Groups!$G:$G,Quota_Groups!$B:$B,A11,Quota_Groups!$D:$D,E11)</f>
        <v/>
      </c>
      <c r="M11" s="18">
        <f>MIN(K11,L11)</f>
        <v/>
      </c>
      <c r="N11" s="12">
        <f>IF(K11&lt;=L11,"CAPACITY","QUOTA")</f>
        <v/>
      </c>
      <c r="O11" s="12">
        <f>IF(K11&lt;=0,"RESERVATION_DEFICIT",IF(L11&lt;=0,"QUOTA_DEFICIT",IF(M11&lt;I11*0.5,"READY_WITH_RISK","READY")))</f>
        <v/>
      </c>
      <c r="P11" s="12" t="inlineStr"/>
    </row>
    <row r="12">
      <c r="A12" s="12" t="inlineStr">
        <is>
          <t>West US 3</t>
        </is>
      </c>
      <c r="B12" s="12" t="inlineStr">
        <is>
          <t>US</t>
        </is>
      </c>
      <c r="C12" s="12" t="inlineStr">
        <is>
          <t>Prod</t>
        </is>
      </c>
      <c r="D12" s="12" t="inlineStr">
        <is>
          <t>Standard_D16as_v5</t>
        </is>
      </c>
      <c r="E12" s="12">
        <f>VLOOKUP(D12,SKU_Family_Map!$A:$B,2,FALSE)</f>
        <v/>
      </c>
      <c r="F12" s="12" t="inlineStr">
        <is>
          <t>crg-pr-wus3-reg</t>
        </is>
      </c>
      <c r="G12" s="16" t="n">
        <v>16</v>
      </c>
      <c r="H12" s="16" t="n">
        <v>0</v>
      </c>
      <c r="I12" s="16" t="n">
        <v>8</v>
      </c>
      <c r="J12" s="16">
        <f>H12+I12</f>
        <v/>
      </c>
      <c r="K12" s="16">
        <f>J12-H12</f>
        <v/>
      </c>
      <c r="L12" s="16">
        <f>SUMIFS(Quota_Groups!$G:$G,Quota_Groups!$B:$B,A12,Quota_Groups!$D:$D,E12)</f>
        <v/>
      </c>
      <c r="M12" s="18">
        <f>MIN(K12,L12)</f>
        <v/>
      </c>
      <c r="N12" s="12">
        <f>IF(K12&lt;=L12,"CAPACITY","QUOTA")</f>
        <v/>
      </c>
      <c r="O12" s="12">
        <f>IF(K12&lt;=0,"RESERVATION_DEFICIT",IF(L12&lt;=0,"QUOTA_DEFICIT",IF(M12&lt;I12*0.5,"READY_WITH_RISK","READY")))</f>
        <v/>
      </c>
      <c r="P12" s="12" t="inlineStr"/>
    </row>
    <row r="13">
      <c r="A13" s="12" t="inlineStr">
        <is>
          <t>West US 3</t>
        </is>
      </c>
      <c r="B13" s="12" t="inlineStr">
        <is>
          <t>US</t>
        </is>
      </c>
      <c r="C13" s="12" t="inlineStr">
        <is>
          <t>NonProd</t>
        </is>
      </c>
      <c r="D13" s="12" t="inlineStr">
        <is>
          <t>Standard_E32ads_v5</t>
        </is>
      </c>
      <c r="E13" s="12">
        <f>VLOOKUP(D13,SKU_Family_Map!$A:$B,2,FALSE)</f>
        <v/>
      </c>
      <c r="F13" s="12" t="inlineStr">
        <is>
          <t>crg-np-wus3-reg</t>
        </is>
      </c>
      <c r="G13" s="16" t="n">
        <v>32</v>
      </c>
      <c r="H13" s="16" t="n">
        <v>0</v>
      </c>
      <c r="I13" s="16" t="n">
        <v>8</v>
      </c>
      <c r="J13" s="16">
        <f>H13+I13</f>
        <v/>
      </c>
      <c r="K13" s="16">
        <f>J13-H13</f>
        <v/>
      </c>
      <c r="L13" s="16">
        <f>SUMIFS(Quota_Groups!$G:$G,Quota_Groups!$B:$B,A13,Quota_Groups!$D:$D,E13)</f>
        <v/>
      </c>
      <c r="M13" s="18">
        <f>MIN(K13,L13)</f>
        <v/>
      </c>
      <c r="N13" s="12">
        <f>IF(K13&lt;=L13,"CAPACITY","QUOTA")</f>
        <v/>
      </c>
      <c r="O13" s="12">
        <f>IF(K13&lt;=0,"RESERVATION_DEFICIT",IF(L13&lt;=0,"QUOTA_DEFICIT",IF(M13&lt;I13*0.5,"READY_WITH_RISK","READY")))</f>
        <v/>
      </c>
      <c r="P13" s="12" t="inlineStr"/>
    </row>
    <row r="14">
      <c r="A14" s="12" t="inlineStr">
        <is>
          <t>West US 3</t>
        </is>
      </c>
      <c r="B14" s="12" t="inlineStr">
        <is>
          <t>US</t>
        </is>
      </c>
      <c r="C14" s="12" t="inlineStr">
        <is>
          <t>NonProd</t>
        </is>
      </c>
      <c r="D14" s="12" t="inlineStr">
        <is>
          <t>Standard_E64ads_v5</t>
        </is>
      </c>
      <c r="E14" s="12">
        <f>VLOOKUP(D14,SKU_Family_Map!$A:$B,2,FALSE)</f>
        <v/>
      </c>
      <c r="F14" s="12" t="inlineStr">
        <is>
          <t>crg-np-wus3-reg</t>
        </is>
      </c>
      <c r="G14" s="16" t="n">
        <v>64</v>
      </c>
      <c r="H14" s="16" t="n">
        <v>0</v>
      </c>
      <c r="I14" s="16" t="n">
        <v>8</v>
      </c>
      <c r="J14" s="16">
        <f>H14+I14</f>
        <v/>
      </c>
      <c r="K14" s="16">
        <f>J14-H14</f>
        <v/>
      </c>
      <c r="L14" s="16">
        <f>SUMIFS(Quota_Groups!$G:$G,Quota_Groups!$B:$B,A14,Quota_Groups!$D:$D,E14)</f>
        <v/>
      </c>
      <c r="M14" s="18">
        <f>MIN(K14,L14)</f>
        <v/>
      </c>
      <c r="N14" s="12">
        <f>IF(K14&lt;=L14,"CAPACITY","QUOTA")</f>
        <v/>
      </c>
      <c r="O14" s="12">
        <f>IF(K14&lt;=0,"RESERVATION_DEFICIT",IF(L14&lt;=0,"QUOTA_DEFICIT",IF(M14&lt;I14*0.5,"READY_WITH_RISK","READY")))</f>
        <v/>
      </c>
      <c r="P14" s="12" t="inlineStr"/>
    </row>
    <row r="15">
      <c r="A15" s="12" t="inlineStr">
        <is>
          <t>West US 3</t>
        </is>
      </c>
      <c r="B15" s="12" t="inlineStr">
        <is>
          <t>US</t>
        </is>
      </c>
      <c r="C15" s="12" t="inlineStr">
        <is>
          <t>NonProd</t>
        </is>
      </c>
      <c r="D15" s="12" t="inlineStr">
        <is>
          <t>Standard_E16ads_v5</t>
        </is>
      </c>
      <c r="E15" s="12">
        <f>VLOOKUP(D15,SKU_Family_Map!$A:$B,2,FALSE)</f>
        <v/>
      </c>
      <c r="F15" s="12" t="inlineStr">
        <is>
          <t>crg-np-wus3-reg</t>
        </is>
      </c>
      <c r="G15" s="16" t="n">
        <v>16</v>
      </c>
      <c r="H15" s="16" t="n">
        <v>0</v>
      </c>
      <c r="I15" s="16" t="n">
        <v>8</v>
      </c>
      <c r="J15" s="16">
        <f>H15+I15</f>
        <v/>
      </c>
      <c r="K15" s="16">
        <f>J15-H15</f>
        <v/>
      </c>
      <c r="L15" s="16">
        <f>SUMIFS(Quota_Groups!$G:$G,Quota_Groups!$B:$B,A15,Quota_Groups!$D:$D,E15)</f>
        <v/>
      </c>
      <c r="M15" s="18">
        <f>MIN(K15,L15)</f>
        <v/>
      </c>
      <c r="N15" s="12">
        <f>IF(K15&lt;=L15,"CAPACITY","QUOTA")</f>
        <v/>
      </c>
      <c r="O15" s="12">
        <f>IF(K15&lt;=0,"RESERVATION_DEFICIT",IF(L15&lt;=0,"QUOTA_DEFICIT",IF(M15&lt;I15*0.5,"READY_WITH_RISK","READY")))</f>
        <v/>
      </c>
      <c r="P15" s="12" t="inlineStr"/>
    </row>
    <row r="16">
      <c r="A16" s="12" t="inlineStr">
        <is>
          <t>West US 3</t>
        </is>
      </c>
      <c r="B16" s="12" t="inlineStr">
        <is>
          <t>US</t>
        </is>
      </c>
      <c r="C16" s="12" t="inlineStr">
        <is>
          <t>NonProd</t>
        </is>
      </c>
      <c r="D16" s="12" t="inlineStr">
        <is>
          <t>Standard_E32ads_v6</t>
        </is>
      </c>
      <c r="E16" s="12">
        <f>VLOOKUP(D16,SKU_Family_Map!$A:$B,2,FALSE)</f>
        <v/>
      </c>
      <c r="F16" s="12" t="inlineStr">
        <is>
          <t>crg-np-wus3-reg</t>
        </is>
      </c>
      <c r="G16" s="16" t="n">
        <v>32</v>
      </c>
      <c r="H16" s="16" t="n">
        <v>0</v>
      </c>
      <c r="I16" s="16" t="n">
        <v>8</v>
      </c>
      <c r="J16" s="16">
        <f>H16+I16</f>
        <v/>
      </c>
      <c r="K16" s="16">
        <f>J16-H16</f>
        <v/>
      </c>
      <c r="L16" s="16">
        <f>SUMIFS(Quota_Groups!$G:$G,Quota_Groups!$B:$B,A16,Quota_Groups!$D:$D,E16)</f>
        <v/>
      </c>
      <c r="M16" s="18">
        <f>MIN(K16,L16)</f>
        <v/>
      </c>
      <c r="N16" s="12">
        <f>IF(K16&lt;=L16,"CAPACITY","QUOTA")</f>
        <v/>
      </c>
      <c r="O16" s="12">
        <f>IF(K16&lt;=0,"RESERVATION_DEFICIT",IF(L16&lt;=0,"QUOTA_DEFICIT",IF(M16&lt;I16*0.5,"READY_WITH_RISK","READY")))</f>
        <v/>
      </c>
      <c r="P16" s="12" t="inlineStr"/>
    </row>
    <row r="17">
      <c r="A17" s="12" t="inlineStr">
        <is>
          <t>West US 3</t>
        </is>
      </c>
      <c r="B17" s="12" t="inlineStr">
        <is>
          <t>US</t>
        </is>
      </c>
      <c r="C17" s="12" t="inlineStr">
        <is>
          <t>NonProd</t>
        </is>
      </c>
      <c r="D17" s="12" t="inlineStr">
        <is>
          <t>Standard_D8ads_v5</t>
        </is>
      </c>
      <c r="E17" s="12">
        <f>VLOOKUP(D17,SKU_Family_Map!$A:$B,2,FALSE)</f>
        <v/>
      </c>
      <c r="F17" s="12" t="inlineStr">
        <is>
          <t>crg-np-wus3-reg</t>
        </is>
      </c>
      <c r="G17" s="16" t="n">
        <v>8</v>
      </c>
      <c r="H17" s="16" t="n">
        <v>0</v>
      </c>
      <c r="I17" s="16" t="n">
        <v>8</v>
      </c>
      <c r="J17" s="16">
        <f>H17+I17</f>
        <v/>
      </c>
      <c r="K17" s="16">
        <f>J17-H17</f>
        <v/>
      </c>
      <c r="L17" s="16">
        <f>SUMIFS(Quota_Groups!$G:$G,Quota_Groups!$B:$B,A17,Quota_Groups!$D:$D,E17)</f>
        <v/>
      </c>
      <c r="M17" s="18">
        <f>MIN(K17,L17)</f>
        <v/>
      </c>
      <c r="N17" s="12">
        <f>IF(K17&lt;=L17,"CAPACITY","QUOTA")</f>
        <v/>
      </c>
      <c r="O17" s="12">
        <f>IF(K17&lt;=0,"RESERVATION_DEFICIT",IF(L17&lt;=0,"QUOTA_DEFICIT",IF(M17&lt;I17*0.5,"READY_WITH_RISK","READY")))</f>
        <v/>
      </c>
      <c r="P17" s="12" t="inlineStr"/>
    </row>
    <row r="18">
      <c r="A18" s="12" t="inlineStr">
        <is>
          <t>West US 3</t>
        </is>
      </c>
      <c r="B18" s="12" t="inlineStr">
        <is>
          <t>US</t>
        </is>
      </c>
      <c r="C18" s="12" t="inlineStr">
        <is>
          <t>NonProd</t>
        </is>
      </c>
      <c r="D18" s="12" t="inlineStr">
        <is>
          <t>Standard_D16ads_v5</t>
        </is>
      </c>
      <c r="E18" s="12">
        <f>VLOOKUP(D18,SKU_Family_Map!$A:$B,2,FALSE)</f>
        <v/>
      </c>
      <c r="F18" s="12" t="inlineStr">
        <is>
          <t>crg-np-wus3-reg</t>
        </is>
      </c>
      <c r="G18" s="16" t="n">
        <v>16</v>
      </c>
      <c r="H18" s="16" t="n">
        <v>0</v>
      </c>
      <c r="I18" s="16" t="n">
        <v>8</v>
      </c>
      <c r="J18" s="16">
        <f>H18+I18</f>
        <v/>
      </c>
      <c r="K18" s="16">
        <f>J18-H18</f>
        <v/>
      </c>
      <c r="L18" s="16">
        <f>SUMIFS(Quota_Groups!$G:$G,Quota_Groups!$B:$B,A18,Quota_Groups!$D:$D,E18)</f>
        <v/>
      </c>
      <c r="M18" s="18">
        <f>MIN(K18,L18)</f>
        <v/>
      </c>
      <c r="N18" s="12">
        <f>IF(K18&lt;=L18,"CAPACITY","QUOTA")</f>
        <v/>
      </c>
      <c r="O18" s="12">
        <f>IF(K18&lt;=0,"RESERVATION_DEFICIT",IF(L18&lt;=0,"QUOTA_DEFICIT",IF(M18&lt;I18*0.5,"READY_WITH_RISK","READY")))</f>
        <v/>
      </c>
      <c r="P18" s="12" t="inlineStr"/>
    </row>
    <row r="19">
      <c r="A19" s="12" t="inlineStr">
        <is>
          <t>West US 3</t>
        </is>
      </c>
      <c r="B19" s="12" t="inlineStr">
        <is>
          <t>US</t>
        </is>
      </c>
      <c r="C19" s="12" t="inlineStr">
        <is>
          <t>NonProd</t>
        </is>
      </c>
      <c r="D19" s="12" t="inlineStr">
        <is>
          <t>Standard_D8as_v5</t>
        </is>
      </c>
      <c r="E19" s="12">
        <f>VLOOKUP(D19,SKU_Family_Map!$A:$B,2,FALSE)</f>
        <v/>
      </c>
      <c r="F19" s="12" t="inlineStr">
        <is>
          <t>crg-np-wus3-reg</t>
        </is>
      </c>
      <c r="G19" s="16" t="n">
        <v>8</v>
      </c>
      <c r="H19" s="16" t="n">
        <v>0</v>
      </c>
      <c r="I19" s="16" t="n">
        <v>8</v>
      </c>
      <c r="J19" s="16">
        <f>H19+I19</f>
        <v/>
      </c>
      <c r="K19" s="16">
        <f>J19-H19</f>
        <v/>
      </c>
      <c r="L19" s="16">
        <f>SUMIFS(Quota_Groups!$G:$G,Quota_Groups!$B:$B,A19,Quota_Groups!$D:$D,E19)</f>
        <v/>
      </c>
      <c r="M19" s="18">
        <f>MIN(K19,L19)</f>
        <v/>
      </c>
      <c r="N19" s="12">
        <f>IF(K19&lt;=L19,"CAPACITY","QUOTA")</f>
        <v/>
      </c>
      <c r="O19" s="12">
        <f>IF(K19&lt;=0,"RESERVATION_DEFICIT",IF(L19&lt;=0,"QUOTA_DEFICIT",IF(M19&lt;I19*0.5,"READY_WITH_RISK","READY")))</f>
        <v/>
      </c>
      <c r="P19" s="12" t="inlineStr"/>
    </row>
    <row r="20">
      <c r="A20" s="12" t="inlineStr">
        <is>
          <t>West US 3</t>
        </is>
      </c>
      <c r="B20" s="12" t="inlineStr">
        <is>
          <t>US</t>
        </is>
      </c>
      <c r="C20" s="12" t="inlineStr">
        <is>
          <t>NonProd</t>
        </is>
      </c>
      <c r="D20" s="12" t="inlineStr">
        <is>
          <t>Standard_D16as_v5</t>
        </is>
      </c>
      <c r="E20" s="12">
        <f>VLOOKUP(D20,SKU_Family_Map!$A:$B,2,FALSE)</f>
        <v/>
      </c>
      <c r="F20" s="12" t="inlineStr">
        <is>
          <t>crg-np-wus3-reg</t>
        </is>
      </c>
      <c r="G20" s="16" t="n">
        <v>16</v>
      </c>
      <c r="H20" s="16" t="n">
        <v>0</v>
      </c>
      <c r="I20" s="16" t="n">
        <v>8</v>
      </c>
      <c r="J20" s="16">
        <f>H20+I20</f>
        <v/>
      </c>
      <c r="K20" s="16">
        <f>J20-H20</f>
        <v/>
      </c>
      <c r="L20" s="16">
        <f>SUMIFS(Quota_Groups!$G:$G,Quota_Groups!$B:$B,A20,Quota_Groups!$D:$D,E20)</f>
        <v/>
      </c>
      <c r="M20" s="18">
        <f>MIN(K20,L20)</f>
        <v/>
      </c>
      <c r="N20" s="12">
        <f>IF(K20&lt;=L20,"CAPACITY","QUOTA")</f>
        <v/>
      </c>
      <c r="O20" s="12">
        <f>IF(K20&lt;=0,"RESERVATION_DEFICIT",IF(L20&lt;=0,"QUOTA_DEFICIT",IF(M20&lt;I20*0.5,"READY_WITH_RISK","READY")))</f>
        <v/>
      </c>
      <c r="P20" s="12" t="inlineStr"/>
    </row>
    <row r="21">
      <c r="A21" s="12" t="inlineStr">
        <is>
          <t>West US 3</t>
        </is>
      </c>
      <c r="B21" s="12" t="inlineStr">
        <is>
          <t>US</t>
        </is>
      </c>
      <c r="C21" s="12" t="inlineStr">
        <is>
          <t>DR</t>
        </is>
      </c>
      <c r="D21" s="12" t="inlineStr">
        <is>
          <t>Standard_E32ads_v5</t>
        </is>
      </c>
      <c r="E21" s="12">
        <f>VLOOKUP(D21,SKU_Family_Map!$A:$B,2,FALSE)</f>
        <v/>
      </c>
      <c r="F21" s="12" t="inlineStr">
        <is>
          <t>crg-dr-wus3-reg</t>
        </is>
      </c>
      <c r="G21" s="16" t="n">
        <v>32</v>
      </c>
      <c r="H21" s="16" t="n">
        <v>0</v>
      </c>
      <c r="I21" s="16" t="n">
        <v>8</v>
      </c>
      <c r="J21" s="16">
        <f>H21+I21</f>
        <v/>
      </c>
      <c r="K21" s="16">
        <f>J21-H21</f>
        <v/>
      </c>
      <c r="L21" s="16">
        <f>SUMIFS(Quota_Groups!$G:$G,Quota_Groups!$B:$B,A21,Quota_Groups!$D:$D,E21)</f>
        <v/>
      </c>
      <c r="M21" s="18">
        <f>MIN(K21,L21)</f>
        <v/>
      </c>
      <c r="N21" s="12">
        <f>IF(K21&lt;=L21,"CAPACITY","QUOTA")</f>
        <v/>
      </c>
      <c r="O21" s="12">
        <f>IF(K21&lt;=0,"RESERVATION_DEFICIT",IF(L21&lt;=0,"QUOTA_DEFICIT",IF(M21&lt;I21*0.5,"READY_WITH_RISK","READY")))</f>
        <v/>
      </c>
      <c r="P21" s="12" t="inlineStr"/>
    </row>
    <row r="22">
      <c r="A22" s="12" t="inlineStr">
        <is>
          <t>West US 3</t>
        </is>
      </c>
      <c r="B22" s="12" t="inlineStr">
        <is>
          <t>US</t>
        </is>
      </c>
      <c r="C22" s="12" t="inlineStr">
        <is>
          <t>DR</t>
        </is>
      </c>
      <c r="D22" s="12" t="inlineStr">
        <is>
          <t>Standard_E64ads_v5</t>
        </is>
      </c>
      <c r="E22" s="12">
        <f>VLOOKUP(D22,SKU_Family_Map!$A:$B,2,FALSE)</f>
        <v/>
      </c>
      <c r="F22" s="12" t="inlineStr">
        <is>
          <t>crg-dr-wus3-reg</t>
        </is>
      </c>
      <c r="G22" s="16" t="n">
        <v>64</v>
      </c>
      <c r="H22" s="16" t="n">
        <v>0</v>
      </c>
      <c r="I22" s="16" t="n">
        <v>8</v>
      </c>
      <c r="J22" s="16">
        <f>H22+I22</f>
        <v/>
      </c>
      <c r="K22" s="16">
        <f>J22-H22</f>
        <v/>
      </c>
      <c r="L22" s="16">
        <f>SUMIFS(Quota_Groups!$G:$G,Quota_Groups!$B:$B,A22,Quota_Groups!$D:$D,E22)</f>
        <v/>
      </c>
      <c r="M22" s="18">
        <f>MIN(K22,L22)</f>
        <v/>
      </c>
      <c r="N22" s="12">
        <f>IF(K22&lt;=L22,"CAPACITY","QUOTA")</f>
        <v/>
      </c>
      <c r="O22" s="12">
        <f>IF(K22&lt;=0,"RESERVATION_DEFICIT",IF(L22&lt;=0,"QUOTA_DEFICIT",IF(M22&lt;I22*0.5,"READY_WITH_RISK","READY")))</f>
        <v/>
      </c>
      <c r="P22" s="12" t="inlineStr"/>
    </row>
    <row r="23">
      <c r="A23" s="12" t="inlineStr">
        <is>
          <t>West US 3</t>
        </is>
      </c>
      <c r="B23" s="12" t="inlineStr">
        <is>
          <t>US</t>
        </is>
      </c>
      <c r="C23" s="12" t="inlineStr">
        <is>
          <t>DR</t>
        </is>
      </c>
      <c r="D23" s="12" t="inlineStr">
        <is>
          <t>Standard_E16ads_v5</t>
        </is>
      </c>
      <c r="E23" s="12">
        <f>VLOOKUP(D23,SKU_Family_Map!$A:$B,2,FALSE)</f>
        <v/>
      </c>
      <c r="F23" s="12" t="inlineStr">
        <is>
          <t>crg-dr-wus3-reg</t>
        </is>
      </c>
      <c r="G23" s="16" t="n">
        <v>16</v>
      </c>
      <c r="H23" s="16" t="n">
        <v>0</v>
      </c>
      <c r="I23" s="16" t="n">
        <v>8</v>
      </c>
      <c r="J23" s="16">
        <f>H23+I23</f>
        <v/>
      </c>
      <c r="K23" s="16">
        <f>J23-H23</f>
        <v/>
      </c>
      <c r="L23" s="16">
        <f>SUMIFS(Quota_Groups!$G:$G,Quota_Groups!$B:$B,A23,Quota_Groups!$D:$D,E23)</f>
        <v/>
      </c>
      <c r="M23" s="18">
        <f>MIN(K23,L23)</f>
        <v/>
      </c>
      <c r="N23" s="12">
        <f>IF(K23&lt;=L23,"CAPACITY","QUOTA")</f>
        <v/>
      </c>
      <c r="O23" s="12">
        <f>IF(K23&lt;=0,"RESERVATION_DEFICIT",IF(L23&lt;=0,"QUOTA_DEFICIT",IF(M23&lt;I23*0.5,"READY_WITH_RISK","READY")))</f>
        <v/>
      </c>
      <c r="P23" s="12" t="inlineStr"/>
    </row>
    <row r="24">
      <c r="A24" s="12" t="inlineStr">
        <is>
          <t>West US 3</t>
        </is>
      </c>
      <c r="B24" s="12" t="inlineStr">
        <is>
          <t>US</t>
        </is>
      </c>
      <c r="C24" s="12" t="inlineStr">
        <is>
          <t>DR</t>
        </is>
      </c>
      <c r="D24" s="12" t="inlineStr">
        <is>
          <t>Standard_E32ads_v6</t>
        </is>
      </c>
      <c r="E24" s="12">
        <f>VLOOKUP(D24,SKU_Family_Map!$A:$B,2,FALSE)</f>
        <v/>
      </c>
      <c r="F24" s="12" t="inlineStr">
        <is>
          <t>crg-dr-wus3-reg</t>
        </is>
      </c>
      <c r="G24" s="16" t="n">
        <v>32</v>
      </c>
      <c r="H24" s="16" t="n">
        <v>0</v>
      </c>
      <c r="I24" s="16" t="n">
        <v>8</v>
      </c>
      <c r="J24" s="16">
        <f>H24+I24</f>
        <v/>
      </c>
      <c r="K24" s="16">
        <f>J24-H24</f>
        <v/>
      </c>
      <c r="L24" s="16">
        <f>SUMIFS(Quota_Groups!$G:$G,Quota_Groups!$B:$B,A24,Quota_Groups!$D:$D,E24)</f>
        <v/>
      </c>
      <c r="M24" s="18">
        <f>MIN(K24,L24)</f>
        <v/>
      </c>
      <c r="N24" s="12">
        <f>IF(K24&lt;=L24,"CAPACITY","QUOTA")</f>
        <v/>
      </c>
      <c r="O24" s="12">
        <f>IF(K24&lt;=0,"RESERVATION_DEFICIT",IF(L24&lt;=0,"QUOTA_DEFICIT",IF(M24&lt;I24*0.5,"READY_WITH_RISK","READY")))</f>
        <v/>
      </c>
      <c r="P24" s="12" t="inlineStr"/>
    </row>
    <row r="25">
      <c r="A25" s="12" t="inlineStr">
        <is>
          <t>West US 3</t>
        </is>
      </c>
      <c r="B25" s="12" t="inlineStr">
        <is>
          <t>US</t>
        </is>
      </c>
      <c r="C25" s="12" t="inlineStr">
        <is>
          <t>DR</t>
        </is>
      </c>
      <c r="D25" s="12" t="inlineStr">
        <is>
          <t>Standard_D8ads_v5</t>
        </is>
      </c>
      <c r="E25" s="12">
        <f>VLOOKUP(D25,SKU_Family_Map!$A:$B,2,FALSE)</f>
        <v/>
      </c>
      <c r="F25" s="12" t="inlineStr">
        <is>
          <t>crg-dr-wus3-reg</t>
        </is>
      </c>
      <c r="G25" s="16" t="n">
        <v>8</v>
      </c>
      <c r="H25" s="16" t="n">
        <v>0</v>
      </c>
      <c r="I25" s="16" t="n">
        <v>8</v>
      </c>
      <c r="J25" s="16">
        <f>H25+I25</f>
        <v/>
      </c>
      <c r="K25" s="16">
        <f>J25-H25</f>
        <v/>
      </c>
      <c r="L25" s="16">
        <f>SUMIFS(Quota_Groups!$G:$G,Quota_Groups!$B:$B,A25,Quota_Groups!$D:$D,E25)</f>
        <v/>
      </c>
      <c r="M25" s="18">
        <f>MIN(K25,L25)</f>
        <v/>
      </c>
      <c r="N25" s="12">
        <f>IF(K25&lt;=L25,"CAPACITY","QUOTA")</f>
        <v/>
      </c>
      <c r="O25" s="12">
        <f>IF(K25&lt;=0,"RESERVATION_DEFICIT",IF(L25&lt;=0,"QUOTA_DEFICIT",IF(M25&lt;I25*0.5,"READY_WITH_RISK","READY")))</f>
        <v/>
      </c>
      <c r="P25" s="12" t="inlineStr"/>
    </row>
    <row r="26">
      <c r="A26" s="12" t="inlineStr">
        <is>
          <t>West US 3</t>
        </is>
      </c>
      <c r="B26" s="12" t="inlineStr">
        <is>
          <t>US</t>
        </is>
      </c>
      <c r="C26" s="12" t="inlineStr">
        <is>
          <t>DR</t>
        </is>
      </c>
      <c r="D26" s="12" t="inlineStr">
        <is>
          <t>Standard_D16ads_v5</t>
        </is>
      </c>
      <c r="E26" s="12">
        <f>VLOOKUP(D26,SKU_Family_Map!$A:$B,2,FALSE)</f>
        <v/>
      </c>
      <c r="F26" s="12" t="inlineStr">
        <is>
          <t>crg-dr-wus3-reg</t>
        </is>
      </c>
      <c r="G26" s="16" t="n">
        <v>16</v>
      </c>
      <c r="H26" s="16" t="n">
        <v>0</v>
      </c>
      <c r="I26" s="16" t="n">
        <v>8</v>
      </c>
      <c r="J26" s="16">
        <f>H26+I26</f>
        <v/>
      </c>
      <c r="K26" s="16">
        <f>J26-H26</f>
        <v/>
      </c>
      <c r="L26" s="16">
        <f>SUMIFS(Quota_Groups!$G:$G,Quota_Groups!$B:$B,A26,Quota_Groups!$D:$D,E26)</f>
        <v/>
      </c>
      <c r="M26" s="18">
        <f>MIN(K26,L26)</f>
        <v/>
      </c>
      <c r="N26" s="12">
        <f>IF(K26&lt;=L26,"CAPACITY","QUOTA")</f>
        <v/>
      </c>
      <c r="O26" s="12">
        <f>IF(K26&lt;=0,"RESERVATION_DEFICIT",IF(L26&lt;=0,"QUOTA_DEFICIT",IF(M26&lt;I26*0.5,"READY_WITH_RISK","READY")))</f>
        <v/>
      </c>
      <c r="P26" s="12" t="inlineStr"/>
    </row>
    <row r="27">
      <c r="A27" s="12" t="inlineStr">
        <is>
          <t>West US 3</t>
        </is>
      </c>
      <c r="B27" s="12" t="inlineStr">
        <is>
          <t>US</t>
        </is>
      </c>
      <c r="C27" s="12" t="inlineStr">
        <is>
          <t>DR</t>
        </is>
      </c>
      <c r="D27" s="12" t="inlineStr">
        <is>
          <t>Standard_D8as_v5</t>
        </is>
      </c>
      <c r="E27" s="12">
        <f>VLOOKUP(D27,SKU_Family_Map!$A:$B,2,FALSE)</f>
        <v/>
      </c>
      <c r="F27" s="12" t="inlineStr">
        <is>
          <t>crg-dr-wus3-reg</t>
        </is>
      </c>
      <c r="G27" s="16" t="n">
        <v>8</v>
      </c>
      <c r="H27" s="16" t="n">
        <v>0</v>
      </c>
      <c r="I27" s="16" t="n">
        <v>8</v>
      </c>
      <c r="J27" s="16">
        <f>H27+I27</f>
        <v/>
      </c>
      <c r="K27" s="16">
        <f>J27-H27</f>
        <v/>
      </c>
      <c r="L27" s="16">
        <f>SUMIFS(Quota_Groups!$G:$G,Quota_Groups!$B:$B,A27,Quota_Groups!$D:$D,E27)</f>
        <v/>
      </c>
      <c r="M27" s="18">
        <f>MIN(K27,L27)</f>
        <v/>
      </c>
      <c r="N27" s="12">
        <f>IF(K27&lt;=L27,"CAPACITY","QUOTA")</f>
        <v/>
      </c>
      <c r="O27" s="12">
        <f>IF(K27&lt;=0,"RESERVATION_DEFICIT",IF(L27&lt;=0,"QUOTA_DEFICIT",IF(M27&lt;I27*0.5,"READY_WITH_RISK","READY")))</f>
        <v/>
      </c>
      <c r="P27" s="12" t="inlineStr"/>
    </row>
    <row r="28">
      <c r="A28" s="12" t="inlineStr">
        <is>
          <t>West US 3</t>
        </is>
      </c>
      <c r="B28" s="12" t="inlineStr">
        <is>
          <t>US</t>
        </is>
      </c>
      <c r="C28" s="12" t="inlineStr">
        <is>
          <t>DR</t>
        </is>
      </c>
      <c r="D28" s="12" t="inlineStr">
        <is>
          <t>Standard_D16as_v5</t>
        </is>
      </c>
      <c r="E28" s="12">
        <f>VLOOKUP(D28,SKU_Family_Map!$A:$B,2,FALSE)</f>
        <v/>
      </c>
      <c r="F28" s="12" t="inlineStr">
        <is>
          <t>crg-dr-wus3-reg</t>
        </is>
      </c>
      <c r="G28" s="16" t="n">
        <v>16</v>
      </c>
      <c r="H28" s="16" t="n">
        <v>0</v>
      </c>
      <c r="I28" s="16" t="n">
        <v>8</v>
      </c>
      <c r="J28" s="16">
        <f>H28+I28</f>
        <v/>
      </c>
      <c r="K28" s="16">
        <f>J28-H28</f>
        <v/>
      </c>
      <c r="L28" s="16">
        <f>SUMIFS(Quota_Groups!$G:$G,Quota_Groups!$B:$B,A28,Quota_Groups!$D:$D,E28)</f>
        <v/>
      </c>
      <c r="M28" s="18">
        <f>MIN(K28,L28)</f>
        <v/>
      </c>
      <c r="N28" s="12">
        <f>IF(K28&lt;=L28,"CAPACITY","QUOTA")</f>
        <v/>
      </c>
      <c r="O28" s="12">
        <f>IF(K28&lt;=0,"RESERVATION_DEFICIT",IF(L28&lt;=0,"QUOTA_DEFICIT",IF(M28&lt;I28*0.5,"READY_WITH_RISK","READY")))</f>
        <v/>
      </c>
      <c r="P28" s="12" t="inlineStr"/>
    </row>
    <row r="29">
      <c r="A29" s="12" t="inlineStr">
        <is>
          <t>Central US</t>
        </is>
      </c>
      <c r="B29" s="12" t="inlineStr">
        <is>
          <t>US</t>
        </is>
      </c>
      <c r="C29" s="12" t="inlineStr">
        <is>
          <t>Prod</t>
        </is>
      </c>
      <c r="D29" s="12" t="inlineStr">
        <is>
          <t>Standard_E32ads_v5</t>
        </is>
      </c>
      <c r="E29" s="12">
        <f>VLOOKUP(D29,SKU_Family_Map!$A:$B,2,FALSE)</f>
        <v/>
      </c>
      <c r="F29" s="12" t="inlineStr">
        <is>
          <t>crg-pr-cus-reg</t>
        </is>
      </c>
      <c r="G29" s="16" t="n">
        <v>32</v>
      </c>
      <c r="H29" s="16" t="n">
        <v>0</v>
      </c>
      <c r="I29" s="16" t="n">
        <v>8</v>
      </c>
      <c r="J29" s="16">
        <f>H29+I29</f>
        <v/>
      </c>
      <c r="K29" s="16">
        <f>J29-H29</f>
        <v/>
      </c>
      <c r="L29" s="16">
        <f>SUMIFS(Quota_Groups!$G:$G,Quota_Groups!$B:$B,A29,Quota_Groups!$D:$D,E29)</f>
        <v/>
      </c>
      <c r="M29" s="18">
        <f>MIN(K29,L29)</f>
        <v/>
      </c>
      <c r="N29" s="12">
        <f>IF(K29&lt;=L29,"CAPACITY","QUOTA")</f>
        <v/>
      </c>
      <c r="O29" s="12">
        <f>IF(K29&lt;=0,"RESERVATION_DEFICIT",IF(L29&lt;=0,"QUOTA_DEFICIT",IF(M29&lt;I29*0.5,"READY_WITH_RISK","READY")))</f>
        <v/>
      </c>
      <c r="P29" s="12" t="inlineStr"/>
    </row>
    <row r="30">
      <c r="A30" s="12" t="inlineStr">
        <is>
          <t>Central US</t>
        </is>
      </c>
      <c r="B30" s="12" t="inlineStr">
        <is>
          <t>US</t>
        </is>
      </c>
      <c r="C30" s="12" t="inlineStr">
        <is>
          <t>Prod</t>
        </is>
      </c>
      <c r="D30" s="12" t="inlineStr">
        <is>
          <t>Standard_E64ads_v5</t>
        </is>
      </c>
      <c r="E30" s="12">
        <f>VLOOKUP(D30,SKU_Family_Map!$A:$B,2,FALSE)</f>
        <v/>
      </c>
      <c r="F30" s="12" t="inlineStr">
        <is>
          <t>crg-pr-cus-reg</t>
        </is>
      </c>
      <c r="G30" s="16" t="n">
        <v>64</v>
      </c>
      <c r="H30" s="16" t="n">
        <v>0</v>
      </c>
      <c r="I30" s="16" t="n">
        <v>8</v>
      </c>
      <c r="J30" s="16">
        <f>H30+I30</f>
        <v/>
      </c>
      <c r="K30" s="16">
        <f>J30-H30</f>
        <v/>
      </c>
      <c r="L30" s="16">
        <f>SUMIFS(Quota_Groups!$G:$G,Quota_Groups!$B:$B,A30,Quota_Groups!$D:$D,E30)</f>
        <v/>
      </c>
      <c r="M30" s="18">
        <f>MIN(K30,L30)</f>
        <v/>
      </c>
      <c r="N30" s="12">
        <f>IF(K30&lt;=L30,"CAPACITY","QUOTA")</f>
        <v/>
      </c>
      <c r="O30" s="12">
        <f>IF(K30&lt;=0,"RESERVATION_DEFICIT",IF(L30&lt;=0,"QUOTA_DEFICIT",IF(M30&lt;I30*0.5,"READY_WITH_RISK","READY")))</f>
        <v/>
      </c>
      <c r="P30" s="12" t="inlineStr"/>
    </row>
    <row r="31">
      <c r="A31" s="12" t="inlineStr">
        <is>
          <t>Central US</t>
        </is>
      </c>
      <c r="B31" s="12" t="inlineStr">
        <is>
          <t>US</t>
        </is>
      </c>
      <c r="C31" s="12" t="inlineStr">
        <is>
          <t>Prod</t>
        </is>
      </c>
      <c r="D31" s="12" t="inlineStr">
        <is>
          <t>Standard_E16ads_v5</t>
        </is>
      </c>
      <c r="E31" s="12">
        <f>VLOOKUP(D31,SKU_Family_Map!$A:$B,2,FALSE)</f>
        <v/>
      </c>
      <c r="F31" s="12" t="inlineStr">
        <is>
          <t>crg-pr-cus-reg</t>
        </is>
      </c>
      <c r="G31" s="16" t="n">
        <v>16</v>
      </c>
      <c r="H31" s="16" t="n">
        <v>96</v>
      </c>
      <c r="I31" s="16" t="n">
        <v>12</v>
      </c>
      <c r="J31" s="16">
        <f>H31+I31</f>
        <v/>
      </c>
      <c r="K31" s="16">
        <f>J31-H31</f>
        <v/>
      </c>
      <c r="L31" s="16">
        <f>SUMIFS(Quota_Groups!$G:$G,Quota_Groups!$B:$B,A31,Quota_Groups!$D:$D,E31)</f>
        <v/>
      </c>
      <c r="M31" s="18">
        <f>MIN(K31,L31)</f>
        <v/>
      </c>
      <c r="N31" s="12">
        <f>IF(K31&lt;=L31,"CAPACITY","QUOTA")</f>
        <v/>
      </c>
      <c r="O31" s="12">
        <f>IF(K31&lt;=0,"RESERVATION_DEFICIT",IF(L31&lt;=0,"QUOTA_DEFICIT",IF(M31&lt;I31*0.5,"READY_WITH_RISK","READY")))</f>
        <v/>
      </c>
      <c r="P31" s="12" t="inlineStr"/>
    </row>
    <row r="32">
      <c r="A32" s="12" t="inlineStr">
        <is>
          <t>Central US</t>
        </is>
      </c>
      <c r="B32" s="12" t="inlineStr">
        <is>
          <t>US</t>
        </is>
      </c>
      <c r="C32" s="12" t="inlineStr">
        <is>
          <t>Prod</t>
        </is>
      </c>
      <c r="D32" s="12" t="inlineStr">
        <is>
          <t>Standard_E32ads_v6</t>
        </is>
      </c>
      <c r="E32" s="12">
        <f>VLOOKUP(D32,SKU_Family_Map!$A:$B,2,FALSE)</f>
        <v/>
      </c>
      <c r="F32" s="12" t="inlineStr">
        <is>
          <t>crg-pr-cus-reg</t>
        </is>
      </c>
      <c r="G32" s="16" t="n">
        <v>32</v>
      </c>
      <c r="H32" s="16" t="n">
        <v>512</v>
      </c>
      <c r="I32" s="16" t="n">
        <v>61</v>
      </c>
      <c r="J32" s="16">
        <f>H32+I32</f>
        <v/>
      </c>
      <c r="K32" s="16">
        <f>J32-H32</f>
        <v/>
      </c>
      <c r="L32" s="16">
        <f>SUMIFS(Quota_Groups!$G:$G,Quota_Groups!$B:$B,A32,Quota_Groups!$D:$D,E32)</f>
        <v/>
      </c>
      <c r="M32" s="18">
        <f>MIN(K32,L32)</f>
        <v/>
      </c>
      <c r="N32" s="12">
        <f>IF(K32&lt;=L32,"CAPACITY","QUOTA")</f>
        <v/>
      </c>
      <c r="O32" s="12">
        <f>IF(K32&lt;=0,"RESERVATION_DEFICIT",IF(L32&lt;=0,"QUOTA_DEFICIT",IF(M32&lt;I32*0.5,"READY_WITH_RISK","READY")))</f>
        <v/>
      </c>
      <c r="P32" s="12" t="inlineStr"/>
    </row>
    <row r="33">
      <c r="A33" s="12" t="inlineStr">
        <is>
          <t>Central US</t>
        </is>
      </c>
      <c r="B33" s="12" t="inlineStr">
        <is>
          <t>US</t>
        </is>
      </c>
      <c r="C33" s="12" t="inlineStr">
        <is>
          <t>Prod</t>
        </is>
      </c>
      <c r="D33" s="12" t="inlineStr">
        <is>
          <t>Standard_D8ads_v5</t>
        </is>
      </c>
      <c r="E33" s="12">
        <f>VLOOKUP(D33,SKU_Family_Map!$A:$B,2,FALSE)</f>
        <v/>
      </c>
      <c r="F33" s="12" t="inlineStr">
        <is>
          <t>crg-pr-cus-reg</t>
        </is>
      </c>
      <c r="G33" s="16" t="n">
        <v>8</v>
      </c>
      <c r="H33" s="16" t="n">
        <v>416</v>
      </c>
      <c r="I33" s="16" t="n">
        <v>50</v>
      </c>
      <c r="J33" s="16">
        <f>H33+I33</f>
        <v/>
      </c>
      <c r="K33" s="16">
        <f>J33-H33</f>
        <v/>
      </c>
      <c r="L33" s="16">
        <f>SUMIFS(Quota_Groups!$G:$G,Quota_Groups!$B:$B,A33,Quota_Groups!$D:$D,E33)</f>
        <v/>
      </c>
      <c r="M33" s="18">
        <f>MIN(K33,L33)</f>
        <v/>
      </c>
      <c r="N33" s="12">
        <f>IF(K33&lt;=L33,"CAPACITY","QUOTA")</f>
        <v/>
      </c>
      <c r="O33" s="12">
        <f>IF(K33&lt;=0,"RESERVATION_DEFICIT",IF(L33&lt;=0,"QUOTA_DEFICIT",IF(M33&lt;I33*0.5,"READY_WITH_RISK","READY")))</f>
        <v/>
      </c>
      <c r="P33" s="12" t="inlineStr"/>
    </row>
    <row r="34">
      <c r="A34" s="12" t="inlineStr">
        <is>
          <t>Central US</t>
        </is>
      </c>
      <c r="B34" s="12" t="inlineStr">
        <is>
          <t>US</t>
        </is>
      </c>
      <c r="C34" s="12" t="inlineStr">
        <is>
          <t>Prod</t>
        </is>
      </c>
      <c r="D34" s="12" t="inlineStr">
        <is>
          <t>Standard_D16ads_v5</t>
        </is>
      </c>
      <c r="E34" s="12">
        <f>VLOOKUP(D34,SKU_Family_Map!$A:$B,2,FALSE)</f>
        <v/>
      </c>
      <c r="F34" s="12" t="inlineStr">
        <is>
          <t>crg-pr-cus-reg</t>
        </is>
      </c>
      <c r="G34" s="16" t="n">
        <v>16</v>
      </c>
      <c r="H34" s="16" t="n">
        <v>112</v>
      </c>
      <c r="I34" s="16" t="n">
        <v>13</v>
      </c>
      <c r="J34" s="16">
        <f>H34+I34</f>
        <v/>
      </c>
      <c r="K34" s="16">
        <f>J34-H34</f>
        <v/>
      </c>
      <c r="L34" s="16">
        <f>SUMIFS(Quota_Groups!$G:$G,Quota_Groups!$B:$B,A34,Quota_Groups!$D:$D,E34)</f>
        <v/>
      </c>
      <c r="M34" s="18">
        <f>MIN(K34,L34)</f>
        <v/>
      </c>
      <c r="N34" s="12">
        <f>IF(K34&lt;=L34,"CAPACITY","QUOTA")</f>
        <v/>
      </c>
      <c r="O34" s="12">
        <f>IF(K34&lt;=0,"RESERVATION_DEFICIT",IF(L34&lt;=0,"QUOTA_DEFICIT",IF(M34&lt;I34*0.5,"READY_WITH_RISK","READY")))</f>
        <v/>
      </c>
      <c r="P34" s="12" t="inlineStr"/>
    </row>
    <row r="35">
      <c r="A35" s="12" t="inlineStr">
        <is>
          <t>Central US</t>
        </is>
      </c>
      <c r="B35" s="12" t="inlineStr">
        <is>
          <t>US</t>
        </is>
      </c>
      <c r="C35" s="12" t="inlineStr">
        <is>
          <t>Prod</t>
        </is>
      </c>
      <c r="D35" s="12" t="inlineStr">
        <is>
          <t>Standard_D8as_v5</t>
        </is>
      </c>
      <c r="E35" s="12">
        <f>VLOOKUP(D35,SKU_Family_Map!$A:$B,2,FALSE)</f>
        <v/>
      </c>
      <c r="F35" s="12" t="inlineStr">
        <is>
          <t>crg-pr-cus-reg</t>
        </is>
      </c>
      <c r="G35" s="16" t="n">
        <v>8</v>
      </c>
      <c r="H35" s="16" t="n">
        <v>5112</v>
      </c>
      <c r="I35" s="16" t="n">
        <v>613</v>
      </c>
      <c r="J35" s="16">
        <f>H35+I35</f>
        <v/>
      </c>
      <c r="K35" s="16">
        <f>J35-H35</f>
        <v/>
      </c>
      <c r="L35" s="16">
        <f>SUMIFS(Quota_Groups!$G:$G,Quota_Groups!$B:$B,A35,Quota_Groups!$D:$D,E35)</f>
        <v/>
      </c>
      <c r="M35" s="18">
        <f>MIN(K35,L35)</f>
        <v/>
      </c>
      <c r="N35" s="12">
        <f>IF(K35&lt;=L35,"CAPACITY","QUOTA")</f>
        <v/>
      </c>
      <c r="O35" s="12">
        <f>IF(K35&lt;=0,"RESERVATION_DEFICIT",IF(L35&lt;=0,"QUOTA_DEFICIT",IF(M35&lt;I35*0.5,"READY_WITH_RISK","READY")))</f>
        <v/>
      </c>
      <c r="P35" s="12" t="inlineStr"/>
    </row>
    <row r="36">
      <c r="A36" s="12" t="inlineStr">
        <is>
          <t>Central US</t>
        </is>
      </c>
      <c r="B36" s="12" t="inlineStr">
        <is>
          <t>US</t>
        </is>
      </c>
      <c r="C36" s="12" t="inlineStr">
        <is>
          <t>Prod</t>
        </is>
      </c>
      <c r="D36" s="12" t="inlineStr">
        <is>
          <t>Standard_D16as_v5</t>
        </is>
      </c>
      <c r="E36" s="12">
        <f>VLOOKUP(D36,SKU_Family_Map!$A:$B,2,FALSE)</f>
        <v/>
      </c>
      <c r="F36" s="12" t="inlineStr">
        <is>
          <t>crg-pr-cus-reg</t>
        </is>
      </c>
      <c r="G36" s="16" t="n">
        <v>16</v>
      </c>
      <c r="H36" s="16" t="n">
        <v>4352</v>
      </c>
      <c r="I36" s="16" t="n">
        <v>522</v>
      </c>
      <c r="J36" s="16">
        <f>H36+I36</f>
        <v/>
      </c>
      <c r="K36" s="16">
        <f>J36-H36</f>
        <v/>
      </c>
      <c r="L36" s="16">
        <f>SUMIFS(Quota_Groups!$G:$G,Quota_Groups!$B:$B,A36,Quota_Groups!$D:$D,E36)</f>
        <v/>
      </c>
      <c r="M36" s="18">
        <f>MIN(K36,L36)</f>
        <v/>
      </c>
      <c r="N36" s="12">
        <f>IF(K36&lt;=L36,"CAPACITY","QUOTA")</f>
        <v/>
      </c>
      <c r="O36" s="12">
        <f>IF(K36&lt;=0,"RESERVATION_DEFICIT",IF(L36&lt;=0,"QUOTA_DEFICIT",IF(M36&lt;I36*0.5,"READY_WITH_RISK","READY")))</f>
        <v/>
      </c>
      <c r="P36" s="12" t="inlineStr"/>
    </row>
    <row r="37">
      <c r="A37" s="12" t="inlineStr">
        <is>
          <t>Central US</t>
        </is>
      </c>
      <c r="B37" s="12" t="inlineStr">
        <is>
          <t>US</t>
        </is>
      </c>
      <c r="C37" s="12" t="inlineStr">
        <is>
          <t>NonProd</t>
        </is>
      </c>
      <c r="D37" s="12" t="inlineStr">
        <is>
          <t>Standard_E32ads_v5</t>
        </is>
      </c>
      <c r="E37" s="12">
        <f>VLOOKUP(D37,SKU_Family_Map!$A:$B,2,FALSE)</f>
        <v/>
      </c>
      <c r="F37" s="12" t="inlineStr">
        <is>
          <t>crg-np-cus-reg</t>
        </is>
      </c>
      <c r="G37" s="16" t="n">
        <v>32</v>
      </c>
      <c r="H37" s="16" t="n">
        <v>5248</v>
      </c>
      <c r="I37" s="16" t="n">
        <v>630</v>
      </c>
      <c r="J37" s="16">
        <f>H37+I37</f>
        <v/>
      </c>
      <c r="K37" s="16">
        <f>J37-H37</f>
        <v/>
      </c>
      <c r="L37" s="16">
        <f>SUMIFS(Quota_Groups!$G:$G,Quota_Groups!$B:$B,A37,Quota_Groups!$D:$D,E37)</f>
        <v/>
      </c>
      <c r="M37" s="18">
        <f>MIN(K37,L37)</f>
        <v/>
      </c>
      <c r="N37" s="12">
        <f>IF(K37&lt;=L37,"CAPACITY","QUOTA")</f>
        <v/>
      </c>
      <c r="O37" s="12">
        <f>IF(K37&lt;=0,"RESERVATION_DEFICIT",IF(L37&lt;=0,"QUOTA_DEFICIT",IF(M37&lt;I37*0.5,"READY_WITH_RISK","READY")))</f>
        <v/>
      </c>
      <c r="P37" s="12" t="inlineStr"/>
    </row>
    <row r="38">
      <c r="A38" s="12" t="inlineStr">
        <is>
          <t>Central US</t>
        </is>
      </c>
      <c r="B38" s="12" t="inlineStr">
        <is>
          <t>US</t>
        </is>
      </c>
      <c r="C38" s="12" t="inlineStr">
        <is>
          <t>NonProd</t>
        </is>
      </c>
      <c r="D38" s="12" t="inlineStr">
        <is>
          <t>Standard_E64ads_v5</t>
        </is>
      </c>
      <c r="E38" s="12">
        <f>VLOOKUP(D38,SKU_Family_Map!$A:$B,2,FALSE)</f>
        <v/>
      </c>
      <c r="F38" s="12" t="inlineStr">
        <is>
          <t>crg-np-cus-reg</t>
        </is>
      </c>
      <c r="G38" s="16" t="n">
        <v>64</v>
      </c>
      <c r="H38" s="16" t="n">
        <v>384</v>
      </c>
      <c r="I38" s="16" t="n">
        <v>46</v>
      </c>
      <c r="J38" s="16">
        <f>H38+I38</f>
        <v/>
      </c>
      <c r="K38" s="16">
        <f>J38-H38</f>
        <v/>
      </c>
      <c r="L38" s="16">
        <f>SUMIFS(Quota_Groups!$G:$G,Quota_Groups!$B:$B,A38,Quota_Groups!$D:$D,E38)</f>
        <v/>
      </c>
      <c r="M38" s="18">
        <f>MIN(K38,L38)</f>
        <v/>
      </c>
      <c r="N38" s="12">
        <f>IF(K38&lt;=L38,"CAPACITY","QUOTA")</f>
        <v/>
      </c>
      <c r="O38" s="12">
        <f>IF(K38&lt;=0,"RESERVATION_DEFICIT",IF(L38&lt;=0,"QUOTA_DEFICIT",IF(M38&lt;I38*0.5,"READY_WITH_RISK","READY")))</f>
        <v/>
      </c>
      <c r="P38" s="12" t="inlineStr"/>
    </row>
    <row r="39">
      <c r="A39" s="12" t="inlineStr">
        <is>
          <t>Central US</t>
        </is>
      </c>
      <c r="B39" s="12" t="inlineStr">
        <is>
          <t>US</t>
        </is>
      </c>
      <c r="C39" s="12" t="inlineStr">
        <is>
          <t>NonProd</t>
        </is>
      </c>
      <c r="D39" s="12" t="inlineStr">
        <is>
          <t>Standard_E16ads_v5</t>
        </is>
      </c>
      <c r="E39" s="12">
        <f>VLOOKUP(D39,SKU_Family_Map!$A:$B,2,FALSE)</f>
        <v/>
      </c>
      <c r="F39" s="12" t="inlineStr">
        <is>
          <t>crg-np-cus-reg</t>
        </is>
      </c>
      <c r="G39" s="16" t="n">
        <v>16</v>
      </c>
      <c r="H39" s="16" t="n">
        <v>5200</v>
      </c>
      <c r="I39" s="16" t="n">
        <v>624</v>
      </c>
      <c r="J39" s="16">
        <f>H39+I39</f>
        <v/>
      </c>
      <c r="K39" s="16">
        <f>J39-H39</f>
        <v/>
      </c>
      <c r="L39" s="16">
        <f>SUMIFS(Quota_Groups!$G:$G,Quota_Groups!$B:$B,A39,Quota_Groups!$D:$D,E39)</f>
        <v/>
      </c>
      <c r="M39" s="18">
        <f>MIN(K39,L39)</f>
        <v/>
      </c>
      <c r="N39" s="12">
        <f>IF(K39&lt;=L39,"CAPACITY","QUOTA")</f>
        <v/>
      </c>
      <c r="O39" s="12">
        <f>IF(K39&lt;=0,"RESERVATION_DEFICIT",IF(L39&lt;=0,"QUOTA_DEFICIT",IF(M39&lt;I39*0.5,"READY_WITH_RISK","READY")))</f>
        <v/>
      </c>
      <c r="P39" s="12" t="inlineStr"/>
    </row>
    <row r="40">
      <c r="A40" s="12" t="inlineStr">
        <is>
          <t>Central US</t>
        </is>
      </c>
      <c r="B40" s="12" t="inlineStr">
        <is>
          <t>US</t>
        </is>
      </c>
      <c r="C40" s="12" t="inlineStr">
        <is>
          <t>NonProd</t>
        </is>
      </c>
      <c r="D40" s="12" t="inlineStr">
        <is>
          <t>Standard_E32ads_v6</t>
        </is>
      </c>
      <c r="E40" s="12">
        <f>VLOOKUP(D40,SKU_Family_Map!$A:$B,2,FALSE)</f>
        <v/>
      </c>
      <c r="F40" s="12" t="inlineStr">
        <is>
          <t>crg-np-cus-reg</t>
        </is>
      </c>
      <c r="G40" s="16" t="n">
        <v>32</v>
      </c>
      <c r="H40" s="16" t="n">
        <v>384</v>
      </c>
      <c r="I40" s="16" t="n">
        <v>46</v>
      </c>
      <c r="J40" s="16">
        <f>H40+I40</f>
        <v/>
      </c>
      <c r="K40" s="16">
        <f>J40-H40</f>
        <v/>
      </c>
      <c r="L40" s="16">
        <f>SUMIFS(Quota_Groups!$G:$G,Quota_Groups!$B:$B,A40,Quota_Groups!$D:$D,E40)</f>
        <v/>
      </c>
      <c r="M40" s="18">
        <f>MIN(K40,L40)</f>
        <v/>
      </c>
      <c r="N40" s="12">
        <f>IF(K40&lt;=L40,"CAPACITY","QUOTA")</f>
        <v/>
      </c>
      <c r="O40" s="12">
        <f>IF(K40&lt;=0,"RESERVATION_DEFICIT",IF(L40&lt;=0,"QUOTA_DEFICIT",IF(M40&lt;I40*0.5,"READY_WITH_RISK","READY")))</f>
        <v/>
      </c>
      <c r="P40" s="12" t="inlineStr"/>
    </row>
    <row r="41">
      <c r="A41" s="12" t="inlineStr">
        <is>
          <t>Central US</t>
        </is>
      </c>
      <c r="B41" s="12" t="inlineStr">
        <is>
          <t>US</t>
        </is>
      </c>
      <c r="C41" s="12" t="inlineStr">
        <is>
          <t>NonProd</t>
        </is>
      </c>
      <c r="D41" s="12" t="inlineStr">
        <is>
          <t>Standard_D8ads_v5</t>
        </is>
      </c>
      <c r="E41" s="12">
        <f>VLOOKUP(D41,SKU_Family_Map!$A:$B,2,FALSE)</f>
        <v/>
      </c>
      <c r="F41" s="12" t="inlineStr">
        <is>
          <t>crg-np-cus-reg</t>
        </is>
      </c>
      <c r="G41" s="16" t="n">
        <v>8</v>
      </c>
      <c r="H41" s="16" t="n">
        <v>1840</v>
      </c>
      <c r="I41" s="16" t="n">
        <v>221</v>
      </c>
      <c r="J41" s="16">
        <f>H41+I41</f>
        <v/>
      </c>
      <c r="K41" s="16">
        <f>J41-H41</f>
        <v/>
      </c>
      <c r="L41" s="16">
        <f>SUMIFS(Quota_Groups!$G:$G,Quota_Groups!$B:$B,A41,Quota_Groups!$D:$D,E41)</f>
        <v/>
      </c>
      <c r="M41" s="18">
        <f>MIN(K41,L41)</f>
        <v/>
      </c>
      <c r="N41" s="12">
        <f>IF(K41&lt;=L41,"CAPACITY","QUOTA")</f>
        <v/>
      </c>
      <c r="O41" s="12">
        <f>IF(K41&lt;=0,"RESERVATION_DEFICIT",IF(L41&lt;=0,"QUOTA_DEFICIT",IF(M41&lt;I41*0.5,"READY_WITH_RISK","READY")))</f>
        <v/>
      </c>
      <c r="P41" s="12" t="inlineStr"/>
    </row>
    <row r="42">
      <c r="A42" s="12" t="inlineStr">
        <is>
          <t>Central US</t>
        </is>
      </c>
      <c r="B42" s="12" t="inlineStr">
        <is>
          <t>US</t>
        </is>
      </c>
      <c r="C42" s="12" t="inlineStr">
        <is>
          <t>NonProd</t>
        </is>
      </c>
      <c r="D42" s="12" t="inlineStr">
        <is>
          <t>Standard_D16ads_v5</t>
        </is>
      </c>
      <c r="E42" s="12">
        <f>VLOOKUP(D42,SKU_Family_Map!$A:$B,2,FALSE)</f>
        <v/>
      </c>
      <c r="F42" s="12" t="inlineStr">
        <is>
          <t>crg-np-cus-reg</t>
        </is>
      </c>
      <c r="G42" s="16" t="n">
        <v>16</v>
      </c>
      <c r="H42" s="16" t="n">
        <v>2432</v>
      </c>
      <c r="I42" s="16" t="n">
        <v>292</v>
      </c>
      <c r="J42" s="16">
        <f>H42+I42</f>
        <v/>
      </c>
      <c r="K42" s="16">
        <f>J42-H42</f>
        <v/>
      </c>
      <c r="L42" s="16">
        <f>SUMIFS(Quota_Groups!$G:$G,Quota_Groups!$B:$B,A42,Quota_Groups!$D:$D,E42)</f>
        <v/>
      </c>
      <c r="M42" s="18">
        <f>MIN(K42,L42)</f>
        <v/>
      </c>
      <c r="N42" s="12">
        <f>IF(K42&lt;=L42,"CAPACITY","QUOTA")</f>
        <v/>
      </c>
      <c r="O42" s="12">
        <f>IF(K42&lt;=0,"RESERVATION_DEFICIT",IF(L42&lt;=0,"QUOTA_DEFICIT",IF(M42&lt;I42*0.5,"READY_WITH_RISK","READY")))</f>
        <v/>
      </c>
      <c r="P42" s="12" t="inlineStr"/>
    </row>
    <row r="43">
      <c r="A43" s="12" t="inlineStr">
        <is>
          <t>Central US</t>
        </is>
      </c>
      <c r="B43" s="12" t="inlineStr">
        <is>
          <t>US</t>
        </is>
      </c>
      <c r="C43" s="12" t="inlineStr">
        <is>
          <t>NonProd</t>
        </is>
      </c>
      <c r="D43" s="12" t="inlineStr">
        <is>
          <t>Standard_D8as_v5</t>
        </is>
      </c>
      <c r="E43" s="12">
        <f>VLOOKUP(D43,SKU_Family_Map!$A:$B,2,FALSE)</f>
        <v/>
      </c>
      <c r="F43" s="12" t="inlineStr">
        <is>
          <t>crg-np-cus-reg</t>
        </is>
      </c>
      <c r="G43" s="16" t="n">
        <v>8</v>
      </c>
      <c r="H43" s="16" t="n">
        <v>424</v>
      </c>
      <c r="I43" s="16" t="n">
        <v>51</v>
      </c>
      <c r="J43" s="16">
        <f>H43+I43</f>
        <v/>
      </c>
      <c r="K43" s="16">
        <f>J43-H43</f>
        <v/>
      </c>
      <c r="L43" s="16">
        <f>SUMIFS(Quota_Groups!$G:$G,Quota_Groups!$B:$B,A43,Quota_Groups!$D:$D,E43)</f>
        <v/>
      </c>
      <c r="M43" s="18">
        <f>MIN(K43,L43)</f>
        <v/>
      </c>
      <c r="N43" s="12">
        <f>IF(K43&lt;=L43,"CAPACITY","QUOTA")</f>
        <v/>
      </c>
      <c r="O43" s="12">
        <f>IF(K43&lt;=0,"RESERVATION_DEFICIT",IF(L43&lt;=0,"QUOTA_DEFICIT",IF(M43&lt;I43*0.5,"READY_WITH_RISK","READY")))</f>
        <v/>
      </c>
      <c r="P43" s="12" t="inlineStr"/>
    </row>
    <row r="44">
      <c r="A44" s="12" t="inlineStr">
        <is>
          <t>Central US</t>
        </is>
      </c>
      <c r="B44" s="12" t="inlineStr">
        <is>
          <t>US</t>
        </is>
      </c>
      <c r="C44" s="12" t="inlineStr">
        <is>
          <t>NonProd</t>
        </is>
      </c>
      <c r="D44" s="12" t="inlineStr">
        <is>
          <t>Standard_D16as_v5</t>
        </is>
      </c>
      <c r="E44" s="12">
        <f>VLOOKUP(D44,SKU_Family_Map!$A:$B,2,FALSE)</f>
        <v/>
      </c>
      <c r="F44" s="12" t="inlineStr">
        <is>
          <t>crg-np-cus-reg</t>
        </is>
      </c>
      <c r="G44" s="16" t="n">
        <v>16</v>
      </c>
      <c r="H44" s="16" t="n">
        <v>384</v>
      </c>
      <c r="I44" s="16" t="n">
        <v>46</v>
      </c>
      <c r="J44" s="16">
        <f>H44+I44</f>
        <v/>
      </c>
      <c r="K44" s="16">
        <f>J44-H44</f>
        <v/>
      </c>
      <c r="L44" s="16">
        <f>SUMIFS(Quota_Groups!$G:$G,Quota_Groups!$B:$B,A44,Quota_Groups!$D:$D,E44)</f>
        <v/>
      </c>
      <c r="M44" s="18">
        <f>MIN(K44,L44)</f>
        <v/>
      </c>
      <c r="N44" s="12">
        <f>IF(K44&lt;=L44,"CAPACITY","QUOTA")</f>
        <v/>
      </c>
      <c r="O44" s="12">
        <f>IF(K44&lt;=0,"RESERVATION_DEFICIT",IF(L44&lt;=0,"QUOTA_DEFICIT",IF(M44&lt;I44*0.5,"READY_WITH_RISK","READY")))</f>
        <v/>
      </c>
      <c r="P44" s="12" t="inlineStr"/>
    </row>
    <row r="45">
      <c r="A45" s="12" t="inlineStr">
        <is>
          <t>Central US</t>
        </is>
      </c>
      <c r="B45" s="12" t="inlineStr">
        <is>
          <t>US</t>
        </is>
      </c>
      <c r="C45" s="12" t="inlineStr">
        <is>
          <t>DR</t>
        </is>
      </c>
      <c r="D45" s="12" t="inlineStr">
        <is>
          <t>Standard_E32ads_v5</t>
        </is>
      </c>
      <c r="E45" s="12">
        <f>VLOOKUP(D45,SKU_Family_Map!$A:$B,2,FALSE)</f>
        <v/>
      </c>
      <c r="F45" s="12" t="inlineStr">
        <is>
          <t>crg-dr-cus-reg</t>
        </is>
      </c>
      <c r="G45" s="16" t="n">
        <v>32</v>
      </c>
      <c r="H45" s="16" t="n">
        <v>0</v>
      </c>
      <c r="I45" s="16" t="n">
        <v>8</v>
      </c>
      <c r="J45" s="16">
        <f>H45+I45</f>
        <v/>
      </c>
      <c r="K45" s="16">
        <f>J45-H45</f>
        <v/>
      </c>
      <c r="L45" s="16">
        <f>SUMIFS(Quota_Groups!$G:$G,Quota_Groups!$B:$B,A45,Quota_Groups!$D:$D,E45)</f>
        <v/>
      </c>
      <c r="M45" s="18">
        <f>MIN(K45,L45)</f>
        <v/>
      </c>
      <c r="N45" s="12">
        <f>IF(K45&lt;=L45,"CAPACITY","QUOTA")</f>
        <v/>
      </c>
      <c r="O45" s="12">
        <f>IF(K45&lt;=0,"RESERVATION_DEFICIT",IF(L45&lt;=0,"QUOTA_DEFICIT",IF(M45&lt;I45*0.5,"READY_WITH_RISK","READY")))</f>
        <v/>
      </c>
      <c r="P45" s="12" t="inlineStr"/>
    </row>
    <row r="46">
      <c r="A46" s="12" t="inlineStr">
        <is>
          <t>Central US</t>
        </is>
      </c>
      <c r="B46" s="12" t="inlineStr">
        <is>
          <t>US</t>
        </is>
      </c>
      <c r="C46" s="12" t="inlineStr">
        <is>
          <t>DR</t>
        </is>
      </c>
      <c r="D46" s="12" t="inlineStr">
        <is>
          <t>Standard_E64ads_v5</t>
        </is>
      </c>
      <c r="E46" s="12">
        <f>VLOOKUP(D46,SKU_Family_Map!$A:$B,2,FALSE)</f>
        <v/>
      </c>
      <c r="F46" s="12" t="inlineStr">
        <is>
          <t>crg-dr-cus-reg</t>
        </is>
      </c>
      <c r="G46" s="16" t="n">
        <v>64</v>
      </c>
      <c r="H46" s="16" t="n">
        <v>0</v>
      </c>
      <c r="I46" s="16" t="n">
        <v>8</v>
      </c>
      <c r="J46" s="16">
        <f>H46+I46</f>
        <v/>
      </c>
      <c r="K46" s="16">
        <f>J46-H46</f>
        <v/>
      </c>
      <c r="L46" s="16">
        <f>SUMIFS(Quota_Groups!$G:$G,Quota_Groups!$B:$B,A46,Quota_Groups!$D:$D,E46)</f>
        <v/>
      </c>
      <c r="M46" s="18">
        <f>MIN(K46,L46)</f>
        <v/>
      </c>
      <c r="N46" s="12">
        <f>IF(K46&lt;=L46,"CAPACITY","QUOTA")</f>
        <v/>
      </c>
      <c r="O46" s="12">
        <f>IF(K46&lt;=0,"RESERVATION_DEFICIT",IF(L46&lt;=0,"QUOTA_DEFICIT",IF(M46&lt;I46*0.5,"READY_WITH_RISK","READY")))</f>
        <v/>
      </c>
      <c r="P46" s="12" t="inlineStr"/>
    </row>
    <row r="47">
      <c r="A47" s="12" t="inlineStr">
        <is>
          <t>Central US</t>
        </is>
      </c>
      <c r="B47" s="12" t="inlineStr">
        <is>
          <t>US</t>
        </is>
      </c>
      <c r="C47" s="12" t="inlineStr">
        <is>
          <t>DR</t>
        </is>
      </c>
      <c r="D47" s="12" t="inlineStr">
        <is>
          <t>Standard_E16ads_v5</t>
        </is>
      </c>
      <c r="E47" s="12">
        <f>VLOOKUP(D47,SKU_Family_Map!$A:$B,2,FALSE)</f>
        <v/>
      </c>
      <c r="F47" s="12" t="inlineStr">
        <is>
          <t>crg-dr-cus-reg</t>
        </is>
      </c>
      <c r="G47" s="16" t="n">
        <v>16</v>
      </c>
      <c r="H47" s="16" t="n">
        <v>29</v>
      </c>
      <c r="I47" s="16" t="n">
        <v>8</v>
      </c>
      <c r="J47" s="16">
        <f>H47+I47</f>
        <v/>
      </c>
      <c r="K47" s="16">
        <f>J47-H47</f>
        <v/>
      </c>
      <c r="L47" s="16">
        <f>SUMIFS(Quota_Groups!$G:$G,Quota_Groups!$B:$B,A47,Quota_Groups!$D:$D,E47)</f>
        <v/>
      </c>
      <c r="M47" s="18">
        <f>MIN(K47,L47)</f>
        <v/>
      </c>
      <c r="N47" s="12">
        <f>IF(K47&lt;=L47,"CAPACITY","QUOTA")</f>
        <v/>
      </c>
      <c r="O47" s="12">
        <f>IF(K47&lt;=0,"RESERVATION_DEFICIT",IF(L47&lt;=0,"QUOTA_DEFICIT",IF(M47&lt;I47*0.5,"READY_WITH_RISK","READY")))</f>
        <v/>
      </c>
      <c r="P47" s="12" t="inlineStr"/>
    </row>
    <row r="48">
      <c r="A48" s="12" t="inlineStr">
        <is>
          <t>Central US</t>
        </is>
      </c>
      <c r="B48" s="12" t="inlineStr">
        <is>
          <t>US</t>
        </is>
      </c>
      <c r="C48" s="12" t="inlineStr">
        <is>
          <t>DR</t>
        </is>
      </c>
      <c r="D48" s="12" t="inlineStr">
        <is>
          <t>Standard_E32ads_v6</t>
        </is>
      </c>
      <c r="E48" s="12">
        <f>VLOOKUP(D48,SKU_Family_Map!$A:$B,2,FALSE)</f>
        <v/>
      </c>
      <c r="F48" s="12" t="inlineStr">
        <is>
          <t>crg-dr-cus-reg</t>
        </is>
      </c>
      <c r="G48" s="16" t="n">
        <v>32</v>
      </c>
      <c r="H48" s="16" t="n">
        <v>154</v>
      </c>
      <c r="I48" s="16" t="n">
        <v>18</v>
      </c>
      <c r="J48" s="16">
        <f>H48+I48</f>
        <v/>
      </c>
      <c r="K48" s="16">
        <f>J48-H48</f>
        <v/>
      </c>
      <c r="L48" s="16">
        <f>SUMIFS(Quota_Groups!$G:$G,Quota_Groups!$B:$B,A48,Quota_Groups!$D:$D,E48)</f>
        <v/>
      </c>
      <c r="M48" s="18">
        <f>MIN(K48,L48)</f>
        <v/>
      </c>
      <c r="N48" s="12">
        <f>IF(K48&lt;=L48,"CAPACITY","QUOTA")</f>
        <v/>
      </c>
      <c r="O48" s="12">
        <f>IF(K48&lt;=0,"RESERVATION_DEFICIT",IF(L48&lt;=0,"QUOTA_DEFICIT",IF(M48&lt;I48*0.5,"READY_WITH_RISK","READY")))</f>
        <v/>
      </c>
      <c r="P48" s="12" t="inlineStr"/>
    </row>
    <row r="49">
      <c r="A49" s="12" t="inlineStr">
        <is>
          <t>Central US</t>
        </is>
      </c>
      <c r="B49" s="12" t="inlineStr">
        <is>
          <t>US</t>
        </is>
      </c>
      <c r="C49" s="12" t="inlineStr">
        <is>
          <t>DR</t>
        </is>
      </c>
      <c r="D49" s="12" t="inlineStr">
        <is>
          <t>Standard_D8ads_v5</t>
        </is>
      </c>
      <c r="E49" s="12">
        <f>VLOOKUP(D49,SKU_Family_Map!$A:$B,2,FALSE)</f>
        <v/>
      </c>
      <c r="F49" s="12" t="inlineStr">
        <is>
          <t>crg-dr-cus-reg</t>
        </is>
      </c>
      <c r="G49" s="16" t="n">
        <v>8</v>
      </c>
      <c r="H49" s="16" t="n">
        <v>125</v>
      </c>
      <c r="I49" s="16" t="n">
        <v>15</v>
      </c>
      <c r="J49" s="16">
        <f>H49+I49</f>
        <v/>
      </c>
      <c r="K49" s="16">
        <f>J49-H49</f>
        <v/>
      </c>
      <c r="L49" s="16">
        <f>SUMIFS(Quota_Groups!$G:$G,Quota_Groups!$B:$B,A49,Quota_Groups!$D:$D,E49)</f>
        <v/>
      </c>
      <c r="M49" s="18">
        <f>MIN(K49,L49)</f>
        <v/>
      </c>
      <c r="N49" s="12">
        <f>IF(K49&lt;=L49,"CAPACITY","QUOTA")</f>
        <v/>
      </c>
      <c r="O49" s="12">
        <f>IF(K49&lt;=0,"RESERVATION_DEFICIT",IF(L49&lt;=0,"QUOTA_DEFICIT",IF(M49&lt;I49*0.5,"READY_WITH_RISK","READY")))</f>
        <v/>
      </c>
      <c r="P49" s="12" t="inlineStr"/>
    </row>
    <row r="50">
      <c r="A50" s="12" t="inlineStr">
        <is>
          <t>Central US</t>
        </is>
      </c>
      <c r="B50" s="12" t="inlineStr">
        <is>
          <t>US</t>
        </is>
      </c>
      <c r="C50" s="12" t="inlineStr">
        <is>
          <t>DR</t>
        </is>
      </c>
      <c r="D50" s="12" t="inlineStr">
        <is>
          <t>Standard_D16ads_v5</t>
        </is>
      </c>
      <c r="E50" s="12">
        <f>VLOOKUP(D50,SKU_Family_Map!$A:$B,2,FALSE)</f>
        <v/>
      </c>
      <c r="F50" s="12" t="inlineStr">
        <is>
          <t>crg-dr-cus-reg</t>
        </is>
      </c>
      <c r="G50" s="16" t="n">
        <v>16</v>
      </c>
      <c r="H50" s="16" t="n">
        <v>34</v>
      </c>
      <c r="I50" s="16" t="n">
        <v>8</v>
      </c>
      <c r="J50" s="16">
        <f>H50+I50</f>
        <v/>
      </c>
      <c r="K50" s="16">
        <f>J50-H50</f>
        <v/>
      </c>
      <c r="L50" s="16">
        <f>SUMIFS(Quota_Groups!$G:$G,Quota_Groups!$B:$B,A50,Quota_Groups!$D:$D,E50)</f>
        <v/>
      </c>
      <c r="M50" s="18">
        <f>MIN(K50,L50)</f>
        <v/>
      </c>
      <c r="N50" s="12">
        <f>IF(K50&lt;=L50,"CAPACITY","QUOTA")</f>
        <v/>
      </c>
      <c r="O50" s="12">
        <f>IF(K50&lt;=0,"RESERVATION_DEFICIT",IF(L50&lt;=0,"QUOTA_DEFICIT",IF(M50&lt;I50*0.5,"READY_WITH_RISK","READY")))</f>
        <v/>
      </c>
      <c r="P50" s="12" t="inlineStr"/>
    </row>
    <row r="51">
      <c r="A51" s="12" t="inlineStr">
        <is>
          <t>Central US</t>
        </is>
      </c>
      <c r="B51" s="12" t="inlineStr">
        <is>
          <t>US</t>
        </is>
      </c>
      <c r="C51" s="12" t="inlineStr">
        <is>
          <t>DR</t>
        </is>
      </c>
      <c r="D51" s="12" t="inlineStr">
        <is>
          <t>Standard_D8as_v5</t>
        </is>
      </c>
      <c r="E51" s="12">
        <f>VLOOKUP(D51,SKU_Family_Map!$A:$B,2,FALSE)</f>
        <v/>
      </c>
      <c r="F51" s="12" t="inlineStr">
        <is>
          <t>crg-dr-cus-reg</t>
        </is>
      </c>
      <c r="G51" s="16" t="n">
        <v>8</v>
      </c>
      <c r="H51" s="16" t="n">
        <v>1534</v>
      </c>
      <c r="I51" s="16" t="n">
        <v>184</v>
      </c>
      <c r="J51" s="16">
        <f>H51+I51</f>
        <v/>
      </c>
      <c r="K51" s="16">
        <f>J51-H51</f>
        <v/>
      </c>
      <c r="L51" s="16">
        <f>SUMIFS(Quota_Groups!$G:$G,Quota_Groups!$B:$B,A51,Quota_Groups!$D:$D,E51)</f>
        <v/>
      </c>
      <c r="M51" s="18">
        <f>MIN(K51,L51)</f>
        <v/>
      </c>
      <c r="N51" s="12">
        <f>IF(K51&lt;=L51,"CAPACITY","QUOTA")</f>
        <v/>
      </c>
      <c r="O51" s="12">
        <f>IF(K51&lt;=0,"RESERVATION_DEFICIT",IF(L51&lt;=0,"QUOTA_DEFICIT",IF(M51&lt;I51*0.5,"READY_WITH_RISK","READY")))</f>
        <v/>
      </c>
      <c r="P51" s="12" t="inlineStr"/>
    </row>
    <row r="52">
      <c r="A52" s="12" t="inlineStr">
        <is>
          <t>Central US</t>
        </is>
      </c>
      <c r="B52" s="12" t="inlineStr">
        <is>
          <t>US</t>
        </is>
      </c>
      <c r="C52" s="12" t="inlineStr">
        <is>
          <t>DR</t>
        </is>
      </c>
      <c r="D52" s="12" t="inlineStr">
        <is>
          <t>Standard_D16as_v5</t>
        </is>
      </c>
      <c r="E52" s="12">
        <f>VLOOKUP(D52,SKU_Family_Map!$A:$B,2,FALSE)</f>
        <v/>
      </c>
      <c r="F52" s="12" t="inlineStr">
        <is>
          <t>crg-dr-cus-reg</t>
        </is>
      </c>
      <c r="G52" s="16" t="n">
        <v>16</v>
      </c>
      <c r="H52" s="16" t="n">
        <v>1306</v>
      </c>
      <c r="I52" s="16" t="n">
        <v>157</v>
      </c>
      <c r="J52" s="16">
        <f>H52+I52</f>
        <v/>
      </c>
      <c r="K52" s="16">
        <f>J52-H52</f>
        <v/>
      </c>
      <c r="L52" s="16">
        <f>SUMIFS(Quota_Groups!$G:$G,Quota_Groups!$B:$B,A52,Quota_Groups!$D:$D,E52)</f>
        <v/>
      </c>
      <c r="M52" s="18">
        <f>MIN(K52,L52)</f>
        <v/>
      </c>
      <c r="N52" s="12">
        <f>IF(K52&lt;=L52,"CAPACITY","QUOTA")</f>
        <v/>
      </c>
      <c r="O52" s="12">
        <f>IF(K52&lt;=0,"RESERVATION_DEFICIT",IF(L52&lt;=0,"QUOTA_DEFICIT",IF(M52&lt;I52*0.5,"READY_WITH_RISK","READY")))</f>
        <v/>
      </c>
      <c r="P52" s="12" t="inlineStr"/>
    </row>
    <row r="53">
      <c r="A53" s="12" t="inlineStr">
        <is>
          <t>Canada Central</t>
        </is>
      </c>
      <c r="B53" s="12" t="inlineStr">
        <is>
          <t>US</t>
        </is>
      </c>
      <c r="C53" s="12" t="inlineStr">
        <is>
          <t>Prod</t>
        </is>
      </c>
      <c r="D53" s="12" t="inlineStr">
        <is>
          <t>Standard_E32ads_v5</t>
        </is>
      </c>
      <c r="E53" s="12">
        <f>VLOOKUP(D53,SKU_Family_Map!$A:$B,2,FALSE)</f>
        <v/>
      </c>
      <c r="F53" s="12" t="inlineStr">
        <is>
          <t>crg-pr-cac-reg</t>
        </is>
      </c>
      <c r="G53" s="16" t="n">
        <v>32</v>
      </c>
      <c r="H53" s="16" t="n">
        <v>949</v>
      </c>
      <c r="I53" s="16" t="n">
        <v>114</v>
      </c>
      <c r="J53" s="16">
        <f>H53+I53</f>
        <v/>
      </c>
      <c r="K53" s="16">
        <f>J53-H53</f>
        <v/>
      </c>
      <c r="L53" s="16">
        <f>SUMIFS(Quota_Groups!$G:$G,Quota_Groups!$B:$B,A53,Quota_Groups!$D:$D,E53)</f>
        <v/>
      </c>
      <c r="M53" s="18">
        <f>MIN(K53,L53)</f>
        <v/>
      </c>
      <c r="N53" s="12">
        <f>IF(K53&lt;=L53,"CAPACITY","QUOTA")</f>
        <v/>
      </c>
      <c r="O53" s="12">
        <f>IF(K53&lt;=0,"RESERVATION_DEFICIT",IF(L53&lt;=0,"QUOTA_DEFICIT",IF(M53&lt;I53*0.5,"READY_WITH_RISK","READY")))</f>
        <v/>
      </c>
      <c r="P53" s="12" t="inlineStr">
        <is>
          <t>mock</t>
        </is>
      </c>
    </row>
    <row r="54">
      <c r="A54" s="12" t="inlineStr">
        <is>
          <t>Canada Central</t>
        </is>
      </c>
      <c r="B54" s="12" t="inlineStr">
        <is>
          <t>US</t>
        </is>
      </c>
      <c r="C54" s="12" t="inlineStr">
        <is>
          <t>Prod</t>
        </is>
      </c>
      <c r="D54" s="12" t="inlineStr">
        <is>
          <t>Standard_E64ads_v5</t>
        </is>
      </c>
      <c r="E54" s="12">
        <f>VLOOKUP(D54,SKU_Family_Map!$A:$B,2,FALSE)</f>
        <v/>
      </c>
      <c r="F54" s="12" t="inlineStr">
        <is>
          <t>crg-pr-cac-reg</t>
        </is>
      </c>
      <c r="G54" s="16" t="n">
        <v>64</v>
      </c>
      <c r="H54" s="16" t="n">
        <v>1781</v>
      </c>
      <c r="I54" s="16" t="n">
        <v>214</v>
      </c>
      <c r="J54" s="16">
        <f>H54+I54</f>
        <v/>
      </c>
      <c r="K54" s="16">
        <f>J54-H54</f>
        <v/>
      </c>
      <c r="L54" s="16">
        <f>SUMIFS(Quota_Groups!$G:$G,Quota_Groups!$B:$B,A54,Quota_Groups!$D:$D,E54)</f>
        <v/>
      </c>
      <c r="M54" s="18">
        <f>MIN(K54,L54)</f>
        <v/>
      </c>
      <c r="N54" s="12">
        <f>IF(K54&lt;=L54,"CAPACITY","QUOTA")</f>
        <v/>
      </c>
      <c r="O54" s="12">
        <f>IF(K54&lt;=0,"RESERVATION_DEFICIT",IF(L54&lt;=0,"QUOTA_DEFICIT",IF(M54&lt;I54*0.5,"READY_WITH_RISK","READY")))</f>
        <v/>
      </c>
      <c r="P54" s="12" t="inlineStr">
        <is>
          <t>mock</t>
        </is>
      </c>
    </row>
    <row r="55">
      <c r="A55" s="12" t="inlineStr">
        <is>
          <t>Canada Central</t>
        </is>
      </c>
      <c r="B55" s="12" t="inlineStr">
        <is>
          <t>US</t>
        </is>
      </c>
      <c r="C55" s="12" t="inlineStr">
        <is>
          <t>Prod</t>
        </is>
      </c>
      <c r="D55" s="12" t="inlineStr">
        <is>
          <t>Standard_E16ads_v5</t>
        </is>
      </c>
      <c r="E55" s="12">
        <f>VLOOKUP(D55,SKU_Family_Map!$A:$B,2,FALSE)</f>
        <v/>
      </c>
      <c r="F55" s="12" t="inlineStr">
        <is>
          <t>crg-pr-cac-reg</t>
        </is>
      </c>
      <c r="G55" s="16" t="n">
        <v>16</v>
      </c>
      <c r="H55" s="16" t="n">
        <v>1208</v>
      </c>
      <c r="I55" s="16" t="n">
        <v>145</v>
      </c>
      <c r="J55" s="16">
        <f>H55+I55</f>
        <v/>
      </c>
      <c r="K55" s="16">
        <f>J55-H55</f>
        <v/>
      </c>
      <c r="L55" s="16">
        <f>SUMIFS(Quota_Groups!$G:$G,Quota_Groups!$B:$B,A55,Quota_Groups!$D:$D,E55)</f>
        <v/>
      </c>
      <c r="M55" s="18">
        <f>MIN(K55,L55)</f>
        <v/>
      </c>
      <c r="N55" s="12">
        <f>IF(K55&lt;=L55,"CAPACITY","QUOTA")</f>
        <v/>
      </c>
      <c r="O55" s="12">
        <f>IF(K55&lt;=0,"RESERVATION_DEFICIT",IF(L55&lt;=0,"QUOTA_DEFICIT",IF(M55&lt;I55*0.5,"READY_WITH_RISK","READY")))</f>
        <v/>
      </c>
      <c r="P55" s="12" t="inlineStr">
        <is>
          <t>mock</t>
        </is>
      </c>
    </row>
    <row r="56">
      <c r="A56" s="12" t="inlineStr">
        <is>
          <t>Canada Central</t>
        </is>
      </c>
      <c r="B56" s="12" t="inlineStr">
        <is>
          <t>US</t>
        </is>
      </c>
      <c r="C56" s="12" t="inlineStr">
        <is>
          <t>Prod</t>
        </is>
      </c>
      <c r="D56" s="12" t="inlineStr">
        <is>
          <t>Standard_E32ads_v6</t>
        </is>
      </c>
      <c r="E56" s="12">
        <f>VLOOKUP(D56,SKU_Family_Map!$A:$B,2,FALSE)</f>
        <v/>
      </c>
      <c r="F56" s="12" t="inlineStr">
        <is>
          <t>crg-pr-cac-reg</t>
        </is>
      </c>
      <c r="G56" s="16" t="n">
        <v>32</v>
      </c>
      <c r="H56" s="16" t="n">
        <v>3925</v>
      </c>
      <c r="I56" s="16" t="n">
        <v>471</v>
      </c>
      <c r="J56" s="16">
        <f>H56+I56</f>
        <v/>
      </c>
      <c r="K56" s="16">
        <f>J56-H56</f>
        <v/>
      </c>
      <c r="L56" s="16">
        <f>SUMIFS(Quota_Groups!$G:$G,Quota_Groups!$B:$B,A56,Quota_Groups!$D:$D,E56)</f>
        <v/>
      </c>
      <c r="M56" s="18">
        <f>MIN(K56,L56)</f>
        <v/>
      </c>
      <c r="N56" s="12">
        <f>IF(K56&lt;=L56,"CAPACITY","QUOTA")</f>
        <v/>
      </c>
      <c r="O56" s="12">
        <f>IF(K56&lt;=0,"RESERVATION_DEFICIT",IF(L56&lt;=0,"QUOTA_DEFICIT",IF(M56&lt;I56*0.5,"READY_WITH_RISK","READY")))</f>
        <v/>
      </c>
      <c r="P56" s="12" t="inlineStr">
        <is>
          <t>mock</t>
        </is>
      </c>
    </row>
    <row r="57">
      <c r="A57" s="12" t="inlineStr">
        <is>
          <t>Canada Central</t>
        </is>
      </c>
      <c r="B57" s="12" t="inlineStr">
        <is>
          <t>US</t>
        </is>
      </c>
      <c r="C57" s="12" t="inlineStr">
        <is>
          <t>Prod</t>
        </is>
      </c>
      <c r="D57" s="12" t="inlineStr">
        <is>
          <t>Standard_D8ads_v5</t>
        </is>
      </c>
      <c r="E57" s="12">
        <f>VLOOKUP(D57,SKU_Family_Map!$A:$B,2,FALSE)</f>
        <v/>
      </c>
      <c r="F57" s="12" t="inlineStr">
        <is>
          <t>crg-pr-cac-reg</t>
        </is>
      </c>
      <c r="G57" s="16" t="n">
        <v>8</v>
      </c>
      <c r="H57" s="16" t="n">
        <v>1891</v>
      </c>
      <c r="I57" s="16" t="n">
        <v>227</v>
      </c>
      <c r="J57" s="16">
        <f>H57+I57</f>
        <v/>
      </c>
      <c r="K57" s="16">
        <f>J57-H57</f>
        <v/>
      </c>
      <c r="L57" s="16">
        <f>SUMIFS(Quota_Groups!$G:$G,Quota_Groups!$B:$B,A57,Quota_Groups!$D:$D,E57)</f>
        <v/>
      </c>
      <c r="M57" s="18">
        <f>MIN(K57,L57)</f>
        <v/>
      </c>
      <c r="N57" s="12">
        <f>IF(K57&lt;=L57,"CAPACITY","QUOTA")</f>
        <v/>
      </c>
      <c r="O57" s="12">
        <f>IF(K57&lt;=0,"RESERVATION_DEFICIT",IF(L57&lt;=0,"QUOTA_DEFICIT",IF(M57&lt;I57*0.5,"READY_WITH_RISK","READY")))</f>
        <v/>
      </c>
      <c r="P57" s="12" t="inlineStr">
        <is>
          <t>mock</t>
        </is>
      </c>
    </row>
    <row r="58">
      <c r="A58" s="12" t="inlineStr">
        <is>
          <t>Canada Central</t>
        </is>
      </c>
      <c r="B58" s="12" t="inlineStr">
        <is>
          <t>US</t>
        </is>
      </c>
      <c r="C58" s="12" t="inlineStr">
        <is>
          <t>Prod</t>
        </is>
      </c>
      <c r="D58" s="12" t="inlineStr">
        <is>
          <t>Standard_D16ads_v5</t>
        </is>
      </c>
      <c r="E58" s="12">
        <f>VLOOKUP(D58,SKU_Family_Map!$A:$B,2,FALSE)</f>
        <v/>
      </c>
      <c r="F58" s="12" t="inlineStr">
        <is>
          <t>crg-pr-cac-reg</t>
        </is>
      </c>
      <c r="G58" s="16" t="n">
        <v>16</v>
      </c>
      <c r="H58" s="16" t="n">
        <v>1144</v>
      </c>
      <c r="I58" s="16" t="n">
        <v>137</v>
      </c>
      <c r="J58" s="16">
        <f>H58+I58</f>
        <v/>
      </c>
      <c r="K58" s="16">
        <f>J58-H58</f>
        <v/>
      </c>
      <c r="L58" s="16">
        <f>SUMIFS(Quota_Groups!$G:$G,Quota_Groups!$B:$B,A58,Quota_Groups!$D:$D,E58)</f>
        <v/>
      </c>
      <c r="M58" s="18">
        <f>MIN(K58,L58)</f>
        <v/>
      </c>
      <c r="N58" s="12">
        <f>IF(K58&lt;=L58,"CAPACITY","QUOTA")</f>
        <v/>
      </c>
      <c r="O58" s="12">
        <f>IF(K58&lt;=0,"RESERVATION_DEFICIT",IF(L58&lt;=0,"QUOTA_DEFICIT",IF(M58&lt;I58*0.5,"READY_WITH_RISK","READY")))</f>
        <v/>
      </c>
      <c r="P58" s="12" t="inlineStr">
        <is>
          <t>mock</t>
        </is>
      </c>
    </row>
    <row r="59">
      <c r="A59" s="12" t="inlineStr">
        <is>
          <t>Canada Central</t>
        </is>
      </c>
      <c r="B59" s="12" t="inlineStr">
        <is>
          <t>US</t>
        </is>
      </c>
      <c r="C59" s="12" t="inlineStr">
        <is>
          <t>Prod</t>
        </is>
      </c>
      <c r="D59" s="12" t="inlineStr">
        <is>
          <t>Standard_D8as_v5</t>
        </is>
      </c>
      <c r="E59" s="12">
        <f>VLOOKUP(D59,SKU_Family_Map!$A:$B,2,FALSE)</f>
        <v/>
      </c>
      <c r="F59" s="12" t="inlineStr">
        <is>
          <t>crg-pr-cac-reg</t>
        </is>
      </c>
      <c r="G59" s="16" t="n">
        <v>8</v>
      </c>
      <c r="H59" s="16" t="n">
        <v>2507</v>
      </c>
      <c r="I59" s="16" t="n">
        <v>301</v>
      </c>
      <c r="J59" s="16">
        <f>H59+I59</f>
        <v/>
      </c>
      <c r="K59" s="16">
        <f>J59-H59</f>
        <v/>
      </c>
      <c r="L59" s="16">
        <f>SUMIFS(Quota_Groups!$G:$G,Quota_Groups!$B:$B,A59,Quota_Groups!$D:$D,E59)</f>
        <v/>
      </c>
      <c r="M59" s="18">
        <f>MIN(K59,L59)</f>
        <v/>
      </c>
      <c r="N59" s="12">
        <f>IF(K59&lt;=L59,"CAPACITY","QUOTA")</f>
        <v/>
      </c>
      <c r="O59" s="12">
        <f>IF(K59&lt;=0,"RESERVATION_DEFICIT",IF(L59&lt;=0,"QUOTA_DEFICIT",IF(M59&lt;I59*0.5,"READY_WITH_RISK","READY")))</f>
        <v/>
      </c>
      <c r="P59" s="12" t="inlineStr">
        <is>
          <t>mock</t>
        </is>
      </c>
    </row>
    <row r="60">
      <c r="A60" s="12" t="inlineStr">
        <is>
          <t>Canada Central</t>
        </is>
      </c>
      <c r="B60" s="12" t="inlineStr">
        <is>
          <t>US</t>
        </is>
      </c>
      <c r="C60" s="12" t="inlineStr">
        <is>
          <t>Prod</t>
        </is>
      </c>
      <c r="D60" s="12" t="inlineStr">
        <is>
          <t>Standard_D16as_v5</t>
        </is>
      </c>
      <c r="E60" s="12">
        <f>VLOOKUP(D60,SKU_Family_Map!$A:$B,2,FALSE)</f>
        <v/>
      </c>
      <c r="F60" s="12" t="inlineStr">
        <is>
          <t>crg-pr-cac-reg</t>
        </is>
      </c>
      <c r="G60" s="16" t="n">
        <v>16</v>
      </c>
      <c r="H60" s="16" t="n">
        <v>1624</v>
      </c>
      <c r="I60" s="16" t="n">
        <v>195</v>
      </c>
      <c r="J60" s="16">
        <f>H60+I60</f>
        <v/>
      </c>
      <c r="K60" s="16">
        <f>J60-H60</f>
        <v/>
      </c>
      <c r="L60" s="16">
        <f>SUMIFS(Quota_Groups!$G:$G,Quota_Groups!$B:$B,A60,Quota_Groups!$D:$D,E60)</f>
        <v/>
      </c>
      <c r="M60" s="18">
        <f>MIN(K60,L60)</f>
        <v/>
      </c>
      <c r="N60" s="12">
        <f>IF(K60&lt;=L60,"CAPACITY","QUOTA")</f>
        <v/>
      </c>
      <c r="O60" s="12">
        <f>IF(K60&lt;=0,"RESERVATION_DEFICIT",IF(L60&lt;=0,"QUOTA_DEFICIT",IF(M60&lt;I60*0.5,"READY_WITH_RISK","READY")))</f>
        <v/>
      </c>
      <c r="P60" s="12" t="inlineStr">
        <is>
          <t>mock</t>
        </is>
      </c>
    </row>
    <row r="61">
      <c r="A61" s="12" t="inlineStr">
        <is>
          <t>Canada Central</t>
        </is>
      </c>
      <c r="B61" s="12" t="inlineStr">
        <is>
          <t>US</t>
        </is>
      </c>
      <c r="C61" s="12" t="inlineStr">
        <is>
          <t>NonProd</t>
        </is>
      </c>
      <c r="D61" s="12" t="inlineStr">
        <is>
          <t>Standard_E32ads_v5</t>
        </is>
      </c>
      <c r="E61" s="12">
        <f>VLOOKUP(D61,SKU_Family_Map!$A:$B,2,FALSE)</f>
        <v/>
      </c>
      <c r="F61" s="12" t="inlineStr">
        <is>
          <t>crg-np-cac-reg</t>
        </is>
      </c>
      <c r="G61" s="16" t="n">
        <v>32</v>
      </c>
      <c r="H61" s="16" t="n">
        <v>14245</v>
      </c>
      <c r="I61" s="16" t="n">
        <v>1709</v>
      </c>
      <c r="J61" s="16">
        <f>H61+I61</f>
        <v/>
      </c>
      <c r="K61" s="16">
        <f>J61-H61</f>
        <v/>
      </c>
      <c r="L61" s="16">
        <f>SUMIFS(Quota_Groups!$G:$G,Quota_Groups!$B:$B,A61,Quota_Groups!$D:$D,E61)</f>
        <v/>
      </c>
      <c r="M61" s="18">
        <f>MIN(K61,L61)</f>
        <v/>
      </c>
      <c r="N61" s="12">
        <f>IF(K61&lt;=L61,"CAPACITY","QUOTA")</f>
        <v/>
      </c>
      <c r="O61" s="12">
        <f>IF(K61&lt;=0,"RESERVATION_DEFICIT",IF(L61&lt;=0,"QUOTA_DEFICIT",IF(M61&lt;I61*0.5,"READY_WITH_RISK","READY")))</f>
        <v/>
      </c>
      <c r="P61" s="12" t="inlineStr">
        <is>
          <t>mock</t>
        </is>
      </c>
    </row>
    <row r="62">
      <c r="A62" s="12" t="inlineStr">
        <is>
          <t>Canada Central</t>
        </is>
      </c>
      <c r="B62" s="12" t="inlineStr">
        <is>
          <t>US</t>
        </is>
      </c>
      <c r="C62" s="12" t="inlineStr">
        <is>
          <t>NonProd</t>
        </is>
      </c>
      <c r="D62" s="12" t="inlineStr">
        <is>
          <t>Standard_E64ads_v5</t>
        </is>
      </c>
      <c r="E62" s="12">
        <f>VLOOKUP(D62,SKU_Family_Map!$A:$B,2,FALSE)</f>
        <v/>
      </c>
      <c r="F62" s="12" t="inlineStr">
        <is>
          <t>crg-np-cac-reg</t>
        </is>
      </c>
      <c r="G62" s="16" t="n">
        <v>64</v>
      </c>
      <c r="H62" s="16" t="n">
        <v>8832</v>
      </c>
      <c r="I62" s="16" t="n">
        <v>1060</v>
      </c>
      <c r="J62" s="16">
        <f>H62+I62</f>
        <v/>
      </c>
      <c r="K62" s="16">
        <f>J62-H62</f>
        <v/>
      </c>
      <c r="L62" s="16">
        <f>SUMIFS(Quota_Groups!$G:$G,Quota_Groups!$B:$B,A62,Quota_Groups!$D:$D,E62)</f>
        <v/>
      </c>
      <c r="M62" s="18">
        <f>MIN(K62,L62)</f>
        <v/>
      </c>
      <c r="N62" s="12">
        <f>IF(K62&lt;=L62,"CAPACITY","QUOTA")</f>
        <v/>
      </c>
      <c r="O62" s="12">
        <f>IF(K62&lt;=0,"RESERVATION_DEFICIT",IF(L62&lt;=0,"QUOTA_DEFICIT",IF(M62&lt;I62*0.5,"READY_WITH_RISK","READY")))</f>
        <v/>
      </c>
      <c r="P62" s="12" t="inlineStr">
        <is>
          <t>mock</t>
        </is>
      </c>
    </row>
    <row r="63">
      <c r="A63" s="12" t="inlineStr">
        <is>
          <t>Canada Central</t>
        </is>
      </c>
      <c r="B63" s="12" t="inlineStr">
        <is>
          <t>US</t>
        </is>
      </c>
      <c r="C63" s="12" t="inlineStr">
        <is>
          <t>NonProd</t>
        </is>
      </c>
      <c r="D63" s="12" t="inlineStr">
        <is>
          <t>Standard_E16ads_v5</t>
        </is>
      </c>
      <c r="E63" s="12">
        <f>VLOOKUP(D63,SKU_Family_Map!$A:$B,2,FALSE)</f>
        <v/>
      </c>
      <c r="F63" s="12" t="inlineStr">
        <is>
          <t>crg-np-cac-reg</t>
        </is>
      </c>
      <c r="G63" s="16" t="n">
        <v>16</v>
      </c>
      <c r="H63" s="16" t="n">
        <v>3059</v>
      </c>
      <c r="I63" s="16" t="n">
        <v>367</v>
      </c>
      <c r="J63" s="16">
        <f>H63+I63</f>
        <v/>
      </c>
      <c r="K63" s="16">
        <f>J63-H63</f>
        <v/>
      </c>
      <c r="L63" s="16">
        <f>SUMIFS(Quota_Groups!$G:$G,Quota_Groups!$B:$B,A63,Quota_Groups!$D:$D,E63)</f>
        <v/>
      </c>
      <c r="M63" s="18">
        <f>MIN(K63,L63)</f>
        <v/>
      </c>
      <c r="N63" s="12">
        <f>IF(K63&lt;=L63,"CAPACITY","QUOTA")</f>
        <v/>
      </c>
      <c r="O63" s="12">
        <f>IF(K63&lt;=0,"RESERVATION_DEFICIT",IF(L63&lt;=0,"QUOTA_DEFICIT",IF(M63&lt;I63*0.5,"READY_WITH_RISK","READY")))</f>
        <v/>
      </c>
      <c r="P63" s="12" t="inlineStr">
        <is>
          <t>mock</t>
        </is>
      </c>
    </row>
    <row r="64">
      <c r="A64" s="12" t="inlineStr">
        <is>
          <t>Canada Central</t>
        </is>
      </c>
      <c r="B64" s="12" t="inlineStr">
        <is>
          <t>US</t>
        </is>
      </c>
      <c r="C64" s="12" t="inlineStr">
        <is>
          <t>NonProd</t>
        </is>
      </c>
      <c r="D64" s="12" t="inlineStr">
        <is>
          <t>Standard_E32ads_v6</t>
        </is>
      </c>
      <c r="E64" s="12">
        <f>VLOOKUP(D64,SKU_Family_Map!$A:$B,2,FALSE)</f>
        <v/>
      </c>
      <c r="F64" s="12" t="inlineStr">
        <is>
          <t>crg-np-cac-reg</t>
        </is>
      </c>
      <c r="G64" s="16" t="n">
        <v>32</v>
      </c>
      <c r="H64" s="16" t="n">
        <v>2987</v>
      </c>
      <c r="I64" s="16" t="n">
        <v>358</v>
      </c>
      <c r="J64" s="16">
        <f>H64+I64</f>
        <v/>
      </c>
      <c r="K64" s="16">
        <f>J64-H64</f>
        <v/>
      </c>
      <c r="L64" s="16">
        <f>SUMIFS(Quota_Groups!$G:$G,Quota_Groups!$B:$B,A64,Quota_Groups!$D:$D,E64)</f>
        <v/>
      </c>
      <c r="M64" s="18">
        <f>MIN(K64,L64)</f>
        <v/>
      </c>
      <c r="N64" s="12">
        <f>IF(K64&lt;=L64,"CAPACITY","QUOTA")</f>
        <v/>
      </c>
      <c r="O64" s="12">
        <f>IF(K64&lt;=0,"RESERVATION_DEFICIT",IF(L64&lt;=0,"QUOTA_DEFICIT",IF(M64&lt;I64*0.5,"READY_WITH_RISK","READY")))</f>
        <v/>
      </c>
      <c r="P64" s="12" t="inlineStr">
        <is>
          <t>mock</t>
        </is>
      </c>
    </row>
    <row r="65">
      <c r="A65" s="12" t="inlineStr">
        <is>
          <t>Canada Central</t>
        </is>
      </c>
      <c r="B65" s="12" t="inlineStr">
        <is>
          <t>US</t>
        </is>
      </c>
      <c r="C65" s="12" t="inlineStr">
        <is>
          <t>NonProd</t>
        </is>
      </c>
      <c r="D65" s="12" t="inlineStr">
        <is>
          <t>Standard_D8ads_v5</t>
        </is>
      </c>
      <c r="E65" s="12">
        <f>VLOOKUP(D65,SKU_Family_Map!$A:$B,2,FALSE)</f>
        <v/>
      </c>
      <c r="F65" s="12" t="inlineStr">
        <is>
          <t>crg-np-cac-reg</t>
        </is>
      </c>
      <c r="G65" s="16" t="n">
        <v>8</v>
      </c>
      <c r="H65" s="16" t="n">
        <v>2991</v>
      </c>
      <c r="I65" s="16" t="n">
        <v>359</v>
      </c>
      <c r="J65" s="16">
        <f>H65+I65</f>
        <v/>
      </c>
      <c r="K65" s="16">
        <f>J65-H65</f>
        <v/>
      </c>
      <c r="L65" s="16">
        <f>SUMIFS(Quota_Groups!$G:$G,Quota_Groups!$B:$B,A65,Quota_Groups!$D:$D,E65)</f>
        <v/>
      </c>
      <c r="M65" s="18">
        <f>MIN(K65,L65)</f>
        <v/>
      </c>
      <c r="N65" s="12">
        <f>IF(K65&lt;=L65,"CAPACITY","QUOTA")</f>
        <v/>
      </c>
      <c r="O65" s="12">
        <f>IF(K65&lt;=0,"RESERVATION_DEFICIT",IF(L65&lt;=0,"QUOTA_DEFICIT",IF(M65&lt;I65*0.5,"READY_WITH_RISK","READY")))</f>
        <v/>
      </c>
      <c r="P65" s="12" t="inlineStr">
        <is>
          <t>mock</t>
        </is>
      </c>
    </row>
    <row r="66">
      <c r="A66" s="12" t="inlineStr">
        <is>
          <t>Canada Central</t>
        </is>
      </c>
      <c r="B66" s="12" t="inlineStr">
        <is>
          <t>US</t>
        </is>
      </c>
      <c r="C66" s="12" t="inlineStr">
        <is>
          <t>NonProd</t>
        </is>
      </c>
      <c r="D66" s="12" t="inlineStr">
        <is>
          <t>Standard_D16ads_v5</t>
        </is>
      </c>
      <c r="E66" s="12">
        <f>VLOOKUP(D66,SKU_Family_Map!$A:$B,2,FALSE)</f>
        <v/>
      </c>
      <c r="F66" s="12" t="inlineStr">
        <is>
          <t>crg-np-cac-reg</t>
        </is>
      </c>
      <c r="G66" s="16" t="n">
        <v>16</v>
      </c>
      <c r="H66" s="16" t="n">
        <v>1523</v>
      </c>
      <c r="I66" s="16" t="n">
        <v>183</v>
      </c>
      <c r="J66" s="16">
        <f>H66+I66</f>
        <v/>
      </c>
      <c r="K66" s="16">
        <f>J66-H66</f>
        <v/>
      </c>
      <c r="L66" s="16">
        <f>SUMIFS(Quota_Groups!$G:$G,Quota_Groups!$B:$B,A66,Quota_Groups!$D:$D,E66)</f>
        <v/>
      </c>
      <c r="M66" s="18">
        <f>MIN(K66,L66)</f>
        <v/>
      </c>
      <c r="N66" s="12">
        <f>IF(K66&lt;=L66,"CAPACITY","QUOTA")</f>
        <v/>
      </c>
      <c r="O66" s="12">
        <f>IF(K66&lt;=0,"RESERVATION_DEFICIT",IF(L66&lt;=0,"QUOTA_DEFICIT",IF(M66&lt;I66*0.5,"READY_WITH_RISK","READY")))</f>
        <v/>
      </c>
      <c r="P66" s="12" t="inlineStr">
        <is>
          <t>mock</t>
        </is>
      </c>
    </row>
    <row r="67">
      <c r="A67" s="12" t="inlineStr">
        <is>
          <t>Canada Central</t>
        </is>
      </c>
      <c r="B67" s="12" t="inlineStr">
        <is>
          <t>US</t>
        </is>
      </c>
      <c r="C67" s="12" t="inlineStr">
        <is>
          <t>NonProd</t>
        </is>
      </c>
      <c r="D67" s="12" t="inlineStr">
        <is>
          <t>Standard_D8as_v5</t>
        </is>
      </c>
      <c r="E67" s="12">
        <f>VLOOKUP(D67,SKU_Family_Map!$A:$B,2,FALSE)</f>
        <v/>
      </c>
      <c r="F67" s="12" t="inlineStr">
        <is>
          <t>crg-np-cac-reg</t>
        </is>
      </c>
      <c r="G67" s="16" t="n">
        <v>8</v>
      </c>
      <c r="H67" s="16" t="n">
        <v>2100</v>
      </c>
      <c r="I67" s="16" t="n">
        <v>252</v>
      </c>
      <c r="J67" s="16">
        <f>H67+I67</f>
        <v/>
      </c>
      <c r="K67" s="16">
        <f>J67-H67</f>
        <v/>
      </c>
      <c r="L67" s="16">
        <f>SUMIFS(Quota_Groups!$G:$G,Quota_Groups!$B:$B,A67,Quota_Groups!$D:$D,E67)</f>
        <v/>
      </c>
      <c r="M67" s="18">
        <f>MIN(K67,L67)</f>
        <v/>
      </c>
      <c r="N67" s="12">
        <f>IF(K67&lt;=L67,"CAPACITY","QUOTA")</f>
        <v/>
      </c>
      <c r="O67" s="12">
        <f>IF(K67&lt;=0,"RESERVATION_DEFICIT",IF(L67&lt;=0,"QUOTA_DEFICIT",IF(M67&lt;I67*0.5,"READY_WITH_RISK","READY")))</f>
        <v/>
      </c>
      <c r="P67" s="12" t="inlineStr">
        <is>
          <t>mock</t>
        </is>
      </c>
    </row>
    <row r="68">
      <c r="A68" s="12" t="inlineStr">
        <is>
          <t>Canada Central</t>
        </is>
      </c>
      <c r="B68" s="12" t="inlineStr">
        <is>
          <t>US</t>
        </is>
      </c>
      <c r="C68" s="12" t="inlineStr">
        <is>
          <t>NonProd</t>
        </is>
      </c>
      <c r="D68" s="12" t="inlineStr">
        <is>
          <t>Standard_D16as_v5</t>
        </is>
      </c>
      <c r="E68" s="12">
        <f>VLOOKUP(D68,SKU_Family_Map!$A:$B,2,FALSE)</f>
        <v/>
      </c>
      <c r="F68" s="12" t="inlineStr">
        <is>
          <t>crg-np-cac-reg</t>
        </is>
      </c>
      <c r="G68" s="16" t="n">
        <v>16</v>
      </c>
      <c r="H68" s="16" t="n">
        <v>507</v>
      </c>
      <c r="I68" s="16" t="n">
        <v>61</v>
      </c>
      <c r="J68" s="16">
        <f>H68+I68</f>
        <v/>
      </c>
      <c r="K68" s="16">
        <f>J68-H68</f>
        <v/>
      </c>
      <c r="L68" s="16">
        <f>SUMIFS(Quota_Groups!$G:$G,Quota_Groups!$B:$B,A68,Quota_Groups!$D:$D,E68)</f>
        <v/>
      </c>
      <c r="M68" s="18">
        <f>MIN(K68,L68)</f>
        <v/>
      </c>
      <c r="N68" s="12">
        <f>IF(K68&lt;=L68,"CAPACITY","QUOTA")</f>
        <v/>
      </c>
      <c r="O68" s="12">
        <f>IF(K68&lt;=0,"RESERVATION_DEFICIT",IF(L68&lt;=0,"QUOTA_DEFICIT",IF(M68&lt;I68*0.5,"READY_WITH_RISK","READY")))</f>
        <v/>
      </c>
      <c r="P68" s="12" t="inlineStr">
        <is>
          <t>mock</t>
        </is>
      </c>
    </row>
    <row r="69">
      <c r="A69" s="12" t="inlineStr">
        <is>
          <t>Canada Central</t>
        </is>
      </c>
      <c r="B69" s="12" t="inlineStr">
        <is>
          <t>US</t>
        </is>
      </c>
      <c r="C69" s="12" t="inlineStr">
        <is>
          <t>DR</t>
        </is>
      </c>
      <c r="D69" s="12" t="inlineStr">
        <is>
          <t>Standard_E32ads_v5</t>
        </is>
      </c>
      <c r="E69" s="12">
        <f>VLOOKUP(D69,SKU_Family_Map!$A:$B,2,FALSE)</f>
        <v/>
      </c>
      <c r="F69" s="12" t="inlineStr">
        <is>
          <t>crg-dr-cac-reg</t>
        </is>
      </c>
      <c r="G69" s="16" t="n">
        <v>32</v>
      </c>
      <c r="H69" s="16" t="n">
        <v>285</v>
      </c>
      <c r="I69" s="16" t="n">
        <v>34</v>
      </c>
      <c r="J69" s="16">
        <f>H69+I69</f>
        <v/>
      </c>
      <c r="K69" s="16">
        <f>J69-H69</f>
        <v/>
      </c>
      <c r="L69" s="16">
        <f>SUMIFS(Quota_Groups!$G:$G,Quota_Groups!$B:$B,A69,Quota_Groups!$D:$D,E69)</f>
        <v/>
      </c>
      <c r="M69" s="18">
        <f>MIN(K69,L69)</f>
        <v/>
      </c>
      <c r="N69" s="12">
        <f>IF(K69&lt;=L69,"CAPACITY","QUOTA")</f>
        <v/>
      </c>
      <c r="O69" s="12">
        <f>IF(K69&lt;=0,"RESERVATION_DEFICIT",IF(L69&lt;=0,"QUOTA_DEFICIT",IF(M69&lt;I69*0.5,"READY_WITH_RISK","READY")))</f>
        <v/>
      </c>
      <c r="P69" s="12" t="inlineStr">
        <is>
          <t>mock</t>
        </is>
      </c>
    </row>
    <row r="70">
      <c r="A70" s="12" t="inlineStr">
        <is>
          <t>Canada Central</t>
        </is>
      </c>
      <c r="B70" s="12" t="inlineStr">
        <is>
          <t>US</t>
        </is>
      </c>
      <c r="C70" s="12" t="inlineStr">
        <is>
          <t>DR</t>
        </is>
      </c>
      <c r="D70" s="12" t="inlineStr">
        <is>
          <t>Standard_E64ads_v5</t>
        </is>
      </c>
      <c r="E70" s="12">
        <f>VLOOKUP(D70,SKU_Family_Map!$A:$B,2,FALSE)</f>
        <v/>
      </c>
      <c r="F70" s="12" t="inlineStr">
        <is>
          <t>crg-dr-cac-reg</t>
        </is>
      </c>
      <c r="G70" s="16" t="n">
        <v>64</v>
      </c>
      <c r="H70" s="16" t="n">
        <v>534</v>
      </c>
      <c r="I70" s="16" t="n">
        <v>64</v>
      </c>
      <c r="J70" s="16">
        <f>H70+I70</f>
        <v/>
      </c>
      <c r="K70" s="16">
        <f>J70-H70</f>
        <v/>
      </c>
      <c r="L70" s="16">
        <f>SUMIFS(Quota_Groups!$G:$G,Quota_Groups!$B:$B,A70,Quota_Groups!$D:$D,E70)</f>
        <v/>
      </c>
      <c r="M70" s="18">
        <f>MIN(K70,L70)</f>
        <v/>
      </c>
      <c r="N70" s="12">
        <f>IF(K70&lt;=L70,"CAPACITY","QUOTA")</f>
        <v/>
      </c>
      <c r="O70" s="12">
        <f>IF(K70&lt;=0,"RESERVATION_DEFICIT",IF(L70&lt;=0,"QUOTA_DEFICIT",IF(M70&lt;I70*0.5,"READY_WITH_RISK","READY")))</f>
        <v/>
      </c>
      <c r="P70" s="12" t="inlineStr">
        <is>
          <t>mock</t>
        </is>
      </c>
    </row>
    <row r="71">
      <c r="A71" s="12" t="inlineStr">
        <is>
          <t>Canada Central</t>
        </is>
      </c>
      <c r="B71" s="12" t="inlineStr">
        <is>
          <t>US</t>
        </is>
      </c>
      <c r="C71" s="12" t="inlineStr">
        <is>
          <t>DR</t>
        </is>
      </c>
      <c r="D71" s="12" t="inlineStr">
        <is>
          <t>Standard_E16ads_v5</t>
        </is>
      </c>
      <c r="E71" s="12">
        <f>VLOOKUP(D71,SKU_Family_Map!$A:$B,2,FALSE)</f>
        <v/>
      </c>
      <c r="F71" s="12" t="inlineStr">
        <is>
          <t>crg-dr-cac-reg</t>
        </is>
      </c>
      <c r="G71" s="16" t="n">
        <v>16</v>
      </c>
      <c r="H71" s="16" t="n">
        <v>362</v>
      </c>
      <c r="I71" s="16" t="n">
        <v>43</v>
      </c>
      <c r="J71" s="16">
        <f>H71+I71</f>
        <v/>
      </c>
      <c r="K71" s="16">
        <f>J71-H71</f>
        <v/>
      </c>
      <c r="L71" s="16">
        <f>SUMIFS(Quota_Groups!$G:$G,Quota_Groups!$B:$B,A71,Quota_Groups!$D:$D,E71)</f>
        <v/>
      </c>
      <c r="M71" s="18">
        <f>MIN(K71,L71)</f>
        <v/>
      </c>
      <c r="N71" s="12">
        <f>IF(K71&lt;=L71,"CAPACITY","QUOTA")</f>
        <v/>
      </c>
      <c r="O71" s="12">
        <f>IF(K71&lt;=0,"RESERVATION_DEFICIT",IF(L71&lt;=0,"QUOTA_DEFICIT",IF(M71&lt;I71*0.5,"READY_WITH_RISK","READY")))</f>
        <v/>
      </c>
      <c r="P71" s="12" t="inlineStr">
        <is>
          <t>mock</t>
        </is>
      </c>
    </row>
    <row r="72">
      <c r="A72" s="12" t="inlineStr">
        <is>
          <t>Canada Central</t>
        </is>
      </c>
      <c r="B72" s="12" t="inlineStr">
        <is>
          <t>US</t>
        </is>
      </c>
      <c r="C72" s="12" t="inlineStr">
        <is>
          <t>DR</t>
        </is>
      </c>
      <c r="D72" s="12" t="inlineStr">
        <is>
          <t>Standard_E32ads_v6</t>
        </is>
      </c>
      <c r="E72" s="12">
        <f>VLOOKUP(D72,SKU_Family_Map!$A:$B,2,FALSE)</f>
        <v/>
      </c>
      <c r="F72" s="12" t="inlineStr">
        <is>
          <t>crg-dr-cac-reg</t>
        </is>
      </c>
      <c r="G72" s="16" t="n">
        <v>32</v>
      </c>
      <c r="H72" s="16" t="n">
        <v>1178</v>
      </c>
      <c r="I72" s="16" t="n">
        <v>141</v>
      </c>
      <c r="J72" s="16">
        <f>H72+I72</f>
        <v/>
      </c>
      <c r="K72" s="16">
        <f>J72-H72</f>
        <v/>
      </c>
      <c r="L72" s="16">
        <f>SUMIFS(Quota_Groups!$G:$G,Quota_Groups!$B:$B,A72,Quota_Groups!$D:$D,E72)</f>
        <v/>
      </c>
      <c r="M72" s="18">
        <f>MIN(K72,L72)</f>
        <v/>
      </c>
      <c r="N72" s="12">
        <f>IF(K72&lt;=L72,"CAPACITY","QUOTA")</f>
        <v/>
      </c>
      <c r="O72" s="12">
        <f>IF(K72&lt;=0,"RESERVATION_DEFICIT",IF(L72&lt;=0,"QUOTA_DEFICIT",IF(M72&lt;I72*0.5,"READY_WITH_RISK","READY")))</f>
        <v/>
      </c>
      <c r="P72" s="12" t="inlineStr">
        <is>
          <t>mock</t>
        </is>
      </c>
    </row>
    <row r="73">
      <c r="A73" s="12" t="inlineStr">
        <is>
          <t>Canada Central</t>
        </is>
      </c>
      <c r="B73" s="12" t="inlineStr">
        <is>
          <t>US</t>
        </is>
      </c>
      <c r="C73" s="12" t="inlineStr">
        <is>
          <t>DR</t>
        </is>
      </c>
      <c r="D73" s="12" t="inlineStr">
        <is>
          <t>Standard_D8ads_v5</t>
        </is>
      </c>
      <c r="E73" s="12">
        <f>VLOOKUP(D73,SKU_Family_Map!$A:$B,2,FALSE)</f>
        <v/>
      </c>
      <c r="F73" s="12" t="inlineStr">
        <is>
          <t>crg-dr-cac-reg</t>
        </is>
      </c>
      <c r="G73" s="16" t="n">
        <v>8</v>
      </c>
      <c r="H73" s="16" t="n">
        <v>567</v>
      </c>
      <c r="I73" s="16" t="n">
        <v>68</v>
      </c>
      <c r="J73" s="16">
        <f>H73+I73</f>
        <v/>
      </c>
      <c r="K73" s="16">
        <f>J73-H73</f>
        <v/>
      </c>
      <c r="L73" s="16">
        <f>SUMIFS(Quota_Groups!$G:$G,Quota_Groups!$B:$B,A73,Quota_Groups!$D:$D,E73)</f>
        <v/>
      </c>
      <c r="M73" s="18">
        <f>MIN(K73,L73)</f>
        <v/>
      </c>
      <c r="N73" s="12">
        <f>IF(K73&lt;=L73,"CAPACITY","QUOTA")</f>
        <v/>
      </c>
      <c r="O73" s="12">
        <f>IF(K73&lt;=0,"RESERVATION_DEFICIT",IF(L73&lt;=0,"QUOTA_DEFICIT",IF(M73&lt;I73*0.5,"READY_WITH_RISK","READY")))</f>
        <v/>
      </c>
      <c r="P73" s="12" t="inlineStr">
        <is>
          <t>mock</t>
        </is>
      </c>
    </row>
    <row r="74">
      <c r="A74" s="12" t="inlineStr">
        <is>
          <t>Canada Central</t>
        </is>
      </c>
      <c r="B74" s="12" t="inlineStr">
        <is>
          <t>US</t>
        </is>
      </c>
      <c r="C74" s="12" t="inlineStr">
        <is>
          <t>DR</t>
        </is>
      </c>
      <c r="D74" s="12" t="inlineStr">
        <is>
          <t>Standard_D16ads_v5</t>
        </is>
      </c>
      <c r="E74" s="12">
        <f>VLOOKUP(D74,SKU_Family_Map!$A:$B,2,FALSE)</f>
        <v/>
      </c>
      <c r="F74" s="12" t="inlineStr">
        <is>
          <t>crg-dr-cac-reg</t>
        </is>
      </c>
      <c r="G74" s="16" t="n">
        <v>16</v>
      </c>
      <c r="H74" s="16" t="n">
        <v>343</v>
      </c>
      <c r="I74" s="16" t="n">
        <v>41</v>
      </c>
      <c r="J74" s="16">
        <f>H74+I74</f>
        <v/>
      </c>
      <c r="K74" s="16">
        <f>J74-H74</f>
        <v/>
      </c>
      <c r="L74" s="16">
        <f>SUMIFS(Quota_Groups!$G:$G,Quota_Groups!$B:$B,A74,Quota_Groups!$D:$D,E74)</f>
        <v/>
      </c>
      <c r="M74" s="18">
        <f>MIN(K74,L74)</f>
        <v/>
      </c>
      <c r="N74" s="12">
        <f>IF(K74&lt;=L74,"CAPACITY","QUOTA")</f>
        <v/>
      </c>
      <c r="O74" s="12">
        <f>IF(K74&lt;=0,"RESERVATION_DEFICIT",IF(L74&lt;=0,"QUOTA_DEFICIT",IF(M74&lt;I74*0.5,"READY_WITH_RISK","READY")))</f>
        <v/>
      </c>
      <c r="P74" s="12" t="inlineStr">
        <is>
          <t>mock</t>
        </is>
      </c>
    </row>
    <row r="75">
      <c r="A75" s="12" t="inlineStr">
        <is>
          <t>Canada Central</t>
        </is>
      </c>
      <c r="B75" s="12" t="inlineStr">
        <is>
          <t>US</t>
        </is>
      </c>
      <c r="C75" s="12" t="inlineStr">
        <is>
          <t>DR</t>
        </is>
      </c>
      <c r="D75" s="12" t="inlineStr">
        <is>
          <t>Standard_D8as_v5</t>
        </is>
      </c>
      <c r="E75" s="12">
        <f>VLOOKUP(D75,SKU_Family_Map!$A:$B,2,FALSE)</f>
        <v/>
      </c>
      <c r="F75" s="12" t="inlineStr">
        <is>
          <t>crg-dr-cac-reg</t>
        </is>
      </c>
      <c r="G75" s="16" t="n">
        <v>8</v>
      </c>
      <c r="H75" s="16" t="n">
        <v>752</v>
      </c>
      <c r="I75" s="16" t="n">
        <v>90</v>
      </c>
      <c r="J75" s="16">
        <f>H75+I75</f>
        <v/>
      </c>
      <c r="K75" s="16">
        <f>J75-H75</f>
        <v/>
      </c>
      <c r="L75" s="16">
        <f>SUMIFS(Quota_Groups!$G:$G,Quota_Groups!$B:$B,A75,Quota_Groups!$D:$D,E75)</f>
        <v/>
      </c>
      <c r="M75" s="18">
        <f>MIN(K75,L75)</f>
        <v/>
      </c>
      <c r="N75" s="12">
        <f>IF(K75&lt;=L75,"CAPACITY","QUOTA")</f>
        <v/>
      </c>
      <c r="O75" s="12">
        <f>IF(K75&lt;=0,"RESERVATION_DEFICIT",IF(L75&lt;=0,"QUOTA_DEFICIT",IF(M75&lt;I75*0.5,"READY_WITH_RISK","READY")))</f>
        <v/>
      </c>
      <c r="P75" s="12" t="inlineStr">
        <is>
          <t>mock</t>
        </is>
      </c>
    </row>
    <row r="76">
      <c r="A76" s="12" t="inlineStr">
        <is>
          <t>Canada Central</t>
        </is>
      </c>
      <c r="B76" s="12" t="inlineStr">
        <is>
          <t>US</t>
        </is>
      </c>
      <c r="C76" s="12" t="inlineStr">
        <is>
          <t>DR</t>
        </is>
      </c>
      <c r="D76" s="12" t="inlineStr">
        <is>
          <t>Standard_D16as_v5</t>
        </is>
      </c>
      <c r="E76" s="12">
        <f>VLOOKUP(D76,SKU_Family_Map!$A:$B,2,FALSE)</f>
        <v/>
      </c>
      <c r="F76" s="12" t="inlineStr">
        <is>
          <t>crg-dr-cac-reg</t>
        </is>
      </c>
      <c r="G76" s="16" t="n">
        <v>16</v>
      </c>
      <c r="H76" s="16" t="n">
        <v>487</v>
      </c>
      <c r="I76" s="16" t="n">
        <v>58</v>
      </c>
      <c r="J76" s="16">
        <f>H76+I76</f>
        <v/>
      </c>
      <c r="K76" s="16">
        <f>J76-H76</f>
        <v/>
      </c>
      <c r="L76" s="16">
        <f>SUMIFS(Quota_Groups!$G:$G,Quota_Groups!$B:$B,A76,Quota_Groups!$D:$D,E76)</f>
        <v/>
      </c>
      <c r="M76" s="18">
        <f>MIN(K76,L76)</f>
        <v/>
      </c>
      <c r="N76" s="12">
        <f>IF(K76&lt;=L76,"CAPACITY","QUOTA")</f>
        <v/>
      </c>
      <c r="O76" s="12">
        <f>IF(K76&lt;=0,"RESERVATION_DEFICIT",IF(L76&lt;=0,"QUOTA_DEFICIT",IF(M76&lt;I76*0.5,"READY_WITH_RISK","READY")))</f>
        <v/>
      </c>
      <c r="P76" s="12" t="inlineStr">
        <is>
          <t>mock</t>
        </is>
      </c>
    </row>
    <row r="77">
      <c r="A77" s="12" t="inlineStr">
        <is>
          <t>East US 2</t>
        </is>
      </c>
      <c r="B77" s="12" t="inlineStr">
        <is>
          <t>US</t>
        </is>
      </c>
      <c r="C77" s="12" t="inlineStr">
        <is>
          <t>Prod</t>
        </is>
      </c>
      <c r="D77" s="12" t="inlineStr">
        <is>
          <t>Standard_E32ads_v5</t>
        </is>
      </c>
      <c r="E77" s="12">
        <f>VLOOKUP(D77,SKU_Family_Map!$A:$B,2,FALSE)</f>
        <v/>
      </c>
      <c r="F77" s="12" t="inlineStr">
        <is>
          <t>crg-pr-eus2-reg</t>
        </is>
      </c>
      <c r="G77" s="16" t="n">
        <v>32</v>
      </c>
      <c r="H77" s="16" t="n">
        <v>5696</v>
      </c>
      <c r="I77" s="16" t="n">
        <v>684</v>
      </c>
      <c r="J77" s="16">
        <f>H77+I77</f>
        <v/>
      </c>
      <c r="K77" s="16">
        <f>J77-H77</f>
        <v/>
      </c>
      <c r="L77" s="16">
        <f>SUMIFS(Quota_Groups!$G:$G,Quota_Groups!$B:$B,A77,Quota_Groups!$D:$D,E77)</f>
        <v/>
      </c>
      <c r="M77" s="18">
        <f>MIN(K77,L77)</f>
        <v/>
      </c>
      <c r="N77" s="12">
        <f>IF(K77&lt;=L77,"CAPACITY","QUOTA")</f>
        <v/>
      </c>
      <c r="O77" s="12">
        <f>IF(K77&lt;=0,"RESERVATION_DEFICIT",IF(L77&lt;=0,"QUOTA_DEFICIT",IF(M77&lt;I77*0.5,"READY_WITH_RISK","READY")))</f>
        <v/>
      </c>
      <c r="P77" s="12" t="inlineStr"/>
    </row>
    <row r="78">
      <c r="A78" s="12" t="inlineStr">
        <is>
          <t>East US 2</t>
        </is>
      </c>
      <c r="B78" s="12" t="inlineStr">
        <is>
          <t>US</t>
        </is>
      </c>
      <c r="C78" s="12" t="inlineStr">
        <is>
          <t>Prod</t>
        </is>
      </c>
      <c r="D78" s="12" t="inlineStr">
        <is>
          <t>Standard_E64ads_v5</t>
        </is>
      </c>
      <c r="E78" s="12">
        <f>VLOOKUP(D78,SKU_Family_Map!$A:$B,2,FALSE)</f>
        <v/>
      </c>
      <c r="F78" s="12" t="inlineStr">
        <is>
          <t>crg-pr-eus2-reg</t>
        </is>
      </c>
      <c r="G78" s="16" t="n">
        <v>64</v>
      </c>
      <c r="H78" s="16" t="n">
        <v>10688</v>
      </c>
      <c r="I78" s="16" t="n">
        <v>1283</v>
      </c>
      <c r="J78" s="16">
        <f>H78+I78</f>
        <v/>
      </c>
      <c r="K78" s="16">
        <f>J78-H78</f>
        <v/>
      </c>
      <c r="L78" s="16">
        <f>SUMIFS(Quota_Groups!$G:$G,Quota_Groups!$B:$B,A78,Quota_Groups!$D:$D,E78)</f>
        <v/>
      </c>
      <c r="M78" s="18">
        <f>MIN(K78,L78)</f>
        <v/>
      </c>
      <c r="N78" s="12">
        <f>IF(K78&lt;=L78,"CAPACITY","QUOTA")</f>
        <v/>
      </c>
      <c r="O78" s="12">
        <f>IF(K78&lt;=0,"RESERVATION_DEFICIT",IF(L78&lt;=0,"QUOTA_DEFICIT",IF(M78&lt;I78*0.5,"READY_WITH_RISK","READY")))</f>
        <v/>
      </c>
      <c r="P78" s="12" t="inlineStr"/>
    </row>
    <row r="79">
      <c r="A79" s="12" t="inlineStr">
        <is>
          <t>East US 2</t>
        </is>
      </c>
      <c r="B79" s="12" t="inlineStr">
        <is>
          <t>US</t>
        </is>
      </c>
      <c r="C79" s="12" t="inlineStr">
        <is>
          <t>Prod</t>
        </is>
      </c>
      <c r="D79" s="12" t="inlineStr">
        <is>
          <t>Standard_E16ads_v5</t>
        </is>
      </c>
      <c r="E79" s="12">
        <f>VLOOKUP(D79,SKU_Family_Map!$A:$B,2,FALSE)</f>
        <v/>
      </c>
      <c r="F79" s="12" t="inlineStr">
        <is>
          <t>crg-pr-eus2-reg</t>
        </is>
      </c>
      <c r="G79" s="16" t="n">
        <v>16</v>
      </c>
      <c r="H79" s="16" t="n">
        <v>7152</v>
      </c>
      <c r="I79" s="16" t="n">
        <v>858</v>
      </c>
      <c r="J79" s="16">
        <f>H79+I79</f>
        <v/>
      </c>
      <c r="K79" s="16">
        <f>J79-H79</f>
        <v/>
      </c>
      <c r="L79" s="16">
        <f>SUMIFS(Quota_Groups!$G:$G,Quota_Groups!$B:$B,A79,Quota_Groups!$D:$D,E79)</f>
        <v/>
      </c>
      <c r="M79" s="18">
        <f>MIN(K79,L79)</f>
        <v/>
      </c>
      <c r="N79" s="12">
        <f>IF(K79&lt;=L79,"CAPACITY","QUOTA")</f>
        <v/>
      </c>
      <c r="O79" s="12">
        <f>IF(K79&lt;=0,"RESERVATION_DEFICIT",IF(L79&lt;=0,"QUOTA_DEFICIT",IF(M79&lt;I79*0.5,"READY_WITH_RISK","READY")))</f>
        <v/>
      </c>
      <c r="P79" s="12" t="inlineStr"/>
    </row>
    <row r="80">
      <c r="A80" s="12" t="inlineStr">
        <is>
          <t>East US 2</t>
        </is>
      </c>
      <c r="B80" s="12" t="inlineStr">
        <is>
          <t>US</t>
        </is>
      </c>
      <c r="C80" s="12" t="inlineStr">
        <is>
          <t>Prod</t>
        </is>
      </c>
      <c r="D80" s="12" t="inlineStr">
        <is>
          <t>Standard_E32ads_v6</t>
        </is>
      </c>
      <c r="E80" s="12">
        <f>VLOOKUP(D80,SKU_Family_Map!$A:$B,2,FALSE)</f>
        <v/>
      </c>
      <c r="F80" s="12" t="inlineStr">
        <is>
          <t>crg-pr-eus2-reg</t>
        </is>
      </c>
      <c r="G80" s="16" t="n">
        <v>32</v>
      </c>
      <c r="H80" s="16" t="n">
        <v>23040</v>
      </c>
      <c r="I80" s="16" t="n">
        <v>2765</v>
      </c>
      <c r="J80" s="16">
        <f>H80+I80</f>
        <v/>
      </c>
      <c r="K80" s="16">
        <f>J80-H80</f>
        <v/>
      </c>
      <c r="L80" s="16">
        <f>SUMIFS(Quota_Groups!$G:$G,Quota_Groups!$B:$B,A80,Quota_Groups!$D:$D,E80)</f>
        <v/>
      </c>
      <c r="M80" s="18">
        <f>MIN(K80,L80)</f>
        <v/>
      </c>
      <c r="N80" s="12">
        <f>IF(K80&lt;=L80,"CAPACITY","QUOTA")</f>
        <v/>
      </c>
      <c r="O80" s="12">
        <f>IF(K80&lt;=0,"RESERVATION_DEFICIT",IF(L80&lt;=0,"QUOTA_DEFICIT",IF(M80&lt;I80*0.5,"READY_WITH_RISK","READY")))</f>
        <v/>
      </c>
      <c r="P80" s="12" t="inlineStr"/>
    </row>
    <row r="81">
      <c r="A81" s="12" t="inlineStr">
        <is>
          <t>East US 2</t>
        </is>
      </c>
      <c r="B81" s="12" t="inlineStr">
        <is>
          <t>US</t>
        </is>
      </c>
      <c r="C81" s="12" t="inlineStr">
        <is>
          <t>Prod</t>
        </is>
      </c>
      <c r="D81" s="12" t="inlineStr">
        <is>
          <t>Standard_D8ads_v5</t>
        </is>
      </c>
      <c r="E81" s="12">
        <f>VLOOKUP(D81,SKU_Family_Map!$A:$B,2,FALSE)</f>
        <v/>
      </c>
      <c r="F81" s="12" t="inlineStr">
        <is>
          <t>crg-pr-eus2-reg</t>
        </is>
      </c>
      <c r="G81" s="16" t="n">
        <v>8</v>
      </c>
      <c r="H81" s="16" t="n">
        <v>10928</v>
      </c>
      <c r="I81" s="16" t="n">
        <v>1311</v>
      </c>
      <c r="J81" s="16">
        <f>H81+I81</f>
        <v/>
      </c>
      <c r="K81" s="16">
        <f>J81-H81</f>
        <v/>
      </c>
      <c r="L81" s="16">
        <f>SUMIFS(Quota_Groups!$G:$G,Quota_Groups!$B:$B,A81,Quota_Groups!$D:$D,E81)</f>
        <v/>
      </c>
      <c r="M81" s="18">
        <f>MIN(K81,L81)</f>
        <v/>
      </c>
      <c r="N81" s="12">
        <f>IF(K81&lt;=L81,"CAPACITY","QUOTA")</f>
        <v/>
      </c>
      <c r="O81" s="12">
        <f>IF(K81&lt;=0,"RESERVATION_DEFICIT",IF(L81&lt;=0,"QUOTA_DEFICIT",IF(M81&lt;I81*0.5,"READY_WITH_RISK","READY")))</f>
        <v/>
      </c>
      <c r="P81" s="12" t="inlineStr"/>
    </row>
    <row r="82">
      <c r="A82" s="12" t="inlineStr">
        <is>
          <t>East US 2</t>
        </is>
      </c>
      <c r="B82" s="12" t="inlineStr">
        <is>
          <t>US</t>
        </is>
      </c>
      <c r="C82" s="12" t="inlineStr">
        <is>
          <t>Prod</t>
        </is>
      </c>
      <c r="D82" s="12" t="inlineStr">
        <is>
          <t>Standard_D16ads_v5</t>
        </is>
      </c>
      <c r="E82" s="12">
        <f>VLOOKUP(D82,SKU_Family_Map!$A:$B,2,FALSE)</f>
        <v/>
      </c>
      <c r="F82" s="12" t="inlineStr">
        <is>
          <t>crg-pr-eus2-reg</t>
        </is>
      </c>
      <c r="G82" s="16" t="n">
        <v>16</v>
      </c>
      <c r="H82" s="16" t="n">
        <v>6752</v>
      </c>
      <c r="I82" s="16" t="n">
        <v>810</v>
      </c>
      <c r="J82" s="16">
        <f>H82+I82</f>
        <v/>
      </c>
      <c r="K82" s="16">
        <f>J82-H82</f>
        <v/>
      </c>
      <c r="L82" s="16">
        <f>SUMIFS(Quota_Groups!$G:$G,Quota_Groups!$B:$B,A82,Quota_Groups!$D:$D,E82)</f>
        <v/>
      </c>
      <c r="M82" s="18">
        <f>MIN(K82,L82)</f>
        <v/>
      </c>
      <c r="N82" s="12">
        <f>IF(K82&lt;=L82,"CAPACITY","QUOTA")</f>
        <v/>
      </c>
      <c r="O82" s="12">
        <f>IF(K82&lt;=0,"RESERVATION_DEFICIT",IF(L82&lt;=0,"QUOTA_DEFICIT",IF(M82&lt;I82*0.5,"READY_WITH_RISK","READY")))</f>
        <v/>
      </c>
      <c r="P82" s="12" t="inlineStr"/>
    </row>
    <row r="83">
      <c r="A83" s="12" t="inlineStr">
        <is>
          <t>East US 2</t>
        </is>
      </c>
      <c r="B83" s="12" t="inlineStr">
        <is>
          <t>US</t>
        </is>
      </c>
      <c r="C83" s="12" t="inlineStr">
        <is>
          <t>Prod</t>
        </is>
      </c>
      <c r="D83" s="12" t="inlineStr">
        <is>
          <t>Standard_D8as_v5</t>
        </is>
      </c>
      <c r="E83" s="12">
        <f>VLOOKUP(D83,SKU_Family_Map!$A:$B,2,FALSE)</f>
        <v/>
      </c>
      <c r="F83" s="12" t="inlineStr">
        <is>
          <t>crg-pr-eus2-reg</t>
        </is>
      </c>
      <c r="G83" s="16" t="n">
        <v>8</v>
      </c>
      <c r="H83" s="16" t="n">
        <v>9928</v>
      </c>
      <c r="I83" s="16" t="n">
        <v>1191</v>
      </c>
      <c r="J83" s="16">
        <f>H83+I83</f>
        <v/>
      </c>
      <c r="K83" s="16">
        <f>J83-H83</f>
        <v/>
      </c>
      <c r="L83" s="16">
        <f>SUMIFS(Quota_Groups!$G:$G,Quota_Groups!$B:$B,A83,Quota_Groups!$D:$D,E83)</f>
        <v/>
      </c>
      <c r="M83" s="18">
        <f>MIN(K83,L83)</f>
        <v/>
      </c>
      <c r="N83" s="12">
        <f>IF(K83&lt;=L83,"CAPACITY","QUOTA")</f>
        <v/>
      </c>
      <c r="O83" s="12">
        <f>IF(K83&lt;=0,"RESERVATION_DEFICIT",IF(L83&lt;=0,"QUOTA_DEFICIT",IF(M83&lt;I83*0.5,"READY_WITH_RISK","READY")))</f>
        <v/>
      </c>
      <c r="P83" s="12" t="inlineStr"/>
    </row>
    <row r="84">
      <c r="A84" s="12" t="inlineStr">
        <is>
          <t>East US 2</t>
        </is>
      </c>
      <c r="B84" s="12" t="inlineStr">
        <is>
          <t>US</t>
        </is>
      </c>
      <c r="C84" s="12" t="inlineStr">
        <is>
          <t>Prod</t>
        </is>
      </c>
      <c r="D84" s="12" t="inlineStr">
        <is>
          <t>Standard_D16as_v5</t>
        </is>
      </c>
      <c r="E84" s="12">
        <f>VLOOKUP(D84,SKU_Family_Map!$A:$B,2,FALSE)</f>
        <v/>
      </c>
      <c r="F84" s="12" t="inlineStr">
        <is>
          <t>crg-pr-eus2-reg</t>
        </is>
      </c>
      <c r="G84" s="16" t="n">
        <v>16</v>
      </c>
      <c r="H84" s="16" t="n">
        <v>5392</v>
      </c>
      <c r="I84" s="16" t="n">
        <v>647</v>
      </c>
      <c r="J84" s="16">
        <f>H84+I84</f>
        <v/>
      </c>
      <c r="K84" s="16">
        <f>J84-H84</f>
        <v/>
      </c>
      <c r="L84" s="16">
        <f>SUMIFS(Quota_Groups!$G:$G,Quota_Groups!$B:$B,A84,Quota_Groups!$D:$D,E84)</f>
        <v/>
      </c>
      <c r="M84" s="18">
        <f>MIN(K84,L84)</f>
        <v/>
      </c>
      <c r="N84" s="12">
        <f>IF(K84&lt;=L84,"CAPACITY","QUOTA")</f>
        <v/>
      </c>
      <c r="O84" s="12">
        <f>IF(K84&lt;=0,"RESERVATION_DEFICIT",IF(L84&lt;=0,"QUOTA_DEFICIT",IF(M84&lt;I84*0.5,"READY_WITH_RISK","READY")))</f>
        <v/>
      </c>
      <c r="P84" s="12" t="inlineStr"/>
    </row>
    <row r="85">
      <c r="A85" s="12" t="inlineStr">
        <is>
          <t>East US 2</t>
        </is>
      </c>
      <c r="B85" s="12" t="inlineStr">
        <is>
          <t>US</t>
        </is>
      </c>
      <c r="C85" s="12" t="inlineStr">
        <is>
          <t>NonProd</t>
        </is>
      </c>
      <c r="D85" s="12" t="inlineStr">
        <is>
          <t>Standard_E32ads_v5</t>
        </is>
      </c>
      <c r="E85" s="12">
        <f>VLOOKUP(D85,SKU_Family_Map!$A:$B,2,FALSE)</f>
        <v/>
      </c>
      <c r="F85" s="12" t="inlineStr">
        <is>
          <t>crg-np-eus2-reg</t>
        </is>
      </c>
      <c r="G85" s="16" t="n">
        <v>32</v>
      </c>
      <c r="H85" s="16" t="n">
        <v>80224</v>
      </c>
      <c r="I85" s="16" t="n">
        <v>9627</v>
      </c>
      <c r="J85" s="16">
        <f>H85+I85</f>
        <v/>
      </c>
      <c r="K85" s="16">
        <f>J85-H85</f>
        <v/>
      </c>
      <c r="L85" s="16">
        <f>SUMIFS(Quota_Groups!$G:$G,Quota_Groups!$B:$B,A85,Quota_Groups!$D:$D,E85)</f>
        <v/>
      </c>
      <c r="M85" s="18">
        <f>MIN(K85,L85)</f>
        <v/>
      </c>
      <c r="N85" s="12">
        <f>IF(K85&lt;=L85,"CAPACITY","QUOTA")</f>
        <v/>
      </c>
      <c r="O85" s="12">
        <f>IF(K85&lt;=0,"RESERVATION_DEFICIT",IF(L85&lt;=0,"QUOTA_DEFICIT",IF(M85&lt;I85*0.5,"READY_WITH_RISK","READY")))</f>
        <v/>
      </c>
      <c r="P85" s="12" t="inlineStr"/>
    </row>
    <row r="86">
      <c r="A86" s="12" t="inlineStr">
        <is>
          <t>East US 2</t>
        </is>
      </c>
      <c r="B86" s="12" t="inlineStr">
        <is>
          <t>US</t>
        </is>
      </c>
      <c r="C86" s="12" t="inlineStr">
        <is>
          <t>NonProd</t>
        </is>
      </c>
      <c r="D86" s="12" t="inlineStr">
        <is>
          <t>Standard_E64ads_v5</t>
        </is>
      </c>
      <c r="E86" s="12">
        <f>VLOOKUP(D86,SKU_Family_Map!$A:$B,2,FALSE)</f>
        <v/>
      </c>
      <c r="F86" s="12" t="inlineStr">
        <is>
          <t>crg-np-eus2-reg</t>
        </is>
      </c>
      <c r="G86" s="16" t="n">
        <v>64</v>
      </c>
      <c r="H86" s="16" t="n">
        <v>52608</v>
      </c>
      <c r="I86" s="16" t="n">
        <v>6313</v>
      </c>
      <c r="J86" s="16">
        <f>H86+I86</f>
        <v/>
      </c>
      <c r="K86" s="16">
        <f>J86-H86</f>
        <v/>
      </c>
      <c r="L86" s="16">
        <f>SUMIFS(Quota_Groups!$G:$G,Quota_Groups!$B:$B,A86,Quota_Groups!$D:$D,E86)</f>
        <v/>
      </c>
      <c r="M86" s="18">
        <f>MIN(K86,L86)</f>
        <v/>
      </c>
      <c r="N86" s="12">
        <f>IF(K86&lt;=L86,"CAPACITY","QUOTA")</f>
        <v/>
      </c>
      <c r="O86" s="12">
        <f>IF(K86&lt;=0,"RESERVATION_DEFICIT",IF(L86&lt;=0,"QUOTA_DEFICIT",IF(M86&lt;I86*0.5,"READY_WITH_RISK","READY")))</f>
        <v/>
      </c>
      <c r="P86" s="12" t="inlineStr"/>
    </row>
    <row r="87">
      <c r="A87" s="12" t="inlineStr">
        <is>
          <t>East US 2</t>
        </is>
      </c>
      <c r="B87" s="12" t="inlineStr">
        <is>
          <t>US</t>
        </is>
      </c>
      <c r="C87" s="12" t="inlineStr">
        <is>
          <t>NonProd</t>
        </is>
      </c>
      <c r="D87" s="12" t="inlineStr">
        <is>
          <t>Standard_E16ads_v5</t>
        </is>
      </c>
      <c r="E87" s="12">
        <f>VLOOKUP(D87,SKU_Family_Map!$A:$B,2,FALSE)</f>
        <v/>
      </c>
      <c r="F87" s="12" t="inlineStr">
        <is>
          <t>crg-np-eus2-reg</t>
        </is>
      </c>
      <c r="G87" s="16" t="n">
        <v>16</v>
      </c>
      <c r="H87" s="16" t="n">
        <v>13152</v>
      </c>
      <c r="I87" s="16" t="n">
        <v>1578</v>
      </c>
      <c r="J87" s="16">
        <f>H87+I87</f>
        <v/>
      </c>
      <c r="K87" s="16">
        <f>J87-H87</f>
        <v/>
      </c>
      <c r="L87" s="16">
        <f>SUMIFS(Quota_Groups!$G:$G,Quota_Groups!$B:$B,A87,Quota_Groups!$D:$D,E87)</f>
        <v/>
      </c>
      <c r="M87" s="18">
        <f>MIN(K87,L87)</f>
        <v/>
      </c>
      <c r="N87" s="12">
        <f>IF(K87&lt;=L87,"CAPACITY","QUOTA")</f>
        <v/>
      </c>
      <c r="O87" s="12">
        <f>IF(K87&lt;=0,"RESERVATION_DEFICIT",IF(L87&lt;=0,"QUOTA_DEFICIT",IF(M87&lt;I87*0.5,"READY_WITH_RISK","READY")))</f>
        <v/>
      </c>
      <c r="P87" s="12" t="inlineStr"/>
    </row>
    <row r="88">
      <c r="A88" s="12" t="inlineStr">
        <is>
          <t>East US 2</t>
        </is>
      </c>
      <c r="B88" s="12" t="inlineStr">
        <is>
          <t>US</t>
        </is>
      </c>
      <c r="C88" s="12" t="inlineStr">
        <is>
          <t>NonProd</t>
        </is>
      </c>
      <c r="D88" s="12" t="inlineStr">
        <is>
          <t>Standard_E32ads_v6</t>
        </is>
      </c>
      <c r="E88" s="12">
        <f>VLOOKUP(D88,SKU_Family_Map!$A:$B,2,FALSE)</f>
        <v/>
      </c>
      <c r="F88" s="12" t="inlineStr">
        <is>
          <t>crg-np-eus2-reg</t>
        </is>
      </c>
      <c r="G88" s="16" t="n">
        <v>32</v>
      </c>
      <c r="H88" s="16" t="n">
        <v>17536</v>
      </c>
      <c r="I88" s="16" t="n">
        <v>2104</v>
      </c>
      <c r="J88" s="16">
        <f>H88+I88</f>
        <v/>
      </c>
      <c r="K88" s="16">
        <f>J88-H88</f>
        <v/>
      </c>
      <c r="L88" s="16">
        <f>SUMIFS(Quota_Groups!$G:$G,Quota_Groups!$B:$B,A88,Quota_Groups!$D:$D,E88)</f>
        <v/>
      </c>
      <c r="M88" s="18">
        <f>MIN(K88,L88)</f>
        <v/>
      </c>
      <c r="N88" s="12">
        <f>IF(K88&lt;=L88,"CAPACITY","QUOTA")</f>
        <v/>
      </c>
      <c r="O88" s="12">
        <f>IF(K88&lt;=0,"RESERVATION_DEFICIT",IF(L88&lt;=0,"QUOTA_DEFICIT",IF(M88&lt;I88*0.5,"READY_WITH_RISK","READY")))</f>
        <v/>
      </c>
      <c r="P88" s="12" t="inlineStr"/>
    </row>
    <row r="89">
      <c r="A89" s="12" t="inlineStr">
        <is>
          <t>East US 2</t>
        </is>
      </c>
      <c r="B89" s="12" t="inlineStr">
        <is>
          <t>US</t>
        </is>
      </c>
      <c r="C89" s="12" t="inlineStr">
        <is>
          <t>NonProd</t>
        </is>
      </c>
      <c r="D89" s="12" t="inlineStr">
        <is>
          <t>Standard_D8ads_v5</t>
        </is>
      </c>
      <c r="E89" s="12">
        <f>VLOOKUP(D89,SKU_Family_Map!$A:$B,2,FALSE)</f>
        <v/>
      </c>
      <c r="F89" s="12" t="inlineStr">
        <is>
          <t>crg-np-eus2-reg</t>
        </is>
      </c>
      <c r="G89" s="16" t="n">
        <v>8</v>
      </c>
      <c r="H89" s="16" t="n">
        <v>16104</v>
      </c>
      <c r="I89" s="16" t="n">
        <v>1932</v>
      </c>
      <c r="J89" s="16">
        <f>H89+I89</f>
        <v/>
      </c>
      <c r="K89" s="16">
        <f>J89-H89</f>
        <v/>
      </c>
      <c r="L89" s="16">
        <f>SUMIFS(Quota_Groups!$G:$G,Quota_Groups!$B:$B,A89,Quota_Groups!$D:$D,E89)</f>
        <v/>
      </c>
      <c r="M89" s="18">
        <f>MIN(K89,L89)</f>
        <v/>
      </c>
      <c r="N89" s="12">
        <f>IF(K89&lt;=L89,"CAPACITY","QUOTA")</f>
        <v/>
      </c>
      <c r="O89" s="12">
        <f>IF(K89&lt;=0,"RESERVATION_DEFICIT",IF(L89&lt;=0,"QUOTA_DEFICIT",IF(M89&lt;I89*0.5,"READY_WITH_RISK","READY")))</f>
        <v/>
      </c>
      <c r="P89" s="12" t="inlineStr"/>
    </row>
    <row r="90">
      <c r="A90" s="12" t="inlineStr">
        <is>
          <t>East US 2</t>
        </is>
      </c>
      <c r="B90" s="12" t="inlineStr">
        <is>
          <t>US</t>
        </is>
      </c>
      <c r="C90" s="12" t="inlineStr">
        <is>
          <t>NonProd</t>
        </is>
      </c>
      <c r="D90" s="12" t="inlineStr">
        <is>
          <t>Standard_D16ads_v5</t>
        </is>
      </c>
      <c r="E90" s="12">
        <f>VLOOKUP(D90,SKU_Family_Map!$A:$B,2,FALSE)</f>
        <v/>
      </c>
      <c r="F90" s="12" t="inlineStr">
        <is>
          <t>crg-np-eus2-reg</t>
        </is>
      </c>
      <c r="G90" s="16" t="n">
        <v>16</v>
      </c>
      <c r="H90" s="16" t="n">
        <v>6704</v>
      </c>
      <c r="I90" s="16" t="n">
        <v>804</v>
      </c>
      <c r="J90" s="16">
        <f>H90+I90</f>
        <v/>
      </c>
      <c r="K90" s="16">
        <f>J90-H90</f>
        <v/>
      </c>
      <c r="L90" s="16">
        <f>SUMIFS(Quota_Groups!$G:$G,Quota_Groups!$B:$B,A90,Quota_Groups!$D:$D,E90)</f>
        <v/>
      </c>
      <c r="M90" s="18">
        <f>MIN(K90,L90)</f>
        <v/>
      </c>
      <c r="N90" s="12">
        <f>IF(K90&lt;=L90,"CAPACITY","QUOTA")</f>
        <v/>
      </c>
      <c r="O90" s="12">
        <f>IF(K90&lt;=0,"RESERVATION_DEFICIT",IF(L90&lt;=0,"QUOTA_DEFICIT",IF(M90&lt;I90*0.5,"READY_WITH_RISK","READY")))</f>
        <v/>
      </c>
      <c r="P90" s="12" t="inlineStr"/>
    </row>
    <row r="91">
      <c r="A91" s="12" t="inlineStr">
        <is>
          <t>East US 2</t>
        </is>
      </c>
      <c r="B91" s="12" t="inlineStr">
        <is>
          <t>US</t>
        </is>
      </c>
      <c r="C91" s="12" t="inlineStr">
        <is>
          <t>NonProd</t>
        </is>
      </c>
      <c r="D91" s="12" t="inlineStr">
        <is>
          <t>Standard_D8as_v5</t>
        </is>
      </c>
      <c r="E91" s="12">
        <f>VLOOKUP(D91,SKU_Family_Map!$A:$B,2,FALSE)</f>
        <v/>
      </c>
      <c r="F91" s="12" t="inlineStr">
        <is>
          <t>crg-np-eus2-reg</t>
        </is>
      </c>
      <c r="G91" s="16" t="n">
        <v>8</v>
      </c>
      <c r="H91" s="16" t="n">
        <v>12176</v>
      </c>
      <c r="I91" s="16" t="n">
        <v>1461</v>
      </c>
      <c r="J91" s="16">
        <f>H91+I91</f>
        <v/>
      </c>
      <c r="K91" s="16">
        <f>J91-H91</f>
        <v/>
      </c>
      <c r="L91" s="16">
        <f>SUMIFS(Quota_Groups!$G:$G,Quota_Groups!$B:$B,A91,Quota_Groups!$D:$D,E91)</f>
        <v/>
      </c>
      <c r="M91" s="18">
        <f>MIN(K91,L91)</f>
        <v/>
      </c>
      <c r="N91" s="12">
        <f>IF(K91&lt;=L91,"CAPACITY","QUOTA")</f>
        <v/>
      </c>
      <c r="O91" s="12">
        <f>IF(K91&lt;=0,"RESERVATION_DEFICIT",IF(L91&lt;=0,"QUOTA_DEFICIT",IF(M91&lt;I91*0.5,"READY_WITH_RISK","READY")))</f>
        <v/>
      </c>
      <c r="P91" s="12" t="inlineStr"/>
    </row>
    <row r="92">
      <c r="A92" s="12" t="inlineStr">
        <is>
          <t>East US 2</t>
        </is>
      </c>
      <c r="B92" s="12" t="inlineStr">
        <is>
          <t>US</t>
        </is>
      </c>
      <c r="C92" s="12" t="inlineStr">
        <is>
          <t>NonProd</t>
        </is>
      </c>
      <c r="D92" s="12" t="inlineStr">
        <is>
          <t>Standard_D16as_v5</t>
        </is>
      </c>
      <c r="E92" s="12">
        <f>VLOOKUP(D92,SKU_Family_Map!$A:$B,2,FALSE)</f>
        <v/>
      </c>
      <c r="F92" s="12" t="inlineStr">
        <is>
          <t>crg-np-eus2-reg</t>
        </is>
      </c>
      <c r="G92" s="16" t="n">
        <v>16</v>
      </c>
      <c r="H92" s="16" t="n">
        <v>2656</v>
      </c>
      <c r="I92" s="16" t="n">
        <v>319</v>
      </c>
      <c r="J92" s="16">
        <f>H92+I92</f>
        <v/>
      </c>
      <c r="K92" s="16">
        <f>J92-H92</f>
        <v/>
      </c>
      <c r="L92" s="16">
        <f>SUMIFS(Quota_Groups!$G:$G,Quota_Groups!$B:$B,A92,Quota_Groups!$D:$D,E92)</f>
        <v/>
      </c>
      <c r="M92" s="18">
        <f>MIN(K92,L92)</f>
        <v/>
      </c>
      <c r="N92" s="12">
        <f>IF(K92&lt;=L92,"CAPACITY","QUOTA")</f>
        <v/>
      </c>
      <c r="O92" s="12">
        <f>IF(K92&lt;=0,"RESERVATION_DEFICIT",IF(L92&lt;=0,"QUOTA_DEFICIT",IF(M92&lt;I92*0.5,"READY_WITH_RISK","READY")))</f>
        <v/>
      </c>
      <c r="P92" s="12" t="inlineStr"/>
    </row>
    <row r="93">
      <c r="A93" s="12" t="inlineStr">
        <is>
          <t>East US 2</t>
        </is>
      </c>
      <c r="B93" s="12" t="inlineStr">
        <is>
          <t>US</t>
        </is>
      </c>
      <c r="C93" s="12" t="inlineStr">
        <is>
          <t>DR</t>
        </is>
      </c>
      <c r="D93" s="12" t="inlineStr">
        <is>
          <t>Standard_E32ads_v5</t>
        </is>
      </c>
      <c r="E93" s="12">
        <f>VLOOKUP(D93,SKU_Family_Map!$A:$B,2,FALSE)</f>
        <v/>
      </c>
      <c r="F93" s="12" t="inlineStr">
        <is>
          <t>crg-dr-eus2-reg</t>
        </is>
      </c>
      <c r="G93" s="16" t="n">
        <v>32</v>
      </c>
      <c r="H93" s="16" t="n">
        <v>1709</v>
      </c>
      <c r="I93" s="16" t="n">
        <v>205</v>
      </c>
      <c r="J93" s="16">
        <f>H93+I93</f>
        <v/>
      </c>
      <c r="K93" s="16">
        <f>J93-H93</f>
        <v/>
      </c>
      <c r="L93" s="16">
        <f>SUMIFS(Quota_Groups!$G:$G,Quota_Groups!$B:$B,A93,Quota_Groups!$D:$D,E93)</f>
        <v/>
      </c>
      <c r="M93" s="18">
        <f>MIN(K93,L93)</f>
        <v/>
      </c>
      <c r="N93" s="12">
        <f>IF(K93&lt;=L93,"CAPACITY","QUOTA")</f>
        <v/>
      </c>
      <c r="O93" s="12">
        <f>IF(K93&lt;=0,"RESERVATION_DEFICIT",IF(L93&lt;=0,"QUOTA_DEFICIT",IF(M93&lt;I93*0.5,"READY_WITH_RISK","READY")))</f>
        <v/>
      </c>
      <c r="P93" s="12" t="inlineStr"/>
    </row>
    <row r="94">
      <c r="A94" s="12" t="inlineStr">
        <is>
          <t>East US 2</t>
        </is>
      </c>
      <c r="B94" s="12" t="inlineStr">
        <is>
          <t>US</t>
        </is>
      </c>
      <c r="C94" s="12" t="inlineStr">
        <is>
          <t>DR</t>
        </is>
      </c>
      <c r="D94" s="12" t="inlineStr">
        <is>
          <t>Standard_E64ads_v5</t>
        </is>
      </c>
      <c r="E94" s="12">
        <f>VLOOKUP(D94,SKU_Family_Map!$A:$B,2,FALSE)</f>
        <v/>
      </c>
      <c r="F94" s="12" t="inlineStr">
        <is>
          <t>crg-dr-eus2-reg</t>
        </is>
      </c>
      <c r="G94" s="16" t="n">
        <v>64</v>
      </c>
      <c r="H94" s="16" t="n">
        <v>3206</v>
      </c>
      <c r="I94" s="16" t="n">
        <v>385</v>
      </c>
      <c r="J94" s="16">
        <f>H94+I94</f>
        <v/>
      </c>
      <c r="K94" s="16">
        <f>J94-H94</f>
        <v/>
      </c>
      <c r="L94" s="16">
        <f>SUMIFS(Quota_Groups!$G:$G,Quota_Groups!$B:$B,A94,Quota_Groups!$D:$D,E94)</f>
        <v/>
      </c>
      <c r="M94" s="18">
        <f>MIN(K94,L94)</f>
        <v/>
      </c>
      <c r="N94" s="12">
        <f>IF(K94&lt;=L94,"CAPACITY","QUOTA")</f>
        <v/>
      </c>
      <c r="O94" s="12">
        <f>IF(K94&lt;=0,"RESERVATION_DEFICIT",IF(L94&lt;=0,"QUOTA_DEFICIT",IF(M94&lt;I94*0.5,"READY_WITH_RISK","READY")))</f>
        <v/>
      </c>
      <c r="P94" s="12" t="inlineStr"/>
    </row>
    <row r="95">
      <c r="A95" s="12" t="inlineStr">
        <is>
          <t>East US 2</t>
        </is>
      </c>
      <c r="B95" s="12" t="inlineStr">
        <is>
          <t>US</t>
        </is>
      </c>
      <c r="C95" s="12" t="inlineStr">
        <is>
          <t>DR</t>
        </is>
      </c>
      <c r="D95" s="12" t="inlineStr">
        <is>
          <t>Standard_E16ads_v5</t>
        </is>
      </c>
      <c r="E95" s="12">
        <f>VLOOKUP(D95,SKU_Family_Map!$A:$B,2,FALSE)</f>
        <v/>
      </c>
      <c r="F95" s="12" t="inlineStr">
        <is>
          <t>crg-dr-eus2-reg</t>
        </is>
      </c>
      <c r="G95" s="16" t="n">
        <v>16</v>
      </c>
      <c r="H95" s="16" t="n">
        <v>2146</v>
      </c>
      <c r="I95" s="16" t="n">
        <v>258</v>
      </c>
      <c r="J95" s="16">
        <f>H95+I95</f>
        <v/>
      </c>
      <c r="K95" s="16">
        <f>J95-H95</f>
        <v/>
      </c>
      <c r="L95" s="16">
        <f>SUMIFS(Quota_Groups!$G:$G,Quota_Groups!$B:$B,A95,Quota_Groups!$D:$D,E95)</f>
        <v/>
      </c>
      <c r="M95" s="18">
        <f>MIN(K95,L95)</f>
        <v/>
      </c>
      <c r="N95" s="12">
        <f>IF(K95&lt;=L95,"CAPACITY","QUOTA")</f>
        <v/>
      </c>
      <c r="O95" s="12">
        <f>IF(K95&lt;=0,"RESERVATION_DEFICIT",IF(L95&lt;=0,"QUOTA_DEFICIT",IF(M95&lt;I95*0.5,"READY_WITH_RISK","READY")))</f>
        <v/>
      </c>
      <c r="P95" s="12" t="inlineStr"/>
    </row>
    <row r="96">
      <c r="A96" s="12" t="inlineStr">
        <is>
          <t>East US 2</t>
        </is>
      </c>
      <c r="B96" s="12" t="inlineStr">
        <is>
          <t>US</t>
        </is>
      </c>
      <c r="C96" s="12" t="inlineStr">
        <is>
          <t>DR</t>
        </is>
      </c>
      <c r="D96" s="12" t="inlineStr">
        <is>
          <t>Standard_E32ads_v6</t>
        </is>
      </c>
      <c r="E96" s="12">
        <f>VLOOKUP(D96,SKU_Family_Map!$A:$B,2,FALSE)</f>
        <v/>
      </c>
      <c r="F96" s="12" t="inlineStr">
        <is>
          <t>crg-dr-eus2-reg</t>
        </is>
      </c>
      <c r="G96" s="16" t="n">
        <v>32</v>
      </c>
      <c r="H96" s="16" t="n">
        <v>6912</v>
      </c>
      <c r="I96" s="16" t="n">
        <v>829</v>
      </c>
      <c r="J96" s="16">
        <f>H96+I96</f>
        <v/>
      </c>
      <c r="K96" s="16">
        <f>J96-H96</f>
        <v/>
      </c>
      <c r="L96" s="16">
        <f>SUMIFS(Quota_Groups!$G:$G,Quota_Groups!$B:$B,A96,Quota_Groups!$D:$D,E96)</f>
        <v/>
      </c>
      <c r="M96" s="18">
        <f>MIN(K96,L96)</f>
        <v/>
      </c>
      <c r="N96" s="12">
        <f>IF(K96&lt;=L96,"CAPACITY","QUOTA")</f>
        <v/>
      </c>
      <c r="O96" s="12">
        <f>IF(K96&lt;=0,"RESERVATION_DEFICIT",IF(L96&lt;=0,"QUOTA_DEFICIT",IF(M96&lt;I96*0.5,"READY_WITH_RISK","READY")))</f>
        <v/>
      </c>
      <c r="P96" s="12" t="inlineStr"/>
    </row>
    <row r="97">
      <c r="A97" s="12" t="inlineStr">
        <is>
          <t>East US 2</t>
        </is>
      </c>
      <c r="B97" s="12" t="inlineStr">
        <is>
          <t>US</t>
        </is>
      </c>
      <c r="C97" s="12" t="inlineStr">
        <is>
          <t>DR</t>
        </is>
      </c>
      <c r="D97" s="12" t="inlineStr">
        <is>
          <t>Standard_D8ads_v5</t>
        </is>
      </c>
      <c r="E97" s="12">
        <f>VLOOKUP(D97,SKU_Family_Map!$A:$B,2,FALSE)</f>
        <v/>
      </c>
      <c r="F97" s="12" t="inlineStr">
        <is>
          <t>crg-dr-eus2-reg</t>
        </is>
      </c>
      <c r="G97" s="16" t="n">
        <v>8</v>
      </c>
      <c r="H97" s="16" t="n">
        <v>3278</v>
      </c>
      <c r="I97" s="16" t="n">
        <v>393</v>
      </c>
      <c r="J97" s="16">
        <f>H97+I97</f>
        <v/>
      </c>
      <c r="K97" s="16">
        <f>J97-H97</f>
        <v/>
      </c>
      <c r="L97" s="16">
        <f>SUMIFS(Quota_Groups!$G:$G,Quota_Groups!$B:$B,A97,Quota_Groups!$D:$D,E97)</f>
        <v/>
      </c>
      <c r="M97" s="18">
        <f>MIN(K97,L97)</f>
        <v/>
      </c>
      <c r="N97" s="12">
        <f>IF(K97&lt;=L97,"CAPACITY","QUOTA")</f>
        <v/>
      </c>
      <c r="O97" s="12">
        <f>IF(K97&lt;=0,"RESERVATION_DEFICIT",IF(L97&lt;=0,"QUOTA_DEFICIT",IF(M97&lt;I97*0.5,"READY_WITH_RISK","READY")))</f>
        <v/>
      </c>
      <c r="P97" s="12" t="inlineStr"/>
    </row>
    <row r="98">
      <c r="A98" s="12" t="inlineStr">
        <is>
          <t>East US 2</t>
        </is>
      </c>
      <c r="B98" s="12" t="inlineStr">
        <is>
          <t>US</t>
        </is>
      </c>
      <c r="C98" s="12" t="inlineStr">
        <is>
          <t>DR</t>
        </is>
      </c>
      <c r="D98" s="12" t="inlineStr">
        <is>
          <t>Standard_D16ads_v5</t>
        </is>
      </c>
      <c r="E98" s="12">
        <f>VLOOKUP(D98,SKU_Family_Map!$A:$B,2,FALSE)</f>
        <v/>
      </c>
      <c r="F98" s="12" t="inlineStr">
        <is>
          <t>crg-dr-eus2-reg</t>
        </is>
      </c>
      <c r="G98" s="16" t="n">
        <v>16</v>
      </c>
      <c r="H98" s="16" t="n">
        <v>2026</v>
      </c>
      <c r="I98" s="16" t="n">
        <v>243</v>
      </c>
      <c r="J98" s="16">
        <f>H98+I98</f>
        <v/>
      </c>
      <c r="K98" s="16">
        <f>J98-H98</f>
        <v/>
      </c>
      <c r="L98" s="16">
        <f>SUMIFS(Quota_Groups!$G:$G,Quota_Groups!$B:$B,A98,Quota_Groups!$D:$D,E98)</f>
        <v/>
      </c>
      <c r="M98" s="18">
        <f>MIN(K98,L98)</f>
        <v/>
      </c>
      <c r="N98" s="12">
        <f>IF(K98&lt;=L98,"CAPACITY","QUOTA")</f>
        <v/>
      </c>
      <c r="O98" s="12">
        <f>IF(K98&lt;=0,"RESERVATION_DEFICIT",IF(L98&lt;=0,"QUOTA_DEFICIT",IF(M98&lt;I98*0.5,"READY_WITH_RISK","READY")))</f>
        <v/>
      </c>
      <c r="P98" s="12" t="inlineStr"/>
    </row>
    <row r="99">
      <c r="A99" s="12" t="inlineStr">
        <is>
          <t>East US 2</t>
        </is>
      </c>
      <c r="B99" s="12" t="inlineStr">
        <is>
          <t>US</t>
        </is>
      </c>
      <c r="C99" s="12" t="inlineStr">
        <is>
          <t>DR</t>
        </is>
      </c>
      <c r="D99" s="12" t="inlineStr">
        <is>
          <t>Standard_D8as_v5</t>
        </is>
      </c>
      <c r="E99" s="12">
        <f>VLOOKUP(D99,SKU_Family_Map!$A:$B,2,FALSE)</f>
        <v/>
      </c>
      <c r="F99" s="12" t="inlineStr">
        <is>
          <t>crg-dr-eus2-reg</t>
        </is>
      </c>
      <c r="G99" s="16" t="n">
        <v>8</v>
      </c>
      <c r="H99" s="16" t="n">
        <v>2978</v>
      </c>
      <c r="I99" s="16" t="n">
        <v>357</v>
      </c>
      <c r="J99" s="16">
        <f>H99+I99</f>
        <v/>
      </c>
      <c r="K99" s="16">
        <f>J99-H99</f>
        <v/>
      </c>
      <c r="L99" s="16">
        <f>SUMIFS(Quota_Groups!$G:$G,Quota_Groups!$B:$B,A99,Quota_Groups!$D:$D,E99)</f>
        <v/>
      </c>
      <c r="M99" s="18">
        <f>MIN(K99,L99)</f>
        <v/>
      </c>
      <c r="N99" s="12">
        <f>IF(K99&lt;=L99,"CAPACITY","QUOTA")</f>
        <v/>
      </c>
      <c r="O99" s="12">
        <f>IF(K99&lt;=0,"RESERVATION_DEFICIT",IF(L99&lt;=0,"QUOTA_DEFICIT",IF(M99&lt;I99*0.5,"READY_WITH_RISK","READY")))</f>
        <v/>
      </c>
      <c r="P99" s="12" t="inlineStr"/>
    </row>
    <row r="100">
      <c r="A100" s="12" t="inlineStr">
        <is>
          <t>East US 2</t>
        </is>
      </c>
      <c r="B100" s="12" t="inlineStr">
        <is>
          <t>US</t>
        </is>
      </c>
      <c r="C100" s="12" t="inlineStr">
        <is>
          <t>DR</t>
        </is>
      </c>
      <c r="D100" s="12" t="inlineStr">
        <is>
          <t>Standard_D16as_v5</t>
        </is>
      </c>
      <c r="E100" s="12">
        <f>VLOOKUP(D100,SKU_Family_Map!$A:$B,2,FALSE)</f>
        <v/>
      </c>
      <c r="F100" s="12" t="inlineStr">
        <is>
          <t>crg-dr-eus2-reg</t>
        </is>
      </c>
      <c r="G100" s="16" t="n">
        <v>16</v>
      </c>
      <c r="H100" s="16" t="n">
        <v>1618</v>
      </c>
      <c r="I100" s="16" t="n">
        <v>194</v>
      </c>
      <c r="J100" s="16">
        <f>H100+I100</f>
        <v/>
      </c>
      <c r="K100" s="16">
        <f>J100-H100</f>
        <v/>
      </c>
      <c r="L100" s="16">
        <f>SUMIFS(Quota_Groups!$G:$G,Quota_Groups!$B:$B,A100,Quota_Groups!$D:$D,E100)</f>
        <v/>
      </c>
      <c r="M100" s="18">
        <f>MIN(K100,L100)</f>
        <v/>
      </c>
      <c r="N100" s="12">
        <f>IF(K100&lt;=L100,"CAPACITY","QUOTA")</f>
        <v/>
      </c>
      <c r="O100" s="12">
        <f>IF(K100&lt;=0,"RESERVATION_DEFICIT",IF(L100&lt;=0,"QUOTA_DEFICIT",IF(M100&lt;I100*0.5,"READY_WITH_RISK","READY")))</f>
        <v/>
      </c>
      <c r="P100" s="12" t="inlineStr"/>
    </row>
    <row r="101">
      <c r="A101" s="12" t="inlineStr">
        <is>
          <t>Switzerland North</t>
        </is>
      </c>
      <c r="B101" s="12" t="inlineStr">
        <is>
          <t>EU</t>
        </is>
      </c>
      <c r="C101" s="12" t="inlineStr">
        <is>
          <t>Prod</t>
        </is>
      </c>
      <c r="D101" s="12" t="inlineStr">
        <is>
          <t>Standard_E32ads_v5</t>
        </is>
      </c>
      <c r="E101" s="12">
        <f>VLOOKUP(D101,SKU_Family_Map!$A:$B,2,FALSE)</f>
        <v/>
      </c>
      <c r="F101" s="12" t="inlineStr">
        <is>
          <t>crg-pr-chn-reg</t>
        </is>
      </c>
      <c r="G101" s="16" t="n">
        <v>32</v>
      </c>
      <c r="H101" s="16" t="n">
        <v>0</v>
      </c>
      <c r="I101" s="16" t="n">
        <v>8</v>
      </c>
      <c r="J101" s="16">
        <f>H101+I101</f>
        <v/>
      </c>
      <c r="K101" s="16">
        <f>J101-H101</f>
        <v/>
      </c>
      <c r="L101" s="16">
        <f>SUMIFS(Quota_Groups!$G:$G,Quota_Groups!$B:$B,A101,Quota_Groups!$D:$D,E101)</f>
        <v/>
      </c>
      <c r="M101" s="18">
        <f>MIN(K101,L101)</f>
        <v/>
      </c>
      <c r="N101" s="12">
        <f>IF(K101&lt;=L101,"CAPACITY","QUOTA")</f>
        <v/>
      </c>
      <c r="O101" s="12">
        <f>IF(K101&lt;=0,"RESERVATION_DEFICIT",IF(L101&lt;=0,"QUOTA_DEFICIT",IF(M101&lt;I101*0.5,"READY_WITH_RISK","READY")))</f>
        <v/>
      </c>
      <c r="P101" s="12" t="inlineStr"/>
    </row>
    <row r="102">
      <c r="A102" s="12" t="inlineStr">
        <is>
          <t>Switzerland North</t>
        </is>
      </c>
      <c r="B102" s="12" t="inlineStr">
        <is>
          <t>EU</t>
        </is>
      </c>
      <c r="C102" s="12" t="inlineStr">
        <is>
          <t>Prod</t>
        </is>
      </c>
      <c r="D102" s="12" t="inlineStr">
        <is>
          <t>Standard_E64ads_v5</t>
        </is>
      </c>
      <c r="E102" s="12">
        <f>VLOOKUP(D102,SKU_Family_Map!$A:$B,2,FALSE)</f>
        <v/>
      </c>
      <c r="F102" s="12" t="inlineStr">
        <is>
          <t>crg-pr-chn-reg</t>
        </is>
      </c>
      <c r="G102" s="16" t="n">
        <v>64</v>
      </c>
      <c r="H102" s="16" t="n">
        <v>0</v>
      </c>
      <c r="I102" s="16" t="n">
        <v>8</v>
      </c>
      <c r="J102" s="16">
        <f>H102+I102</f>
        <v/>
      </c>
      <c r="K102" s="16">
        <f>J102-H102</f>
        <v/>
      </c>
      <c r="L102" s="16">
        <f>SUMIFS(Quota_Groups!$G:$G,Quota_Groups!$B:$B,A102,Quota_Groups!$D:$D,E102)</f>
        <v/>
      </c>
      <c r="M102" s="18">
        <f>MIN(K102,L102)</f>
        <v/>
      </c>
      <c r="N102" s="12">
        <f>IF(K102&lt;=L102,"CAPACITY","QUOTA")</f>
        <v/>
      </c>
      <c r="O102" s="12">
        <f>IF(K102&lt;=0,"RESERVATION_DEFICIT",IF(L102&lt;=0,"QUOTA_DEFICIT",IF(M102&lt;I102*0.5,"READY_WITH_RISK","READY")))</f>
        <v/>
      </c>
      <c r="P102" s="12" t="inlineStr"/>
    </row>
    <row r="103">
      <c r="A103" s="12" t="inlineStr">
        <is>
          <t>Switzerland North</t>
        </is>
      </c>
      <c r="B103" s="12" t="inlineStr">
        <is>
          <t>EU</t>
        </is>
      </c>
      <c r="C103" s="12" t="inlineStr">
        <is>
          <t>Prod</t>
        </is>
      </c>
      <c r="D103" s="12" t="inlineStr">
        <is>
          <t>Standard_E16ads_v5</t>
        </is>
      </c>
      <c r="E103" s="12">
        <f>VLOOKUP(D103,SKU_Family_Map!$A:$B,2,FALSE)</f>
        <v/>
      </c>
      <c r="F103" s="12" t="inlineStr">
        <is>
          <t>crg-pr-chn-reg</t>
        </is>
      </c>
      <c r="G103" s="16" t="n">
        <v>16</v>
      </c>
      <c r="H103" s="16" t="n">
        <v>0</v>
      </c>
      <c r="I103" s="16" t="n">
        <v>8</v>
      </c>
      <c r="J103" s="16">
        <f>H103+I103</f>
        <v/>
      </c>
      <c r="K103" s="16">
        <f>J103-H103</f>
        <v/>
      </c>
      <c r="L103" s="16">
        <f>SUMIFS(Quota_Groups!$G:$G,Quota_Groups!$B:$B,A103,Quota_Groups!$D:$D,E103)</f>
        <v/>
      </c>
      <c r="M103" s="18">
        <f>MIN(K103,L103)</f>
        <v/>
      </c>
      <c r="N103" s="12">
        <f>IF(K103&lt;=L103,"CAPACITY","QUOTA")</f>
        <v/>
      </c>
      <c r="O103" s="12">
        <f>IF(K103&lt;=0,"RESERVATION_DEFICIT",IF(L103&lt;=0,"QUOTA_DEFICIT",IF(M103&lt;I103*0.5,"READY_WITH_RISK","READY")))</f>
        <v/>
      </c>
      <c r="P103" s="12" t="inlineStr"/>
    </row>
    <row r="104">
      <c r="A104" s="12" t="inlineStr">
        <is>
          <t>Switzerland North</t>
        </is>
      </c>
      <c r="B104" s="12" t="inlineStr">
        <is>
          <t>EU</t>
        </is>
      </c>
      <c r="C104" s="12" t="inlineStr">
        <is>
          <t>Prod</t>
        </is>
      </c>
      <c r="D104" s="12" t="inlineStr">
        <is>
          <t>Standard_E32ads_v6</t>
        </is>
      </c>
      <c r="E104" s="12">
        <f>VLOOKUP(D104,SKU_Family_Map!$A:$B,2,FALSE)</f>
        <v/>
      </c>
      <c r="F104" s="12" t="inlineStr">
        <is>
          <t>crg-pr-chn-reg</t>
        </is>
      </c>
      <c r="G104" s="16" t="n">
        <v>32</v>
      </c>
      <c r="H104" s="16" t="n">
        <v>576</v>
      </c>
      <c r="I104" s="16" t="n">
        <v>69</v>
      </c>
      <c r="J104" s="16">
        <f>H104+I104</f>
        <v/>
      </c>
      <c r="K104" s="16">
        <f>J104-H104</f>
        <v/>
      </c>
      <c r="L104" s="16">
        <f>SUMIFS(Quota_Groups!$G:$G,Quota_Groups!$B:$B,A104,Quota_Groups!$D:$D,E104)</f>
        <v/>
      </c>
      <c r="M104" s="18">
        <f>MIN(K104,L104)</f>
        <v/>
      </c>
      <c r="N104" s="12">
        <f>IF(K104&lt;=L104,"CAPACITY","QUOTA")</f>
        <v/>
      </c>
      <c r="O104" s="12">
        <f>IF(K104&lt;=0,"RESERVATION_DEFICIT",IF(L104&lt;=0,"QUOTA_DEFICIT",IF(M104&lt;I104*0.5,"READY_WITH_RISK","READY")))</f>
        <v/>
      </c>
      <c r="P104" s="12" t="inlineStr"/>
    </row>
    <row r="105">
      <c r="A105" s="12" t="inlineStr">
        <is>
          <t>Switzerland North</t>
        </is>
      </c>
      <c r="B105" s="12" t="inlineStr">
        <is>
          <t>EU</t>
        </is>
      </c>
      <c r="C105" s="12" t="inlineStr">
        <is>
          <t>Prod</t>
        </is>
      </c>
      <c r="D105" s="12" t="inlineStr">
        <is>
          <t>Standard_D8ads_v5</t>
        </is>
      </c>
      <c r="E105" s="12">
        <f>VLOOKUP(D105,SKU_Family_Map!$A:$B,2,FALSE)</f>
        <v/>
      </c>
      <c r="F105" s="12" t="inlineStr">
        <is>
          <t>crg-pr-chn-reg</t>
        </is>
      </c>
      <c r="G105" s="16" t="n">
        <v>8</v>
      </c>
      <c r="H105" s="16" t="n">
        <v>0</v>
      </c>
      <c r="I105" s="16" t="n">
        <v>8</v>
      </c>
      <c r="J105" s="16">
        <f>H105+I105</f>
        <v/>
      </c>
      <c r="K105" s="16">
        <f>J105-H105</f>
        <v/>
      </c>
      <c r="L105" s="16">
        <f>SUMIFS(Quota_Groups!$G:$G,Quota_Groups!$B:$B,A105,Quota_Groups!$D:$D,E105)</f>
        <v/>
      </c>
      <c r="M105" s="18">
        <f>MIN(K105,L105)</f>
        <v/>
      </c>
      <c r="N105" s="12">
        <f>IF(K105&lt;=L105,"CAPACITY","QUOTA")</f>
        <v/>
      </c>
      <c r="O105" s="12">
        <f>IF(K105&lt;=0,"RESERVATION_DEFICIT",IF(L105&lt;=0,"QUOTA_DEFICIT",IF(M105&lt;I105*0.5,"READY_WITH_RISK","READY")))</f>
        <v/>
      </c>
      <c r="P105" s="12" t="inlineStr"/>
    </row>
    <row r="106">
      <c r="A106" s="12" t="inlineStr">
        <is>
          <t>Switzerland North</t>
        </is>
      </c>
      <c r="B106" s="12" t="inlineStr">
        <is>
          <t>EU</t>
        </is>
      </c>
      <c r="C106" s="12" t="inlineStr">
        <is>
          <t>Prod</t>
        </is>
      </c>
      <c r="D106" s="12" t="inlineStr">
        <is>
          <t>Standard_D16ads_v5</t>
        </is>
      </c>
      <c r="E106" s="12">
        <f>VLOOKUP(D106,SKU_Family_Map!$A:$B,2,FALSE)</f>
        <v/>
      </c>
      <c r="F106" s="12" t="inlineStr">
        <is>
          <t>crg-pr-chn-reg</t>
        </is>
      </c>
      <c r="G106" s="16" t="n">
        <v>16</v>
      </c>
      <c r="H106" s="16" t="n">
        <v>0</v>
      </c>
      <c r="I106" s="16" t="n">
        <v>8</v>
      </c>
      <c r="J106" s="16">
        <f>H106+I106</f>
        <v/>
      </c>
      <c r="K106" s="16">
        <f>J106-H106</f>
        <v/>
      </c>
      <c r="L106" s="16">
        <f>SUMIFS(Quota_Groups!$G:$G,Quota_Groups!$B:$B,A106,Quota_Groups!$D:$D,E106)</f>
        <v/>
      </c>
      <c r="M106" s="18">
        <f>MIN(K106,L106)</f>
        <v/>
      </c>
      <c r="N106" s="12">
        <f>IF(K106&lt;=L106,"CAPACITY","QUOTA")</f>
        <v/>
      </c>
      <c r="O106" s="12">
        <f>IF(K106&lt;=0,"RESERVATION_DEFICIT",IF(L106&lt;=0,"QUOTA_DEFICIT",IF(M106&lt;I106*0.5,"READY_WITH_RISK","READY")))</f>
        <v/>
      </c>
      <c r="P106" s="12" t="inlineStr"/>
    </row>
    <row r="107">
      <c r="A107" s="12" t="inlineStr">
        <is>
          <t>Switzerland North</t>
        </is>
      </c>
      <c r="B107" s="12" t="inlineStr">
        <is>
          <t>EU</t>
        </is>
      </c>
      <c r="C107" s="12" t="inlineStr">
        <is>
          <t>Prod</t>
        </is>
      </c>
      <c r="D107" s="12" t="inlineStr">
        <is>
          <t>Standard_D8as_v5</t>
        </is>
      </c>
      <c r="E107" s="12">
        <f>VLOOKUP(D107,SKU_Family_Map!$A:$B,2,FALSE)</f>
        <v/>
      </c>
      <c r="F107" s="12" t="inlineStr">
        <is>
          <t>crg-pr-chn-reg</t>
        </is>
      </c>
      <c r="G107" s="16" t="n">
        <v>8</v>
      </c>
      <c r="H107" s="16" t="n">
        <v>0</v>
      </c>
      <c r="I107" s="16" t="n">
        <v>8</v>
      </c>
      <c r="J107" s="16">
        <f>H107+I107</f>
        <v/>
      </c>
      <c r="K107" s="16">
        <f>J107-H107</f>
        <v/>
      </c>
      <c r="L107" s="16">
        <f>SUMIFS(Quota_Groups!$G:$G,Quota_Groups!$B:$B,A107,Quota_Groups!$D:$D,E107)</f>
        <v/>
      </c>
      <c r="M107" s="18">
        <f>MIN(K107,L107)</f>
        <v/>
      </c>
      <c r="N107" s="12">
        <f>IF(K107&lt;=L107,"CAPACITY","QUOTA")</f>
        <v/>
      </c>
      <c r="O107" s="12">
        <f>IF(K107&lt;=0,"RESERVATION_DEFICIT",IF(L107&lt;=0,"QUOTA_DEFICIT",IF(M107&lt;I107*0.5,"READY_WITH_RISK","READY")))</f>
        <v/>
      </c>
      <c r="P107" s="12" t="inlineStr"/>
    </row>
    <row r="108">
      <c r="A108" s="12" t="inlineStr">
        <is>
          <t>Switzerland North</t>
        </is>
      </c>
      <c r="B108" s="12" t="inlineStr">
        <is>
          <t>EU</t>
        </is>
      </c>
      <c r="C108" s="12" t="inlineStr">
        <is>
          <t>Prod</t>
        </is>
      </c>
      <c r="D108" s="12" t="inlineStr">
        <is>
          <t>Standard_D16as_v5</t>
        </is>
      </c>
      <c r="E108" s="12">
        <f>VLOOKUP(D108,SKU_Family_Map!$A:$B,2,FALSE)</f>
        <v/>
      </c>
      <c r="F108" s="12" t="inlineStr">
        <is>
          <t>crg-pr-chn-reg</t>
        </is>
      </c>
      <c r="G108" s="16" t="n">
        <v>16</v>
      </c>
      <c r="H108" s="16" t="n">
        <v>0</v>
      </c>
      <c r="I108" s="16" t="n">
        <v>8</v>
      </c>
      <c r="J108" s="16">
        <f>H108+I108</f>
        <v/>
      </c>
      <c r="K108" s="16">
        <f>J108-H108</f>
        <v/>
      </c>
      <c r="L108" s="16">
        <f>SUMIFS(Quota_Groups!$G:$G,Quota_Groups!$B:$B,A108,Quota_Groups!$D:$D,E108)</f>
        <v/>
      </c>
      <c r="M108" s="18">
        <f>MIN(K108,L108)</f>
        <v/>
      </c>
      <c r="N108" s="12">
        <f>IF(K108&lt;=L108,"CAPACITY","QUOTA")</f>
        <v/>
      </c>
      <c r="O108" s="12">
        <f>IF(K108&lt;=0,"RESERVATION_DEFICIT",IF(L108&lt;=0,"QUOTA_DEFICIT",IF(M108&lt;I108*0.5,"READY_WITH_RISK","READY")))</f>
        <v/>
      </c>
      <c r="P108" s="12" t="inlineStr"/>
    </row>
    <row r="109">
      <c r="A109" s="12" t="inlineStr">
        <is>
          <t>Switzerland North</t>
        </is>
      </c>
      <c r="B109" s="12" t="inlineStr">
        <is>
          <t>EU</t>
        </is>
      </c>
      <c r="C109" s="12" t="inlineStr">
        <is>
          <t>NonProd</t>
        </is>
      </c>
      <c r="D109" s="12" t="inlineStr">
        <is>
          <t>Standard_E32ads_v5</t>
        </is>
      </c>
      <c r="E109" s="12">
        <f>VLOOKUP(D109,SKU_Family_Map!$A:$B,2,FALSE)</f>
        <v/>
      </c>
      <c r="F109" s="12" t="inlineStr">
        <is>
          <t>crg-np-chn-reg</t>
        </is>
      </c>
      <c r="G109" s="16" t="n">
        <v>32</v>
      </c>
      <c r="H109" s="16" t="n">
        <v>0</v>
      </c>
      <c r="I109" s="16" t="n">
        <v>8</v>
      </c>
      <c r="J109" s="16">
        <f>H109+I109</f>
        <v/>
      </c>
      <c r="K109" s="16">
        <f>J109-H109</f>
        <v/>
      </c>
      <c r="L109" s="16">
        <f>SUMIFS(Quota_Groups!$G:$G,Quota_Groups!$B:$B,A109,Quota_Groups!$D:$D,E109)</f>
        <v/>
      </c>
      <c r="M109" s="18">
        <f>MIN(K109,L109)</f>
        <v/>
      </c>
      <c r="N109" s="12">
        <f>IF(K109&lt;=L109,"CAPACITY","QUOTA")</f>
        <v/>
      </c>
      <c r="O109" s="12">
        <f>IF(K109&lt;=0,"RESERVATION_DEFICIT",IF(L109&lt;=0,"QUOTA_DEFICIT",IF(M109&lt;I109*0.5,"READY_WITH_RISK","READY")))</f>
        <v/>
      </c>
      <c r="P109" s="12" t="inlineStr"/>
    </row>
    <row r="110">
      <c r="A110" s="12" t="inlineStr">
        <is>
          <t>Switzerland North</t>
        </is>
      </c>
      <c r="B110" s="12" t="inlineStr">
        <is>
          <t>EU</t>
        </is>
      </c>
      <c r="C110" s="12" t="inlineStr">
        <is>
          <t>NonProd</t>
        </is>
      </c>
      <c r="D110" s="12" t="inlineStr">
        <is>
          <t>Standard_E64ads_v5</t>
        </is>
      </c>
      <c r="E110" s="12">
        <f>VLOOKUP(D110,SKU_Family_Map!$A:$B,2,FALSE)</f>
        <v/>
      </c>
      <c r="F110" s="12" t="inlineStr">
        <is>
          <t>crg-np-chn-reg</t>
        </is>
      </c>
      <c r="G110" s="16" t="n">
        <v>64</v>
      </c>
      <c r="H110" s="16" t="n">
        <v>0</v>
      </c>
      <c r="I110" s="16" t="n">
        <v>8</v>
      </c>
      <c r="J110" s="16">
        <f>H110+I110</f>
        <v/>
      </c>
      <c r="K110" s="16">
        <f>J110-H110</f>
        <v/>
      </c>
      <c r="L110" s="16">
        <f>SUMIFS(Quota_Groups!$G:$G,Quota_Groups!$B:$B,A110,Quota_Groups!$D:$D,E110)</f>
        <v/>
      </c>
      <c r="M110" s="18">
        <f>MIN(K110,L110)</f>
        <v/>
      </c>
      <c r="N110" s="12">
        <f>IF(K110&lt;=L110,"CAPACITY","QUOTA")</f>
        <v/>
      </c>
      <c r="O110" s="12">
        <f>IF(K110&lt;=0,"RESERVATION_DEFICIT",IF(L110&lt;=0,"QUOTA_DEFICIT",IF(M110&lt;I110*0.5,"READY_WITH_RISK","READY")))</f>
        <v/>
      </c>
      <c r="P110" s="12" t="inlineStr"/>
    </row>
    <row r="111">
      <c r="A111" s="12" t="inlineStr">
        <is>
          <t>Switzerland North</t>
        </is>
      </c>
      <c r="B111" s="12" t="inlineStr">
        <is>
          <t>EU</t>
        </is>
      </c>
      <c r="C111" s="12" t="inlineStr">
        <is>
          <t>NonProd</t>
        </is>
      </c>
      <c r="D111" s="12" t="inlineStr">
        <is>
          <t>Standard_E16ads_v5</t>
        </is>
      </c>
      <c r="E111" s="12">
        <f>VLOOKUP(D111,SKU_Family_Map!$A:$B,2,FALSE)</f>
        <v/>
      </c>
      <c r="F111" s="12" t="inlineStr">
        <is>
          <t>crg-np-chn-reg</t>
        </is>
      </c>
      <c r="G111" s="16" t="n">
        <v>16</v>
      </c>
      <c r="H111" s="16" t="n">
        <v>0</v>
      </c>
      <c r="I111" s="16" t="n">
        <v>8</v>
      </c>
      <c r="J111" s="16">
        <f>H111+I111</f>
        <v/>
      </c>
      <c r="K111" s="16">
        <f>J111-H111</f>
        <v/>
      </c>
      <c r="L111" s="16">
        <f>SUMIFS(Quota_Groups!$G:$G,Quota_Groups!$B:$B,A111,Quota_Groups!$D:$D,E111)</f>
        <v/>
      </c>
      <c r="M111" s="18">
        <f>MIN(K111,L111)</f>
        <v/>
      </c>
      <c r="N111" s="12">
        <f>IF(K111&lt;=L111,"CAPACITY","QUOTA")</f>
        <v/>
      </c>
      <c r="O111" s="12">
        <f>IF(K111&lt;=0,"RESERVATION_DEFICIT",IF(L111&lt;=0,"QUOTA_DEFICIT",IF(M111&lt;I111*0.5,"READY_WITH_RISK","READY")))</f>
        <v/>
      </c>
      <c r="P111" s="12" t="inlineStr"/>
    </row>
    <row r="112">
      <c r="A112" s="12" t="inlineStr">
        <is>
          <t>Switzerland North</t>
        </is>
      </c>
      <c r="B112" s="12" t="inlineStr">
        <is>
          <t>EU</t>
        </is>
      </c>
      <c r="C112" s="12" t="inlineStr">
        <is>
          <t>NonProd</t>
        </is>
      </c>
      <c r="D112" s="12" t="inlineStr">
        <is>
          <t>Standard_E32ads_v6</t>
        </is>
      </c>
      <c r="E112" s="12">
        <f>VLOOKUP(D112,SKU_Family_Map!$A:$B,2,FALSE)</f>
        <v/>
      </c>
      <c r="F112" s="12" t="inlineStr">
        <is>
          <t>crg-np-chn-reg</t>
        </is>
      </c>
      <c r="G112" s="16" t="n">
        <v>32</v>
      </c>
      <c r="H112" s="16" t="n">
        <v>576</v>
      </c>
      <c r="I112" s="16" t="n">
        <v>69</v>
      </c>
      <c r="J112" s="16">
        <f>H112+I112</f>
        <v/>
      </c>
      <c r="K112" s="16">
        <f>J112-H112</f>
        <v/>
      </c>
      <c r="L112" s="16">
        <f>SUMIFS(Quota_Groups!$G:$G,Quota_Groups!$B:$B,A112,Quota_Groups!$D:$D,E112)</f>
        <v/>
      </c>
      <c r="M112" s="18">
        <f>MIN(K112,L112)</f>
        <v/>
      </c>
      <c r="N112" s="12">
        <f>IF(K112&lt;=L112,"CAPACITY","QUOTA")</f>
        <v/>
      </c>
      <c r="O112" s="12">
        <f>IF(K112&lt;=0,"RESERVATION_DEFICIT",IF(L112&lt;=0,"QUOTA_DEFICIT",IF(M112&lt;I112*0.5,"READY_WITH_RISK","READY")))</f>
        <v/>
      </c>
      <c r="P112" s="12" t="inlineStr"/>
    </row>
    <row r="113">
      <c r="A113" s="12" t="inlineStr">
        <is>
          <t>Switzerland North</t>
        </is>
      </c>
      <c r="B113" s="12" t="inlineStr">
        <is>
          <t>EU</t>
        </is>
      </c>
      <c r="C113" s="12" t="inlineStr">
        <is>
          <t>NonProd</t>
        </is>
      </c>
      <c r="D113" s="12" t="inlineStr">
        <is>
          <t>Standard_D8ads_v5</t>
        </is>
      </c>
      <c r="E113" s="12">
        <f>VLOOKUP(D113,SKU_Family_Map!$A:$B,2,FALSE)</f>
        <v/>
      </c>
      <c r="F113" s="12" t="inlineStr">
        <is>
          <t>crg-np-chn-reg</t>
        </is>
      </c>
      <c r="G113" s="16" t="n">
        <v>8</v>
      </c>
      <c r="H113" s="16" t="n">
        <v>0</v>
      </c>
      <c r="I113" s="16" t="n">
        <v>8</v>
      </c>
      <c r="J113" s="16">
        <f>H113+I113</f>
        <v/>
      </c>
      <c r="K113" s="16">
        <f>J113-H113</f>
        <v/>
      </c>
      <c r="L113" s="16">
        <f>SUMIFS(Quota_Groups!$G:$G,Quota_Groups!$B:$B,A113,Quota_Groups!$D:$D,E113)</f>
        <v/>
      </c>
      <c r="M113" s="18">
        <f>MIN(K113,L113)</f>
        <v/>
      </c>
      <c r="N113" s="12">
        <f>IF(K113&lt;=L113,"CAPACITY","QUOTA")</f>
        <v/>
      </c>
      <c r="O113" s="12">
        <f>IF(K113&lt;=0,"RESERVATION_DEFICIT",IF(L113&lt;=0,"QUOTA_DEFICIT",IF(M113&lt;I113*0.5,"READY_WITH_RISK","READY")))</f>
        <v/>
      </c>
      <c r="P113" s="12" t="inlineStr"/>
    </row>
    <row r="114">
      <c r="A114" s="12" t="inlineStr">
        <is>
          <t>Switzerland North</t>
        </is>
      </c>
      <c r="B114" s="12" t="inlineStr">
        <is>
          <t>EU</t>
        </is>
      </c>
      <c r="C114" s="12" t="inlineStr">
        <is>
          <t>NonProd</t>
        </is>
      </c>
      <c r="D114" s="12" t="inlineStr">
        <is>
          <t>Standard_D16ads_v5</t>
        </is>
      </c>
      <c r="E114" s="12">
        <f>VLOOKUP(D114,SKU_Family_Map!$A:$B,2,FALSE)</f>
        <v/>
      </c>
      <c r="F114" s="12" t="inlineStr">
        <is>
          <t>crg-np-chn-reg</t>
        </is>
      </c>
      <c r="G114" s="16" t="n">
        <v>16</v>
      </c>
      <c r="H114" s="16" t="n">
        <v>0</v>
      </c>
      <c r="I114" s="16" t="n">
        <v>8</v>
      </c>
      <c r="J114" s="16">
        <f>H114+I114</f>
        <v/>
      </c>
      <c r="K114" s="16">
        <f>J114-H114</f>
        <v/>
      </c>
      <c r="L114" s="16">
        <f>SUMIFS(Quota_Groups!$G:$G,Quota_Groups!$B:$B,A114,Quota_Groups!$D:$D,E114)</f>
        <v/>
      </c>
      <c r="M114" s="18">
        <f>MIN(K114,L114)</f>
        <v/>
      </c>
      <c r="N114" s="12">
        <f>IF(K114&lt;=L114,"CAPACITY","QUOTA")</f>
        <v/>
      </c>
      <c r="O114" s="12">
        <f>IF(K114&lt;=0,"RESERVATION_DEFICIT",IF(L114&lt;=0,"QUOTA_DEFICIT",IF(M114&lt;I114*0.5,"READY_WITH_RISK","READY")))</f>
        <v/>
      </c>
      <c r="P114" s="12" t="inlineStr"/>
    </row>
    <row r="115">
      <c r="A115" s="12" t="inlineStr">
        <is>
          <t>Switzerland North</t>
        </is>
      </c>
      <c r="B115" s="12" t="inlineStr">
        <is>
          <t>EU</t>
        </is>
      </c>
      <c r="C115" s="12" t="inlineStr">
        <is>
          <t>NonProd</t>
        </is>
      </c>
      <c r="D115" s="12" t="inlineStr">
        <is>
          <t>Standard_D8as_v5</t>
        </is>
      </c>
      <c r="E115" s="12">
        <f>VLOOKUP(D115,SKU_Family_Map!$A:$B,2,FALSE)</f>
        <v/>
      </c>
      <c r="F115" s="12" t="inlineStr">
        <is>
          <t>crg-np-chn-reg</t>
        </is>
      </c>
      <c r="G115" s="16" t="n">
        <v>8</v>
      </c>
      <c r="H115" s="16" t="n">
        <v>0</v>
      </c>
      <c r="I115" s="16" t="n">
        <v>8</v>
      </c>
      <c r="J115" s="16">
        <f>H115+I115</f>
        <v/>
      </c>
      <c r="K115" s="16">
        <f>J115-H115</f>
        <v/>
      </c>
      <c r="L115" s="16">
        <f>SUMIFS(Quota_Groups!$G:$G,Quota_Groups!$B:$B,A115,Quota_Groups!$D:$D,E115)</f>
        <v/>
      </c>
      <c r="M115" s="18">
        <f>MIN(K115,L115)</f>
        <v/>
      </c>
      <c r="N115" s="12">
        <f>IF(K115&lt;=L115,"CAPACITY","QUOTA")</f>
        <v/>
      </c>
      <c r="O115" s="12">
        <f>IF(K115&lt;=0,"RESERVATION_DEFICIT",IF(L115&lt;=0,"QUOTA_DEFICIT",IF(M115&lt;I115*0.5,"READY_WITH_RISK","READY")))</f>
        <v/>
      </c>
      <c r="P115" s="12" t="inlineStr"/>
    </row>
    <row r="116">
      <c r="A116" s="12" t="inlineStr">
        <is>
          <t>Switzerland North</t>
        </is>
      </c>
      <c r="B116" s="12" t="inlineStr">
        <is>
          <t>EU</t>
        </is>
      </c>
      <c r="C116" s="12" t="inlineStr">
        <is>
          <t>NonProd</t>
        </is>
      </c>
      <c r="D116" s="12" t="inlineStr">
        <is>
          <t>Standard_D16as_v5</t>
        </is>
      </c>
      <c r="E116" s="12">
        <f>VLOOKUP(D116,SKU_Family_Map!$A:$B,2,FALSE)</f>
        <v/>
      </c>
      <c r="F116" s="12" t="inlineStr">
        <is>
          <t>crg-np-chn-reg</t>
        </is>
      </c>
      <c r="G116" s="16" t="n">
        <v>16</v>
      </c>
      <c r="H116" s="16" t="n">
        <v>0</v>
      </c>
      <c r="I116" s="16" t="n">
        <v>8</v>
      </c>
      <c r="J116" s="16">
        <f>H116+I116</f>
        <v/>
      </c>
      <c r="K116" s="16">
        <f>J116-H116</f>
        <v/>
      </c>
      <c r="L116" s="16">
        <f>SUMIFS(Quota_Groups!$G:$G,Quota_Groups!$B:$B,A116,Quota_Groups!$D:$D,E116)</f>
        <v/>
      </c>
      <c r="M116" s="18">
        <f>MIN(K116,L116)</f>
        <v/>
      </c>
      <c r="N116" s="12">
        <f>IF(K116&lt;=L116,"CAPACITY","QUOTA")</f>
        <v/>
      </c>
      <c r="O116" s="12">
        <f>IF(K116&lt;=0,"RESERVATION_DEFICIT",IF(L116&lt;=0,"QUOTA_DEFICIT",IF(M116&lt;I116*0.5,"READY_WITH_RISK","READY")))</f>
        <v/>
      </c>
      <c r="P116" s="12" t="inlineStr"/>
    </row>
    <row r="117">
      <c r="A117" s="12" t="inlineStr">
        <is>
          <t>Switzerland North</t>
        </is>
      </c>
      <c r="B117" s="12" t="inlineStr">
        <is>
          <t>EU</t>
        </is>
      </c>
      <c r="C117" s="12" t="inlineStr">
        <is>
          <t>DR</t>
        </is>
      </c>
      <c r="D117" s="12" t="inlineStr">
        <is>
          <t>Standard_E32ads_v5</t>
        </is>
      </c>
      <c r="E117" s="12">
        <f>VLOOKUP(D117,SKU_Family_Map!$A:$B,2,FALSE)</f>
        <v/>
      </c>
      <c r="F117" s="12" t="inlineStr">
        <is>
          <t>crg-dr-chn-reg</t>
        </is>
      </c>
      <c r="G117" s="16" t="n">
        <v>32</v>
      </c>
      <c r="H117" s="16" t="n">
        <v>0</v>
      </c>
      <c r="I117" s="16" t="n">
        <v>8</v>
      </c>
      <c r="J117" s="16">
        <f>H117+I117</f>
        <v/>
      </c>
      <c r="K117" s="16">
        <f>J117-H117</f>
        <v/>
      </c>
      <c r="L117" s="16">
        <f>SUMIFS(Quota_Groups!$G:$G,Quota_Groups!$B:$B,A117,Quota_Groups!$D:$D,E117)</f>
        <v/>
      </c>
      <c r="M117" s="18">
        <f>MIN(K117,L117)</f>
        <v/>
      </c>
      <c r="N117" s="12">
        <f>IF(K117&lt;=L117,"CAPACITY","QUOTA")</f>
        <v/>
      </c>
      <c r="O117" s="12">
        <f>IF(K117&lt;=0,"RESERVATION_DEFICIT",IF(L117&lt;=0,"QUOTA_DEFICIT",IF(M117&lt;I117*0.5,"READY_WITH_RISK","READY")))</f>
        <v/>
      </c>
      <c r="P117" s="12" t="inlineStr"/>
    </row>
    <row r="118">
      <c r="A118" s="12" t="inlineStr">
        <is>
          <t>Switzerland North</t>
        </is>
      </c>
      <c r="B118" s="12" t="inlineStr">
        <is>
          <t>EU</t>
        </is>
      </c>
      <c r="C118" s="12" t="inlineStr">
        <is>
          <t>DR</t>
        </is>
      </c>
      <c r="D118" s="12" t="inlineStr">
        <is>
          <t>Standard_E64ads_v5</t>
        </is>
      </c>
      <c r="E118" s="12">
        <f>VLOOKUP(D118,SKU_Family_Map!$A:$B,2,FALSE)</f>
        <v/>
      </c>
      <c r="F118" s="12" t="inlineStr">
        <is>
          <t>crg-dr-chn-reg</t>
        </is>
      </c>
      <c r="G118" s="16" t="n">
        <v>64</v>
      </c>
      <c r="H118" s="16" t="n">
        <v>0</v>
      </c>
      <c r="I118" s="16" t="n">
        <v>8</v>
      </c>
      <c r="J118" s="16">
        <f>H118+I118</f>
        <v/>
      </c>
      <c r="K118" s="16">
        <f>J118-H118</f>
        <v/>
      </c>
      <c r="L118" s="16">
        <f>SUMIFS(Quota_Groups!$G:$G,Quota_Groups!$B:$B,A118,Quota_Groups!$D:$D,E118)</f>
        <v/>
      </c>
      <c r="M118" s="18">
        <f>MIN(K118,L118)</f>
        <v/>
      </c>
      <c r="N118" s="12">
        <f>IF(K118&lt;=L118,"CAPACITY","QUOTA")</f>
        <v/>
      </c>
      <c r="O118" s="12">
        <f>IF(K118&lt;=0,"RESERVATION_DEFICIT",IF(L118&lt;=0,"QUOTA_DEFICIT",IF(M118&lt;I118*0.5,"READY_WITH_RISK","READY")))</f>
        <v/>
      </c>
      <c r="P118" s="12" t="inlineStr"/>
    </row>
    <row r="119">
      <c r="A119" s="12" t="inlineStr">
        <is>
          <t>Switzerland North</t>
        </is>
      </c>
      <c r="B119" s="12" t="inlineStr">
        <is>
          <t>EU</t>
        </is>
      </c>
      <c r="C119" s="12" t="inlineStr">
        <is>
          <t>DR</t>
        </is>
      </c>
      <c r="D119" s="12" t="inlineStr">
        <is>
          <t>Standard_E16ads_v5</t>
        </is>
      </c>
      <c r="E119" s="12">
        <f>VLOOKUP(D119,SKU_Family_Map!$A:$B,2,FALSE)</f>
        <v/>
      </c>
      <c r="F119" s="12" t="inlineStr">
        <is>
          <t>crg-dr-chn-reg</t>
        </is>
      </c>
      <c r="G119" s="16" t="n">
        <v>16</v>
      </c>
      <c r="H119" s="16" t="n">
        <v>0</v>
      </c>
      <c r="I119" s="16" t="n">
        <v>8</v>
      </c>
      <c r="J119" s="16">
        <f>H119+I119</f>
        <v/>
      </c>
      <c r="K119" s="16">
        <f>J119-H119</f>
        <v/>
      </c>
      <c r="L119" s="16">
        <f>SUMIFS(Quota_Groups!$G:$G,Quota_Groups!$B:$B,A119,Quota_Groups!$D:$D,E119)</f>
        <v/>
      </c>
      <c r="M119" s="18">
        <f>MIN(K119,L119)</f>
        <v/>
      </c>
      <c r="N119" s="12">
        <f>IF(K119&lt;=L119,"CAPACITY","QUOTA")</f>
        <v/>
      </c>
      <c r="O119" s="12">
        <f>IF(K119&lt;=0,"RESERVATION_DEFICIT",IF(L119&lt;=0,"QUOTA_DEFICIT",IF(M119&lt;I119*0.5,"READY_WITH_RISK","READY")))</f>
        <v/>
      </c>
      <c r="P119" s="12" t="inlineStr"/>
    </row>
    <row r="120">
      <c r="A120" s="12" t="inlineStr">
        <is>
          <t>Switzerland North</t>
        </is>
      </c>
      <c r="B120" s="12" t="inlineStr">
        <is>
          <t>EU</t>
        </is>
      </c>
      <c r="C120" s="12" t="inlineStr">
        <is>
          <t>DR</t>
        </is>
      </c>
      <c r="D120" s="12" t="inlineStr">
        <is>
          <t>Standard_E32ads_v6</t>
        </is>
      </c>
      <c r="E120" s="12">
        <f>VLOOKUP(D120,SKU_Family_Map!$A:$B,2,FALSE)</f>
        <v/>
      </c>
      <c r="F120" s="12" t="inlineStr">
        <is>
          <t>crg-dr-chn-reg</t>
        </is>
      </c>
      <c r="G120" s="16" t="n">
        <v>32</v>
      </c>
      <c r="H120" s="16" t="n">
        <v>173</v>
      </c>
      <c r="I120" s="16" t="n">
        <v>21</v>
      </c>
      <c r="J120" s="16">
        <f>H120+I120</f>
        <v/>
      </c>
      <c r="K120" s="16">
        <f>J120-H120</f>
        <v/>
      </c>
      <c r="L120" s="16">
        <f>SUMIFS(Quota_Groups!$G:$G,Quota_Groups!$B:$B,A120,Quota_Groups!$D:$D,E120)</f>
        <v/>
      </c>
      <c r="M120" s="18">
        <f>MIN(K120,L120)</f>
        <v/>
      </c>
      <c r="N120" s="12">
        <f>IF(K120&lt;=L120,"CAPACITY","QUOTA")</f>
        <v/>
      </c>
      <c r="O120" s="12">
        <f>IF(K120&lt;=0,"RESERVATION_DEFICIT",IF(L120&lt;=0,"QUOTA_DEFICIT",IF(M120&lt;I120*0.5,"READY_WITH_RISK","READY")))</f>
        <v/>
      </c>
      <c r="P120" s="12" t="inlineStr"/>
    </row>
    <row r="121">
      <c r="A121" s="12" t="inlineStr">
        <is>
          <t>Switzerland North</t>
        </is>
      </c>
      <c r="B121" s="12" t="inlineStr">
        <is>
          <t>EU</t>
        </is>
      </c>
      <c r="C121" s="12" t="inlineStr">
        <is>
          <t>DR</t>
        </is>
      </c>
      <c r="D121" s="12" t="inlineStr">
        <is>
          <t>Standard_D8ads_v5</t>
        </is>
      </c>
      <c r="E121" s="12">
        <f>VLOOKUP(D121,SKU_Family_Map!$A:$B,2,FALSE)</f>
        <v/>
      </c>
      <c r="F121" s="12" t="inlineStr">
        <is>
          <t>crg-dr-chn-reg</t>
        </is>
      </c>
      <c r="G121" s="16" t="n">
        <v>8</v>
      </c>
      <c r="H121" s="16" t="n">
        <v>0</v>
      </c>
      <c r="I121" s="16" t="n">
        <v>8</v>
      </c>
      <c r="J121" s="16">
        <f>H121+I121</f>
        <v/>
      </c>
      <c r="K121" s="16">
        <f>J121-H121</f>
        <v/>
      </c>
      <c r="L121" s="16">
        <f>SUMIFS(Quota_Groups!$G:$G,Quota_Groups!$B:$B,A121,Quota_Groups!$D:$D,E121)</f>
        <v/>
      </c>
      <c r="M121" s="18">
        <f>MIN(K121,L121)</f>
        <v/>
      </c>
      <c r="N121" s="12">
        <f>IF(K121&lt;=L121,"CAPACITY","QUOTA")</f>
        <v/>
      </c>
      <c r="O121" s="12">
        <f>IF(K121&lt;=0,"RESERVATION_DEFICIT",IF(L121&lt;=0,"QUOTA_DEFICIT",IF(M121&lt;I121*0.5,"READY_WITH_RISK","READY")))</f>
        <v/>
      </c>
      <c r="P121" s="12" t="inlineStr"/>
    </row>
    <row r="122">
      <c r="A122" s="12" t="inlineStr">
        <is>
          <t>Switzerland North</t>
        </is>
      </c>
      <c r="B122" s="12" t="inlineStr">
        <is>
          <t>EU</t>
        </is>
      </c>
      <c r="C122" s="12" t="inlineStr">
        <is>
          <t>DR</t>
        </is>
      </c>
      <c r="D122" s="12" t="inlineStr">
        <is>
          <t>Standard_D16ads_v5</t>
        </is>
      </c>
      <c r="E122" s="12">
        <f>VLOOKUP(D122,SKU_Family_Map!$A:$B,2,FALSE)</f>
        <v/>
      </c>
      <c r="F122" s="12" t="inlineStr">
        <is>
          <t>crg-dr-chn-reg</t>
        </is>
      </c>
      <c r="G122" s="16" t="n">
        <v>16</v>
      </c>
      <c r="H122" s="16" t="n">
        <v>0</v>
      </c>
      <c r="I122" s="16" t="n">
        <v>8</v>
      </c>
      <c r="J122" s="16">
        <f>H122+I122</f>
        <v/>
      </c>
      <c r="K122" s="16">
        <f>J122-H122</f>
        <v/>
      </c>
      <c r="L122" s="16">
        <f>SUMIFS(Quota_Groups!$G:$G,Quota_Groups!$B:$B,A122,Quota_Groups!$D:$D,E122)</f>
        <v/>
      </c>
      <c r="M122" s="18">
        <f>MIN(K122,L122)</f>
        <v/>
      </c>
      <c r="N122" s="12">
        <f>IF(K122&lt;=L122,"CAPACITY","QUOTA")</f>
        <v/>
      </c>
      <c r="O122" s="12">
        <f>IF(K122&lt;=0,"RESERVATION_DEFICIT",IF(L122&lt;=0,"QUOTA_DEFICIT",IF(M122&lt;I122*0.5,"READY_WITH_RISK","READY")))</f>
        <v/>
      </c>
      <c r="P122" s="12" t="inlineStr"/>
    </row>
    <row r="123">
      <c r="A123" s="12" t="inlineStr">
        <is>
          <t>Switzerland North</t>
        </is>
      </c>
      <c r="B123" s="12" t="inlineStr">
        <is>
          <t>EU</t>
        </is>
      </c>
      <c r="C123" s="12" t="inlineStr">
        <is>
          <t>DR</t>
        </is>
      </c>
      <c r="D123" s="12" t="inlineStr">
        <is>
          <t>Standard_D8as_v5</t>
        </is>
      </c>
      <c r="E123" s="12">
        <f>VLOOKUP(D123,SKU_Family_Map!$A:$B,2,FALSE)</f>
        <v/>
      </c>
      <c r="F123" s="12" t="inlineStr">
        <is>
          <t>crg-dr-chn-reg</t>
        </is>
      </c>
      <c r="G123" s="16" t="n">
        <v>8</v>
      </c>
      <c r="H123" s="16" t="n">
        <v>0</v>
      </c>
      <c r="I123" s="16" t="n">
        <v>8</v>
      </c>
      <c r="J123" s="16">
        <f>H123+I123</f>
        <v/>
      </c>
      <c r="K123" s="16">
        <f>J123-H123</f>
        <v/>
      </c>
      <c r="L123" s="16">
        <f>SUMIFS(Quota_Groups!$G:$G,Quota_Groups!$B:$B,A123,Quota_Groups!$D:$D,E123)</f>
        <v/>
      </c>
      <c r="M123" s="18">
        <f>MIN(K123,L123)</f>
        <v/>
      </c>
      <c r="N123" s="12">
        <f>IF(K123&lt;=L123,"CAPACITY","QUOTA")</f>
        <v/>
      </c>
      <c r="O123" s="12">
        <f>IF(K123&lt;=0,"RESERVATION_DEFICIT",IF(L123&lt;=0,"QUOTA_DEFICIT",IF(M123&lt;I123*0.5,"READY_WITH_RISK","READY")))</f>
        <v/>
      </c>
      <c r="P123" s="12" t="inlineStr"/>
    </row>
    <row r="124">
      <c r="A124" s="12" t="inlineStr">
        <is>
          <t>Switzerland North</t>
        </is>
      </c>
      <c r="B124" s="12" t="inlineStr">
        <is>
          <t>EU</t>
        </is>
      </c>
      <c r="C124" s="12" t="inlineStr">
        <is>
          <t>DR</t>
        </is>
      </c>
      <c r="D124" s="12" t="inlineStr">
        <is>
          <t>Standard_D16as_v5</t>
        </is>
      </c>
      <c r="E124" s="12">
        <f>VLOOKUP(D124,SKU_Family_Map!$A:$B,2,FALSE)</f>
        <v/>
      </c>
      <c r="F124" s="12" t="inlineStr">
        <is>
          <t>crg-dr-chn-reg</t>
        </is>
      </c>
      <c r="G124" s="16" t="n">
        <v>16</v>
      </c>
      <c r="H124" s="16" t="n">
        <v>0</v>
      </c>
      <c r="I124" s="16" t="n">
        <v>8</v>
      </c>
      <c r="J124" s="16">
        <f>H124+I124</f>
        <v/>
      </c>
      <c r="K124" s="16">
        <f>J124-H124</f>
        <v/>
      </c>
      <c r="L124" s="16">
        <f>SUMIFS(Quota_Groups!$G:$G,Quota_Groups!$B:$B,A124,Quota_Groups!$D:$D,E124)</f>
        <v/>
      </c>
      <c r="M124" s="18">
        <f>MIN(K124,L124)</f>
        <v/>
      </c>
      <c r="N124" s="12">
        <f>IF(K124&lt;=L124,"CAPACITY","QUOTA")</f>
        <v/>
      </c>
      <c r="O124" s="12">
        <f>IF(K124&lt;=0,"RESERVATION_DEFICIT",IF(L124&lt;=0,"QUOTA_DEFICIT",IF(M124&lt;I124*0.5,"READY_WITH_RISK","READY")))</f>
        <v/>
      </c>
      <c r="P124" s="12" t="inlineStr"/>
    </row>
    <row r="125">
      <c r="A125" s="12" t="inlineStr">
        <is>
          <t>Sweden Central</t>
        </is>
      </c>
      <c r="B125" s="12" t="inlineStr">
        <is>
          <t>EU</t>
        </is>
      </c>
      <c r="C125" s="12" t="inlineStr">
        <is>
          <t>Prod</t>
        </is>
      </c>
      <c r="D125" s="12" t="inlineStr">
        <is>
          <t>Standard_E32ads_v5</t>
        </is>
      </c>
      <c r="E125" s="12">
        <f>VLOOKUP(D125,SKU_Family_Map!$A:$B,2,FALSE)</f>
        <v/>
      </c>
      <c r="F125" s="12" t="inlineStr">
        <is>
          <t>crg-pr-sec-reg</t>
        </is>
      </c>
      <c r="G125" s="16" t="n">
        <v>32</v>
      </c>
      <c r="H125" s="16" t="n">
        <v>64</v>
      </c>
      <c r="I125" s="16" t="n">
        <v>8</v>
      </c>
      <c r="J125" s="16">
        <f>H125+I125</f>
        <v/>
      </c>
      <c r="K125" s="16">
        <f>J125-H125</f>
        <v/>
      </c>
      <c r="L125" s="16">
        <f>SUMIFS(Quota_Groups!$G:$G,Quota_Groups!$B:$B,A125,Quota_Groups!$D:$D,E125)</f>
        <v/>
      </c>
      <c r="M125" s="18">
        <f>MIN(K125,L125)</f>
        <v/>
      </c>
      <c r="N125" s="12">
        <f>IF(K125&lt;=L125,"CAPACITY","QUOTA")</f>
        <v/>
      </c>
      <c r="O125" s="12">
        <f>IF(K125&lt;=0,"RESERVATION_DEFICIT",IF(L125&lt;=0,"QUOTA_DEFICIT",IF(M125&lt;I125*0.5,"READY_WITH_RISK","READY")))</f>
        <v/>
      </c>
      <c r="P125" s="12" t="inlineStr"/>
    </row>
    <row r="126">
      <c r="A126" s="12" t="inlineStr">
        <is>
          <t>Sweden Central</t>
        </is>
      </c>
      <c r="B126" s="12" t="inlineStr">
        <is>
          <t>EU</t>
        </is>
      </c>
      <c r="C126" s="12" t="inlineStr">
        <is>
          <t>Prod</t>
        </is>
      </c>
      <c r="D126" s="12" t="inlineStr">
        <is>
          <t>Standard_E64ads_v5</t>
        </is>
      </c>
      <c r="E126" s="12">
        <f>VLOOKUP(D126,SKU_Family_Map!$A:$B,2,FALSE)</f>
        <v/>
      </c>
      <c r="F126" s="12" t="inlineStr">
        <is>
          <t>crg-pr-sec-reg</t>
        </is>
      </c>
      <c r="G126" s="16" t="n">
        <v>64</v>
      </c>
      <c r="H126" s="16" t="n">
        <v>0</v>
      </c>
      <c r="I126" s="16" t="n">
        <v>8</v>
      </c>
      <c r="J126" s="16">
        <f>H126+I126</f>
        <v/>
      </c>
      <c r="K126" s="16">
        <f>J126-H126</f>
        <v/>
      </c>
      <c r="L126" s="16">
        <f>SUMIFS(Quota_Groups!$G:$G,Quota_Groups!$B:$B,A126,Quota_Groups!$D:$D,E126)</f>
        <v/>
      </c>
      <c r="M126" s="18">
        <f>MIN(K126,L126)</f>
        <v/>
      </c>
      <c r="N126" s="12">
        <f>IF(K126&lt;=L126,"CAPACITY","QUOTA")</f>
        <v/>
      </c>
      <c r="O126" s="12">
        <f>IF(K126&lt;=0,"RESERVATION_DEFICIT",IF(L126&lt;=0,"QUOTA_DEFICIT",IF(M126&lt;I126*0.5,"READY_WITH_RISK","READY")))</f>
        <v/>
      </c>
      <c r="P126" s="12" t="inlineStr"/>
    </row>
    <row r="127">
      <c r="A127" s="12" t="inlineStr">
        <is>
          <t>Sweden Central</t>
        </is>
      </c>
      <c r="B127" s="12" t="inlineStr">
        <is>
          <t>EU</t>
        </is>
      </c>
      <c r="C127" s="12" t="inlineStr">
        <is>
          <t>Prod</t>
        </is>
      </c>
      <c r="D127" s="12" t="inlineStr">
        <is>
          <t>Standard_E16ads_v5</t>
        </is>
      </c>
      <c r="E127" s="12">
        <f>VLOOKUP(D127,SKU_Family_Map!$A:$B,2,FALSE)</f>
        <v/>
      </c>
      <c r="F127" s="12" t="inlineStr">
        <is>
          <t>crg-pr-sec-reg</t>
        </is>
      </c>
      <c r="G127" s="16" t="n">
        <v>16</v>
      </c>
      <c r="H127" s="16" t="n">
        <v>96</v>
      </c>
      <c r="I127" s="16" t="n">
        <v>12</v>
      </c>
      <c r="J127" s="16">
        <f>H127+I127</f>
        <v/>
      </c>
      <c r="K127" s="16">
        <f>J127-H127</f>
        <v/>
      </c>
      <c r="L127" s="16">
        <f>SUMIFS(Quota_Groups!$G:$G,Quota_Groups!$B:$B,A127,Quota_Groups!$D:$D,E127)</f>
        <v/>
      </c>
      <c r="M127" s="18">
        <f>MIN(K127,L127)</f>
        <v/>
      </c>
      <c r="N127" s="12">
        <f>IF(K127&lt;=L127,"CAPACITY","QUOTA")</f>
        <v/>
      </c>
      <c r="O127" s="12">
        <f>IF(K127&lt;=0,"RESERVATION_DEFICIT",IF(L127&lt;=0,"QUOTA_DEFICIT",IF(M127&lt;I127*0.5,"READY_WITH_RISK","READY")))</f>
        <v/>
      </c>
      <c r="P127" s="12" t="inlineStr"/>
    </row>
    <row r="128">
      <c r="A128" s="12" t="inlineStr">
        <is>
          <t>Sweden Central</t>
        </is>
      </c>
      <c r="B128" s="12" t="inlineStr">
        <is>
          <t>EU</t>
        </is>
      </c>
      <c r="C128" s="12" t="inlineStr">
        <is>
          <t>Prod</t>
        </is>
      </c>
      <c r="D128" s="12" t="inlineStr">
        <is>
          <t>Standard_E32ads_v6</t>
        </is>
      </c>
      <c r="E128" s="12">
        <f>VLOOKUP(D128,SKU_Family_Map!$A:$B,2,FALSE)</f>
        <v/>
      </c>
      <c r="F128" s="12" t="inlineStr">
        <is>
          <t>crg-pr-sec-reg</t>
        </is>
      </c>
      <c r="G128" s="16" t="n">
        <v>32</v>
      </c>
      <c r="H128" s="16" t="n">
        <v>768</v>
      </c>
      <c r="I128" s="16" t="n">
        <v>92</v>
      </c>
      <c r="J128" s="16">
        <f>H128+I128</f>
        <v/>
      </c>
      <c r="K128" s="16">
        <f>J128-H128</f>
        <v/>
      </c>
      <c r="L128" s="16">
        <f>SUMIFS(Quota_Groups!$G:$G,Quota_Groups!$B:$B,A128,Quota_Groups!$D:$D,E128)</f>
        <v/>
      </c>
      <c r="M128" s="18">
        <f>MIN(K128,L128)</f>
        <v/>
      </c>
      <c r="N128" s="12">
        <f>IF(K128&lt;=L128,"CAPACITY","QUOTA")</f>
        <v/>
      </c>
      <c r="O128" s="12">
        <f>IF(K128&lt;=0,"RESERVATION_DEFICIT",IF(L128&lt;=0,"QUOTA_DEFICIT",IF(M128&lt;I128*0.5,"READY_WITH_RISK","READY")))</f>
        <v/>
      </c>
      <c r="P128" s="12" t="inlineStr"/>
    </row>
    <row r="129">
      <c r="A129" s="12" t="inlineStr">
        <is>
          <t>Sweden Central</t>
        </is>
      </c>
      <c r="B129" s="12" t="inlineStr">
        <is>
          <t>EU</t>
        </is>
      </c>
      <c r="C129" s="12" t="inlineStr">
        <is>
          <t>Prod</t>
        </is>
      </c>
      <c r="D129" s="12" t="inlineStr">
        <is>
          <t>Standard_D8ads_v5</t>
        </is>
      </c>
      <c r="E129" s="12">
        <f>VLOOKUP(D129,SKU_Family_Map!$A:$B,2,FALSE)</f>
        <v/>
      </c>
      <c r="F129" s="12" t="inlineStr">
        <is>
          <t>crg-pr-sec-reg</t>
        </is>
      </c>
      <c r="G129" s="16" t="n">
        <v>8</v>
      </c>
      <c r="H129" s="16" t="n">
        <v>0</v>
      </c>
      <c r="I129" s="16" t="n">
        <v>8</v>
      </c>
      <c r="J129" s="16">
        <f>H129+I129</f>
        <v/>
      </c>
      <c r="K129" s="16">
        <f>J129-H129</f>
        <v/>
      </c>
      <c r="L129" s="16">
        <f>SUMIFS(Quota_Groups!$G:$G,Quota_Groups!$B:$B,A129,Quota_Groups!$D:$D,E129)</f>
        <v/>
      </c>
      <c r="M129" s="18">
        <f>MIN(K129,L129)</f>
        <v/>
      </c>
      <c r="N129" s="12">
        <f>IF(K129&lt;=L129,"CAPACITY","QUOTA")</f>
        <v/>
      </c>
      <c r="O129" s="12">
        <f>IF(K129&lt;=0,"RESERVATION_DEFICIT",IF(L129&lt;=0,"QUOTA_DEFICIT",IF(M129&lt;I129*0.5,"READY_WITH_RISK","READY")))</f>
        <v/>
      </c>
      <c r="P129" s="12" t="inlineStr"/>
    </row>
    <row r="130">
      <c r="A130" s="12" t="inlineStr">
        <is>
          <t>Sweden Central</t>
        </is>
      </c>
      <c r="B130" s="12" t="inlineStr">
        <is>
          <t>EU</t>
        </is>
      </c>
      <c r="C130" s="12" t="inlineStr">
        <is>
          <t>Prod</t>
        </is>
      </c>
      <c r="D130" s="12" t="inlineStr">
        <is>
          <t>Standard_D16ads_v5</t>
        </is>
      </c>
      <c r="E130" s="12">
        <f>VLOOKUP(D130,SKU_Family_Map!$A:$B,2,FALSE)</f>
        <v/>
      </c>
      <c r="F130" s="12" t="inlineStr">
        <is>
          <t>crg-pr-sec-reg</t>
        </is>
      </c>
      <c r="G130" s="16" t="n">
        <v>16</v>
      </c>
      <c r="H130" s="16" t="n">
        <v>0</v>
      </c>
      <c r="I130" s="16" t="n">
        <v>8</v>
      </c>
      <c r="J130" s="16">
        <f>H130+I130</f>
        <v/>
      </c>
      <c r="K130" s="16">
        <f>J130-H130</f>
        <v/>
      </c>
      <c r="L130" s="16">
        <f>SUMIFS(Quota_Groups!$G:$G,Quota_Groups!$B:$B,A130,Quota_Groups!$D:$D,E130)</f>
        <v/>
      </c>
      <c r="M130" s="18">
        <f>MIN(K130,L130)</f>
        <v/>
      </c>
      <c r="N130" s="12">
        <f>IF(K130&lt;=L130,"CAPACITY","QUOTA")</f>
        <v/>
      </c>
      <c r="O130" s="12">
        <f>IF(K130&lt;=0,"RESERVATION_DEFICIT",IF(L130&lt;=0,"QUOTA_DEFICIT",IF(M130&lt;I130*0.5,"READY_WITH_RISK","READY")))</f>
        <v/>
      </c>
      <c r="P130" s="12" t="inlineStr"/>
    </row>
    <row r="131">
      <c r="A131" s="12" t="inlineStr">
        <is>
          <t>Sweden Central</t>
        </is>
      </c>
      <c r="B131" s="12" t="inlineStr">
        <is>
          <t>EU</t>
        </is>
      </c>
      <c r="C131" s="12" t="inlineStr">
        <is>
          <t>Prod</t>
        </is>
      </c>
      <c r="D131" s="12" t="inlineStr">
        <is>
          <t>Standard_D8as_v5</t>
        </is>
      </c>
      <c r="E131" s="12">
        <f>VLOOKUP(D131,SKU_Family_Map!$A:$B,2,FALSE)</f>
        <v/>
      </c>
      <c r="F131" s="12" t="inlineStr">
        <is>
          <t>crg-pr-sec-reg</t>
        </is>
      </c>
      <c r="G131" s="16" t="n">
        <v>8</v>
      </c>
      <c r="H131" s="16" t="n">
        <v>0</v>
      </c>
      <c r="I131" s="16" t="n">
        <v>8</v>
      </c>
      <c r="J131" s="16">
        <f>H131+I131</f>
        <v/>
      </c>
      <c r="K131" s="16">
        <f>J131-H131</f>
        <v/>
      </c>
      <c r="L131" s="16">
        <f>SUMIFS(Quota_Groups!$G:$G,Quota_Groups!$B:$B,A131,Quota_Groups!$D:$D,E131)</f>
        <v/>
      </c>
      <c r="M131" s="18">
        <f>MIN(K131,L131)</f>
        <v/>
      </c>
      <c r="N131" s="12">
        <f>IF(K131&lt;=L131,"CAPACITY","QUOTA")</f>
        <v/>
      </c>
      <c r="O131" s="12">
        <f>IF(K131&lt;=0,"RESERVATION_DEFICIT",IF(L131&lt;=0,"QUOTA_DEFICIT",IF(M131&lt;I131*0.5,"READY_WITH_RISK","READY")))</f>
        <v/>
      </c>
      <c r="P131" s="12" t="inlineStr"/>
    </row>
    <row r="132">
      <c r="A132" s="12" t="inlineStr">
        <is>
          <t>Sweden Central</t>
        </is>
      </c>
      <c r="B132" s="12" t="inlineStr">
        <is>
          <t>EU</t>
        </is>
      </c>
      <c r="C132" s="12" t="inlineStr">
        <is>
          <t>Prod</t>
        </is>
      </c>
      <c r="D132" s="12" t="inlineStr">
        <is>
          <t>Standard_D16as_v5</t>
        </is>
      </c>
      <c r="E132" s="12">
        <f>VLOOKUP(D132,SKU_Family_Map!$A:$B,2,FALSE)</f>
        <v/>
      </c>
      <c r="F132" s="12" t="inlineStr">
        <is>
          <t>crg-pr-sec-reg</t>
        </is>
      </c>
      <c r="G132" s="16" t="n">
        <v>16</v>
      </c>
      <c r="H132" s="16" t="n">
        <v>0</v>
      </c>
      <c r="I132" s="16" t="n">
        <v>8</v>
      </c>
      <c r="J132" s="16">
        <f>H132+I132</f>
        <v/>
      </c>
      <c r="K132" s="16">
        <f>J132-H132</f>
        <v/>
      </c>
      <c r="L132" s="16">
        <f>SUMIFS(Quota_Groups!$G:$G,Quota_Groups!$B:$B,A132,Quota_Groups!$D:$D,E132)</f>
        <v/>
      </c>
      <c r="M132" s="18">
        <f>MIN(K132,L132)</f>
        <v/>
      </c>
      <c r="N132" s="12">
        <f>IF(K132&lt;=L132,"CAPACITY","QUOTA")</f>
        <v/>
      </c>
      <c r="O132" s="12">
        <f>IF(K132&lt;=0,"RESERVATION_DEFICIT",IF(L132&lt;=0,"QUOTA_DEFICIT",IF(M132&lt;I132*0.5,"READY_WITH_RISK","READY")))</f>
        <v/>
      </c>
      <c r="P132" s="12" t="inlineStr"/>
    </row>
    <row r="133">
      <c r="A133" s="12" t="inlineStr">
        <is>
          <t>Sweden Central</t>
        </is>
      </c>
      <c r="B133" s="12" t="inlineStr">
        <is>
          <t>EU</t>
        </is>
      </c>
      <c r="C133" s="12" t="inlineStr">
        <is>
          <t>NonProd</t>
        </is>
      </c>
      <c r="D133" s="12" t="inlineStr">
        <is>
          <t>Standard_E32ads_v5</t>
        </is>
      </c>
      <c r="E133" s="12">
        <f>VLOOKUP(D133,SKU_Family_Map!$A:$B,2,FALSE)</f>
        <v/>
      </c>
      <c r="F133" s="12" t="inlineStr">
        <is>
          <t>crg-np-sec-reg</t>
        </is>
      </c>
      <c r="G133" s="16" t="n">
        <v>32</v>
      </c>
      <c r="H133" s="16" t="n">
        <v>64</v>
      </c>
      <c r="I133" s="16" t="n">
        <v>8</v>
      </c>
      <c r="J133" s="16">
        <f>H133+I133</f>
        <v/>
      </c>
      <c r="K133" s="16">
        <f>J133-H133</f>
        <v/>
      </c>
      <c r="L133" s="16">
        <f>SUMIFS(Quota_Groups!$G:$G,Quota_Groups!$B:$B,A133,Quota_Groups!$D:$D,E133)</f>
        <v/>
      </c>
      <c r="M133" s="18">
        <f>MIN(K133,L133)</f>
        <v/>
      </c>
      <c r="N133" s="12">
        <f>IF(K133&lt;=L133,"CAPACITY","QUOTA")</f>
        <v/>
      </c>
      <c r="O133" s="12">
        <f>IF(K133&lt;=0,"RESERVATION_DEFICIT",IF(L133&lt;=0,"QUOTA_DEFICIT",IF(M133&lt;I133*0.5,"READY_WITH_RISK","READY")))</f>
        <v/>
      </c>
      <c r="P133" s="12" t="inlineStr"/>
    </row>
    <row r="134">
      <c r="A134" s="12" t="inlineStr">
        <is>
          <t>Sweden Central</t>
        </is>
      </c>
      <c r="B134" s="12" t="inlineStr">
        <is>
          <t>EU</t>
        </is>
      </c>
      <c r="C134" s="12" t="inlineStr">
        <is>
          <t>NonProd</t>
        </is>
      </c>
      <c r="D134" s="12" t="inlineStr">
        <is>
          <t>Standard_E64ads_v5</t>
        </is>
      </c>
      <c r="E134" s="12">
        <f>VLOOKUP(D134,SKU_Family_Map!$A:$B,2,FALSE)</f>
        <v/>
      </c>
      <c r="F134" s="12" t="inlineStr">
        <is>
          <t>crg-np-sec-reg</t>
        </is>
      </c>
      <c r="G134" s="16" t="n">
        <v>64</v>
      </c>
      <c r="H134" s="16" t="n">
        <v>0</v>
      </c>
      <c r="I134" s="16" t="n">
        <v>8</v>
      </c>
      <c r="J134" s="16">
        <f>H134+I134</f>
        <v/>
      </c>
      <c r="K134" s="16">
        <f>J134-H134</f>
        <v/>
      </c>
      <c r="L134" s="16">
        <f>SUMIFS(Quota_Groups!$G:$G,Quota_Groups!$B:$B,A134,Quota_Groups!$D:$D,E134)</f>
        <v/>
      </c>
      <c r="M134" s="18">
        <f>MIN(K134,L134)</f>
        <v/>
      </c>
      <c r="N134" s="12">
        <f>IF(K134&lt;=L134,"CAPACITY","QUOTA")</f>
        <v/>
      </c>
      <c r="O134" s="12">
        <f>IF(K134&lt;=0,"RESERVATION_DEFICIT",IF(L134&lt;=0,"QUOTA_DEFICIT",IF(M134&lt;I134*0.5,"READY_WITH_RISK","READY")))</f>
        <v/>
      </c>
      <c r="P134" s="12" t="inlineStr"/>
    </row>
    <row r="135">
      <c r="A135" s="12" t="inlineStr">
        <is>
          <t>Sweden Central</t>
        </is>
      </c>
      <c r="B135" s="12" t="inlineStr">
        <is>
          <t>EU</t>
        </is>
      </c>
      <c r="C135" s="12" t="inlineStr">
        <is>
          <t>NonProd</t>
        </is>
      </c>
      <c r="D135" s="12" t="inlineStr">
        <is>
          <t>Standard_E16ads_v5</t>
        </is>
      </c>
      <c r="E135" s="12">
        <f>VLOOKUP(D135,SKU_Family_Map!$A:$B,2,FALSE)</f>
        <v/>
      </c>
      <c r="F135" s="12" t="inlineStr">
        <is>
          <t>crg-np-sec-reg</t>
        </is>
      </c>
      <c r="G135" s="16" t="n">
        <v>16</v>
      </c>
      <c r="H135" s="16" t="n">
        <v>96</v>
      </c>
      <c r="I135" s="16" t="n">
        <v>12</v>
      </c>
      <c r="J135" s="16">
        <f>H135+I135</f>
        <v/>
      </c>
      <c r="K135" s="16">
        <f>J135-H135</f>
        <v/>
      </c>
      <c r="L135" s="16">
        <f>SUMIFS(Quota_Groups!$G:$G,Quota_Groups!$B:$B,A135,Quota_Groups!$D:$D,E135)</f>
        <v/>
      </c>
      <c r="M135" s="18">
        <f>MIN(K135,L135)</f>
        <v/>
      </c>
      <c r="N135" s="12">
        <f>IF(K135&lt;=L135,"CAPACITY","QUOTA")</f>
        <v/>
      </c>
      <c r="O135" s="12">
        <f>IF(K135&lt;=0,"RESERVATION_DEFICIT",IF(L135&lt;=0,"QUOTA_DEFICIT",IF(M135&lt;I135*0.5,"READY_WITH_RISK","READY")))</f>
        <v/>
      </c>
      <c r="P135" s="12" t="inlineStr"/>
    </row>
    <row r="136">
      <c r="A136" s="12" t="inlineStr">
        <is>
          <t>Sweden Central</t>
        </is>
      </c>
      <c r="B136" s="12" t="inlineStr">
        <is>
          <t>EU</t>
        </is>
      </c>
      <c r="C136" s="12" t="inlineStr">
        <is>
          <t>NonProd</t>
        </is>
      </c>
      <c r="D136" s="12" t="inlineStr">
        <is>
          <t>Standard_E32ads_v6</t>
        </is>
      </c>
      <c r="E136" s="12">
        <f>VLOOKUP(D136,SKU_Family_Map!$A:$B,2,FALSE)</f>
        <v/>
      </c>
      <c r="F136" s="12" t="inlineStr">
        <is>
          <t>crg-np-sec-reg</t>
        </is>
      </c>
      <c r="G136" s="16" t="n">
        <v>32</v>
      </c>
      <c r="H136" s="16" t="n">
        <v>768</v>
      </c>
      <c r="I136" s="16" t="n">
        <v>92</v>
      </c>
      <c r="J136" s="16">
        <f>H136+I136</f>
        <v/>
      </c>
      <c r="K136" s="16">
        <f>J136-H136</f>
        <v/>
      </c>
      <c r="L136" s="16">
        <f>SUMIFS(Quota_Groups!$G:$G,Quota_Groups!$B:$B,A136,Quota_Groups!$D:$D,E136)</f>
        <v/>
      </c>
      <c r="M136" s="18">
        <f>MIN(K136,L136)</f>
        <v/>
      </c>
      <c r="N136" s="12">
        <f>IF(K136&lt;=L136,"CAPACITY","QUOTA")</f>
        <v/>
      </c>
      <c r="O136" s="12">
        <f>IF(K136&lt;=0,"RESERVATION_DEFICIT",IF(L136&lt;=0,"QUOTA_DEFICIT",IF(M136&lt;I136*0.5,"READY_WITH_RISK","READY")))</f>
        <v/>
      </c>
      <c r="P136" s="12" t="inlineStr"/>
    </row>
    <row r="137">
      <c r="A137" s="12" t="inlineStr">
        <is>
          <t>Sweden Central</t>
        </is>
      </c>
      <c r="B137" s="12" t="inlineStr">
        <is>
          <t>EU</t>
        </is>
      </c>
      <c r="C137" s="12" t="inlineStr">
        <is>
          <t>NonProd</t>
        </is>
      </c>
      <c r="D137" s="12" t="inlineStr">
        <is>
          <t>Standard_D8ads_v5</t>
        </is>
      </c>
      <c r="E137" s="12">
        <f>VLOOKUP(D137,SKU_Family_Map!$A:$B,2,FALSE)</f>
        <v/>
      </c>
      <c r="F137" s="12" t="inlineStr">
        <is>
          <t>crg-np-sec-reg</t>
        </is>
      </c>
      <c r="G137" s="16" t="n">
        <v>8</v>
      </c>
      <c r="H137" s="16" t="n">
        <v>0</v>
      </c>
      <c r="I137" s="16" t="n">
        <v>8</v>
      </c>
      <c r="J137" s="16">
        <f>H137+I137</f>
        <v/>
      </c>
      <c r="K137" s="16">
        <f>J137-H137</f>
        <v/>
      </c>
      <c r="L137" s="16">
        <f>SUMIFS(Quota_Groups!$G:$G,Quota_Groups!$B:$B,A137,Quota_Groups!$D:$D,E137)</f>
        <v/>
      </c>
      <c r="M137" s="18">
        <f>MIN(K137,L137)</f>
        <v/>
      </c>
      <c r="N137" s="12">
        <f>IF(K137&lt;=L137,"CAPACITY","QUOTA")</f>
        <v/>
      </c>
      <c r="O137" s="12">
        <f>IF(K137&lt;=0,"RESERVATION_DEFICIT",IF(L137&lt;=0,"QUOTA_DEFICIT",IF(M137&lt;I137*0.5,"READY_WITH_RISK","READY")))</f>
        <v/>
      </c>
      <c r="P137" s="12" t="inlineStr"/>
    </row>
    <row r="138">
      <c r="A138" s="12" t="inlineStr">
        <is>
          <t>Sweden Central</t>
        </is>
      </c>
      <c r="B138" s="12" t="inlineStr">
        <is>
          <t>EU</t>
        </is>
      </c>
      <c r="C138" s="12" t="inlineStr">
        <is>
          <t>NonProd</t>
        </is>
      </c>
      <c r="D138" s="12" t="inlineStr">
        <is>
          <t>Standard_D16ads_v5</t>
        </is>
      </c>
      <c r="E138" s="12">
        <f>VLOOKUP(D138,SKU_Family_Map!$A:$B,2,FALSE)</f>
        <v/>
      </c>
      <c r="F138" s="12" t="inlineStr">
        <is>
          <t>crg-np-sec-reg</t>
        </is>
      </c>
      <c r="G138" s="16" t="n">
        <v>16</v>
      </c>
      <c r="H138" s="16" t="n">
        <v>0</v>
      </c>
      <c r="I138" s="16" t="n">
        <v>8</v>
      </c>
      <c r="J138" s="16">
        <f>H138+I138</f>
        <v/>
      </c>
      <c r="K138" s="16">
        <f>J138-H138</f>
        <v/>
      </c>
      <c r="L138" s="16">
        <f>SUMIFS(Quota_Groups!$G:$G,Quota_Groups!$B:$B,A138,Quota_Groups!$D:$D,E138)</f>
        <v/>
      </c>
      <c r="M138" s="18">
        <f>MIN(K138,L138)</f>
        <v/>
      </c>
      <c r="N138" s="12">
        <f>IF(K138&lt;=L138,"CAPACITY","QUOTA")</f>
        <v/>
      </c>
      <c r="O138" s="12">
        <f>IF(K138&lt;=0,"RESERVATION_DEFICIT",IF(L138&lt;=0,"QUOTA_DEFICIT",IF(M138&lt;I138*0.5,"READY_WITH_RISK","READY")))</f>
        <v/>
      </c>
      <c r="P138" s="12" t="inlineStr"/>
    </row>
    <row r="139">
      <c r="A139" s="12" t="inlineStr">
        <is>
          <t>Sweden Central</t>
        </is>
      </c>
      <c r="B139" s="12" t="inlineStr">
        <is>
          <t>EU</t>
        </is>
      </c>
      <c r="C139" s="12" t="inlineStr">
        <is>
          <t>NonProd</t>
        </is>
      </c>
      <c r="D139" s="12" t="inlineStr">
        <is>
          <t>Standard_D8as_v5</t>
        </is>
      </c>
      <c r="E139" s="12">
        <f>VLOOKUP(D139,SKU_Family_Map!$A:$B,2,FALSE)</f>
        <v/>
      </c>
      <c r="F139" s="12" t="inlineStr">
        <is>
          <t>crg-np-sec-reg</t>
        </is>
      </c>
      <c r="G139" s="16" t="n">
        <v>8</v>
      </c>
      <c r="H139" s="16" t="n">
        <v>0</v>
      </c>
      <c r="I139" s="16" t="n">
        <v>8</v>
      </c>
      <c r="J139" s="16">
        <f>H139+I139</f>
        <v/>
      </c>
      <c r="K139" s="16">
        <f>J139-H139</f>
        <v/>
      </c>
      <c r="L139" s="16">
        <f>SUMIFS(Quota_Groups!$G:$G,Quota_Groups!$B:$B,A139,Quota_Groups!$D:$D,E139)</f>
        <v/>
      </c>
      <c r="M139" s="18">
        <f>MIN(K139,L139)</f>
        <v/>
      </c>
      <c r="N139" s="12">
        <f>IF(K139&lt;=L139,"CAPACITY","QUOTA")</f>
        <v/>
      </c>
      <c r="O139" s="12">
        <f>IF(K139&lt;=0,"RESERVATION_DEFICIT",IF(L139&lt;=0,"QUOTA_DEFICIT",IF(M139&lt;I139*0.5,"READY_WITH_RISK","READY")))</f>
        <v/>
      </c>
      <c r="P139" s="12" t="inlineStr"/>
    </row>
    <row r="140">
      <c r="A140" s="12" t="inlineStr">
        <is>
          <t>Sweden Central</t>
        </is>
      </c>
      <c r="B140" s="12" t="inlineStr">
        <is>
          <t>EU</t>
        </is>
      </c>
      <c r="C140" s="12" t="inlineStr">
        <is>
          <t>NonProd</t>
        </is>
      </c>
      <c r="D140" s="12" t="inlineStr">
        <is>
          <t>Standard_D16as_v5</t>
        </is>
      </c>
      <c r="E140" s="12">
        <f>VLOOKUP(D140,SKU_Family_Map!$A:$B,2,FALSE)</f>
        <v/>
      </c>
      <c r="F140" s="12" t="inlineStr">
        <is>
          <t>crg-np-sec-reg</t>
        </is>
      </c>
      <c r="G140" s="16" t="n">
        <v>16</v>
      </c>
      <c r="H140" s="16" t="n">
        <v>0</v>
      </c>
      <c r="I140" s="16" t="n">
        <v>8</v>
      </c>
      <c r="J140" s="16">
        <f>H140+I140</f>
        <v/>
      </c>
      <c r="K140" s="16">
        <f>J140-H140</f>
        <v/>
      </c>
      <c r="L140" s="16">
        <f>SUMIFS(Quota_Groups!$G:$G,Quota_Groups!$B:$B,A140,Quota_Groups!$D:$D,E140)</f>
        <v/>
      </c>
      <c r="M140" s="18">
        <f>MIN(K140,L140)</f>
        <v/>
      </c>
      <c r="N140" s="12">
        <f>IF(K140&lt;=L140,"CAPACITY","QUOTA")</f>
        <v/>
      </c>
      <c r="O140" s="12">
        <f>IF(K140&lt;=0,"RESERVATION_DEFICIT",IF(L140&lt;=0,"QUOTA_DEFICIT",IF(M140&lt;I140*0.5,"READY_WITH_RISK","READY")))</f>
        <v/>
      </c>
      <c r="P140" s="12" t="inlineStr"/>
    </row>
    <row r="141">
      <c r="A141" s="12" t="inlineStr">
        <is>
          <t>Sweden Central</t>
        </is>
      </c>
      <c r="B141" s="12" t="inlineStr">
        <is>
          <t>EU</t>
        </is>
      </c>
      <c r="C141" s="12" t="inlineStr">
        <is>
          <t>DR</t>
        </is>
      </c>
      <c r="D141" s="12" t="inlineStr">
        <is>
          <t>Standard_E32ads_v5</t>
        </is>
      </c>
      <c r="E141" s="12">
        <f>VLOOKUP(D141,SKU_Family_Map!$A:$B,2,FALSE)</f>
        <v/>
      </c>
      <c r="F141" s="12" t="inlineStr">
        <is>
          <t>crg-dr-sec-reg</t>
        </is>
      </c>
      <c r="G141" s="16" t="n">
        <v>32</v>
      </c>
      <c r="H141" s="16" t="n">
        <v>19</v>
      </c>
      <c r="I141" s="16" t="n">
        <v>8</v>
      </c>
      <c r="J141" s="16">
        <f>H141+I141</f>
        <v/>
      </c>
      <c r="K141" s="16">
        <f>J141-H141</f>
        <v/>
      </c>
      <c r="L141" s="16">
        <f>SUMIFS(Quota_Groups!$G:$G,Quota_Groups!$B:$B,A141,Quota_Groups!$D:$D,E141)</f>
        <v/>
      </c>
      <c r="M141" s="18">
        <f>MIN(K141,L141)</f>
        <v/>
      </c>
      <c r="N141" s="12">
        <f>IF(K141&lt;=L141,"CAPACITY","QUOTA")</f>
        <v/>
      </c>
      <c r="O141" s="12">
        <f>IF(K141&lt;=0,"RESERVATION_DEFICIT",IF(L141&lt;=0,"QUOTA_DEFICIT",IF(M141&lt;I141*0.5,"READY_WITH_RISK","READY")))</f>
        <v/>
      </c>
      <c r="P141" s="12" t="inlineStr"/>
    </row>
    <row r="142">
      <c r="A142" s="12" t="inlineStr">
        <is>
          <t>Sweden Central</t>
        </is>
      </c>
      <c r="B142" s="12" t="inlineStr">
        <is>
          <t>EU</t>
        </is>
      </c>
      <c r="C142" s="12" t="inlineStr">
        <is>
          <t>DR</t>
        </is>
      </c>
      <c r="D142" s="12" t="inlineStr">
        <is>
          <t>Standard_E64ads_v5</t>
        </is>
      </c>
      <c r="E142" s="12">
        <f>VLOOKUP(D142,SKU_Family_Map!$A:$B,2,FALSE)</f>
        <v/>
      </c>
      <c r="F142" s="12" t="inlineStr">
        <is>
          <t>crg-dr-sec-reg</t>
        </is>
      </c>
      <c r="G142" s="16" t="n">
        <v>64</v>
      </c>
      <c r="H142" s="16" t="n">
        <v>0</v>
      </c>
      <c r="I142" s="16" t="n">
        <v>8</v>
      </c>
      <c r="J142" s="16">
        <f>H142+I142</f>
        <v/>
      </c>
      <c r="K142" s="16">
        <f>J142-H142</f>
        <v/>
      </c>
      <c r="L142" s="16">
        <f>SUMIFS(Quota_Groups!$G:$G,Quota_Groups!$B:$B,A142,Quota_Groups!$D:$D,E142)</f>
        <v/>
      </c>
      <c r="M142" s="18">
        <f>MIN(K142,L142)</f>
        <v/>
      </c>
      <c r="N142" s="12">
        <f>IF(K142&lt;=L142,"CAPACITY","QUOTA")</f>
        <v/>
      </c>
      <c r="O142" s="12">
        <f>IF(K142&lt;=0,"RESERVATION_DEFICIT",IF(L142&lt;=0,"QUOTA_DEFICIT",IF(M142&lt;I142*0.5,"READY_WITH_RISK","READY")))</f>
        <v/>
      </c>
      <c r="P142" s="12" t="inlineStr"/>
    </row>
    <row r="143">
      <c r="A143" s="12" t="inlineStr">
        <is>
          <t>Sweden Central</t>
        </is>
      </c>
      <c r="B143" s="12" t="inlineStr">
        <is>
          <t>EU</t>
        </is>
      </c>
      <c r="C143" s="12" t="inlineStr">
        <is>
          <t>DR</t>
        </is>
      </c>
      <c r="D143" s="12" t="inlineStr">
        <is>
          <t>Standard_E16ads_v5</t>
        </is>
      </c>
      <c r="E143" s="12">
        <f>VLOOKUP(D143,SKU_Family_Map!$A:$B,2,FALSE)</f>
        <v/>
      </c>
      <c r="F143" s="12" t="inlineStr">
        <is>
          <t>crg-dr-sec-reg</t>
        </is>
      </c>
      <c r="G143" s="16" t="n">
        <v>16</v>
      </c>
      <c r="H143" s="16" t="n">
        <v>29</v>
      </c>
      <c r="I143" s="16" t="n">
        <v>8</v>
      </c>
      <c r="J143" s="16">
        <f>H143+I143</f>
        <v/>
      </c>
      <c r="K143" s="16">
        <f>J143-H143</f>
        <v/>
      </c>
      <c r="L143" s="16">
        <f>SUMIFS(Quota_Groups!$G:$G,Quota_Groups!$B:$B,A143,Quota_Groups!$D:$D,E143)</f>
        <v/>
      </c>
      <c r="M143" s="18">
        <f>MIN(K143,L143)</f>
        <v/>
      </c>
      <c r="N143" s="12">
        <f>IF(K143&lt;=L143,"CAPACITY","QUOTA")</f>
        <v/>
      </c>
      <c r="O143" s="12">
        <f>IF(K143&lt;=0,"RESERVATION_DEFICIT",IF(L143&lt;=0,"QUOTA_DEFICIT",IF(M143&lt;I143*0.5,"READY_WITH_RISK","READY")))</f>
        <v/>
      </c>
      <c r="P143" s="12" t="inlineStr"/>
    </row>
    <row r="144">
      <c r="A144" s="12" t="inlineStr">
        <is>
          <t>Sweden Central</t>
        </is>
      </c>
      <c r="B144" s="12" t="inlineStr">
        <is>
          <t>EU</t>
        </is>
      </c>
      <c r="C144" s="12" t="inlineStr">
        <is>
          <t>DR</t>
        </is>
      </c>
      <c r="D144" s="12" t="inlineStr">
        <is>
          <t>Standard_E32ads_v6</t>
        </is>
      </c>
      <c r="E144" s="12">
        <f>VLOOKUP(D144,SKU_Family_Map!$A:$B,2,FALSE)</f>
        <v/>
      </c>
      <c r="F144" s="12" t="inlineStr">
        <is>
          <t>crg-dr-sec-reg</t>
        </is>
      </c>
      <c r="G144" s="16" t="n">
        <v>32</v>
      </c>
      <c r="H144" s="16" t="n">
        <v>230</v>
      </c>
      <c r="I144" s="16" t="n">
        <v>28</v>
      </c>
      <c r="J144" s="16">
        <f>H144+I144</f>
        <v/>
      </c>
      <c r="K144" s="16">
        <f>J144-H144</f>
        <v/>
      </c>
      <c r="L144" s="16">
        <f>SUMIFS(Quota_Groups!$G:$G,Quota_Groups!$B:$B,A144,Quota_Groups!$D:$D,E144)</f>
        <v/>
      </c>
      <c r="M144" s="18">
        <f>MIN(K144,L144)</f>
        <v/>
      </c>
      <c r="N144" s="12">
        <f>IF(K144&lt;=L144,"CAPACITY","QUOTA")</f>
        <v/>
      </c>
      <c r="O144" s="12">
        <f>IF(K144&lt;=0,"RESERVATION_DEFICIT",IF(L144&lt;=0,"QUOTA_DEFICIT",IF(M144&lt;I144*0.5,"READY_WITH_RISK","READY")))</f>
        <v/>
      </c>
      <c r="P144" s="12" t="inlineStr"/>
    </row>
    <row r="145">
      <c r="A145" s="12" t="inlineStr">
        <is>
          <t>Sweden Central</t>
        </is>
      </c>
      <c r="B145" s="12" t="inlineStr">
        <is>
          <t>EU</t>
        </is>
      </c>
      <c r="C145" s="12" t="inlineStr">
        <is>
          <t>DR</t>
        </is>
      </c>
      <c r="D145" s="12" t="inlineStr">
        <is>
          <t>Standard_D8ads_v5</t>
        </is>
      </c>
      <c r="E145" s="12">
        <f>VLOOKUP(D145,SKU_Family_Map!$A:$B,2,FALSE)</f>
        <v/>
      </c>
      <c r="F145" s="12" t="inlineStr">
        <is>
          <t>crg-dr-sec-reg</t>
        </is>
      </c>
      <c r="G145" s="16" t="n">
        <v>8</v>
      </c>
      <c r="H145" s="16" t="n">
        <v>0</v>
      </c>
      <c r="I145" s="16" t="n">
        <v>8</v>
      </c>
      <c r="J145" s="16">
        <f>H145+I145</f>
        <v/>
      </c>
      <c r="K145" s="16">
        <f>J145-H145</f>
        <v/>
      </c>
      <c r="L145" s="16">
        <f>SUMIFS(Quota_Groups!$G:$G,Quota_Groups!$B:$B,A145,Quota_Groups!$D:$D,E145)</f>
        <v/>
      </c>
      <c r="M145" s="18">
        <f>MIN(K145,L145)</f>
        <v/>
      </c>
      <c r="N145" s="12">
        <f>IF(K145&lt;=L145,"CAPACITY","QUOTA")</f>
        <v/>
      </c>
      <c r="O145" s="12">
        <f>IF(K145&lt;=0,"RESERVATION_DEFICIT",IF(L145&lt;=0,"QUOTA_DEFICIT",IF(M145&lt;I145*0.5,"READY_WITH_RISK","READY")))</f>
        <v/>
      </c>
      <c r="P145" s="12" t="inlineStr"/>
    </row>
    <row r="146">
      <c r="A146" s="12" t="inlineStr">
        <is>
          <t>Sweden Central</t>
        </is>
      </c>
      <c r="B146" s="12" t="inlineStr">
        <is>
          <t>EU</t>
        </is>
      </c>
      <c r="C146" s="12" t="inlineStr">
        <is>
          <t>DR</t>
        </is>
      </c>
      <c r="D146" s="12" t="inlineStr">
        <is>
          <t>Standard_D16ads_v5</t>
        </is>
      </c>
      <c r="E146" s="12">
        <f>VLOOKUP(D146,SKU_Family_Map!$A:$B,2,FALSE)</f>
        <v/>
      </c>
      <c r="F146" s="12" t="inlineStr">
        <is>
          <t>crg-dr-sec-reg</t>
        </is>
      </c>
      <c r="G146" s="16" t="n">
        <v>16</v>
      </c>
      <c r="H146" s="16" t="n">
        <v>0</v>
      </c>
      <c r="I146" s="16" t="n">
        <v>8</v>
      </c>
      <c r="J146" s="16">
        <f>H146+I146</f>
        <v/>
      </c>
      <c r="K146" s="16">
        <f>J146-H146</f>
        <v/>
      </c>
      <c r="L146" s="16">
        <f>SUMIFS(Quota_Groups!$G:$G,Quota_Groups!$B:$B,A146,Quota_Groups!$D:$D,E146)</f>
        <v/>
      </c>
      <c r="M146" s="18">
        <f>MIN(K146,L146)</f>
        <v/>
      </c>
      <c r="N146" s="12">
        <f>IF(K146&lt;=L146,"CAPACITY","QUOTA")</f>
        <v/>
      </c>
      <c r="O146" s="12">
        <f>IF(K146&lt;=0,"RESERVATION_DEFICIT",IF(L146&lt;=0,"QUOTA_DEFICIT",IF(M146&lt;I146*0.5,"READY_WITH_RISK","READY")))</f>
        <v/>
      </c>
      <c r="P146" s="12" t="inlineStr"/>
    </row>
    <row r="147">
      <c r="A147" s="12" t="inlineStr">
        <is>
          <t>Sweden Central</t>
        </is>
      </c>
      <c r="B147" s="12" t="inlineStr">
        <is>
          <t>EU</t>
        </is>
      </c>
      <c r="C147" s="12" t="inlineStr">
        <is>
          <t>DR</t>
        </is>
      </c>
      <c r="D147" s="12" t="inlineStr">
        <is>
          <t>Standard_D8as_v5</t>
        </is>
      </c>
      <c r="E147" s="12">
        <f>VLOOKUP(D147,SKU_Family_Map!$A:$B,2,FALSE)</f>
        <v/>
      </c>
      <c r="F147" s="12" t="inlineStr">
        <is>
          <t>crg-dr-sec-reg</t>
        </is>
      </c>
      <c r="G147" s="16" t="n">
        <v>8</v>
      </c>
      <c r="H147" s="16" t="n">
        <v>0</v>
      </c>
      <c r="I147" s="16" t="n">
        <v>8</v>
      </c>
      <c r="J147" s="16">
        <f>H147+I147</f>
        <v/>
      </c>
      <c r="K147" s="16">
        <f>J147-H147</f>
        <v/>
      </c>
      <c r="L147" s="16">
        <f>SUMIFS(Quota_Groups!$G:$G,Quota_Groups!$B:$B,A147,Quota_Groups!$D:$D,E147)</f>
        <v/>
      </c>
      <c r="M147" s="18">
        <f>MIN(K147,L147)</f>
        <v/>
      </c>
      <c r="N147" s="12">
        <f>IF(K147&lt;=L147,"CAPACITY","QUOTA")</f>
        <v/>
      </c>
      <c r="O147" s="12">
        <f>IF(K147&lt;=0,"RESERVATION_DEFICIT",IF(L147&lt;=0,"QUOTA_DEFICIT",IF(M147&lt;I147*0.5,"READY_WITH_RISK","READY")))</f>
        <v/>
      </c>
      <c r="P147" s="12" t="inlineStr"/>
    </row>
    <row r="148">
      <c r="A148" s="12" t="inlineStr">
        <is>
          <t>Sweden Central</t>
        </is>
      </c>
      <c r="B148" s="12" t="inlineStr">
        <is>
          <t>EU</t>
        </is>
      </c>
      <c r="C148" s="12" t="inlineStr">
        <is>
          <t>DR</t>
        </is>
      </c>
      <c r="D148" s="12" t="inlineStr">
        <is>
          <t>Standard_D16as_v5</t>
        </is>
      </c>
      <c r="E148" s="12">
        <f>VLOOKUP(D148,SKU_Family_Map!$A:$B,2,FALSE)</f>
        <v/>
      </c>
      <c r="F148" s="12" t="inlineStr">
        <is>
          <t>crg-dr-sec-reg</t>
        </is>
      </c>
      <c r="G148" s="16" t="n">
        <v>16</v>
      </c>
      <c r="H148" s="16" t="n">
        <v>0</v>
      </c>
      <c r="I148" s="16" t="n">
        <v>8</v>
      </c>
      <c r="J148" s="16">
        <f>H148+I148</f>
        <v/>
      </c>
      <c r="K148" s="16">
        <f>J148-H148</f>
        <v/>
      </c>
      <c r="L148" s="16">
        <f>SUMIFS(Quota_Groups!$G:$G,Quota_Groups!$B:$B,A148,Quota_Groups!$D:$D,E148)</f>
        <v/>
      </c>
      <c r="M148" s="18">
        <f>MIN(K148,L148)</f>
        <v/>
      </c>
      <c r="N148" s="12">
        <f>IF(K148&lt;=L148,"CAPACITY","QUOTA")</f>
        <v/>
      </c>
      <c r="O148" s="12">
        <f>IF(K148&lt;=0,"RESERVATION_DEFICIT",IF(L148&lt;=0,"QUOTA_DEFICIT",IF(M148&lt;I148*0.5,"READY_WITH_RISK","READY")))</f>
        <v/>
      </c>
      <c r="P148" s="12" t="inlineStr"/>
    </row>
    <row r="149">
      <c r="A149" s="12" t="inlineStr">
        <is>
          <t>North Europe</t>
        </is>
      </c>
      <c r="B149" s="12" t="inlineStr">
        <is>
          <t>EU</t>
        </is>
      </c>
      <c r="C149" s="12" t="inlineStr">
        <is>
          <t>Prod</t>
        </is>
      </c>
      <c r="D149" s="12" t="inlineStr">
        <is>
          <t>Standard_E32ads_v5</t>
        </is>
      </c>
      <c r="E149" s="12">
        <f>VLOOKUP(D149,SKU_Family_Map!$A:$B,2,FALSE)</f>
        <v/>
      </c>
      <c r="F149" s="12" t="inlineStr">
        <is>
          <t>crg-pr-neu-reg</t>
        </is>
      </c>
      <c r="G149" s="16" t="n">
        <v>32</v>
      </c>
      <c r="H149" s="16" t="n">
        <v>0</v>
      </c>
      <c r="I149" s="16" t="n">
        <v>8</v>
      </c>
      <c r="J149" s="16">
        <f>H149+I149</f>
        <v/>
      </c>
      <c r="K149" s="16">
        <f>J149-H149</f>
        <v/>
      </c>
      <c r="L149" s="16">
        <f>SUMIFS(Quota_Groups!$G:$G,Quota_Groups!$B:$B,A149,Quota_Groups!$D:$D,E149)</f>
        <v/>
      </c>
      <c r="M149" s="18">
        <f>MIN(K149,L149)</f>
        <v/>
      </c>
      <c r="N149" s="12">
        <f>IF(K149&lt;=L149,"CAPACITY","QUOTA")</f>
        <v/>
      </c>
      <c r="O149" s="12">
        <f>IF(K149&lt;=0,"RESERVATION_DEFICIT",IF(L149&lt;=0,"QUOTA_DEFICIT",IF(M149&lt;I149*0.5,"READY_WITH_RISK","READY")))</f>
        <v/>
      </c>
      <c r="P149" s="12" t="inlineStr"/>
    </row>
    <row r="150">
      <c r="A150" s="12" t="inlineStr">
        <is>
          <t>North Europe</t>
        </is>
      </c>
      <c r="B150" s="12" t="inlineStr">
        <is>
          <t>EU</t>
        </is>
      </c>
      <c r="C150" s="12" t="inlineStr">
        <is>
          <t>Prod</t>
        </is>
      </c>
      <c r="D150" s="12" t="inlineStr">
        <is>
          <t>Standard_E64ads_v5</t>
        </is>
      </c>
      <c r="E150" s="12">
        <f>VLOOKUP(D150,SKU_Family_Map!$A:$B,2,FALSE)</f>
        <v/>
      </c>
      <c r="F150" s="12" t="inlineStr">
        <is>
          <t>crg-pr-neu-reg</t>
        </is>
      </c>
      <c r="G150" s="16" t="n">
        <v>64</v>
      </c>
      <c r="H150" s="16" t="n">
        <v>0</v>
      </c>
      <c r="I150" s="16" t="n">
        <v>8</v>
      </c>
      <c r="J150" s="16">
        <f>H150+I150</f>
        <v/>
      </c>
      <c r="K150" s="16">
        <f>J150-H150</f>
        <v/>
      </c>
      <c r="L150" s="16">
        <f>SUMIFS(Quota_Groups!$G:$G,Quota_Groups!$B:$B,A150,Quota_Groups!$D:$D,E150)</f>
        <v/>
      </c>
      <c r="M150" s="18">
        <f>MIN(K150,L150)</f>
        <v/>
      </c>
      <c r="N150" s="12">
        <f>IF(K150&lt;=L150,"CAPACITY","QUOTA")</f>
        <v/>
      </c>
      <c r="O150" s="12">
        <f>IF(K150&lt;=0,"RESERVATION_DEFICIT",IF(L150&lt;=0,"QUOTA_DEFICIT",IF(M150&lt;I150*0.5,"READY_WITH_RISK","READY")))</f>
        <v/>
      </c>
      <c r="P150" s="12" t="inlineStr"/>
    </row>
    <row r="151">
      <c r="A151" s="12" t="inlineStr">
        <is>
          <t>North Europe</t>
        </is>
      </c>
      <c r="B151" s="12" t="inlineStr">
        <is>
          <t>EU</t>
        </is>
      </c>
      <c r="C151" s="12" t="inlineStr">
        <is>
          <t>Prod</t>
        </is>
      </c>
      <c r="D151" s="12" t="inlineStr">
        <is>
          <t>Standard_E16ads_v5</t>
        </is>
      </c>
      <c r="E151" s="12">
        <f>VLOOKUP(D151,SKU_Family_Map!$A:$B,2,FALSE)</f>
        <v/>
      </c>
      <c r="F151" s="12" t="inlineStr">
        <is>
          <t>crg-pr-neu-reg</t>
        </is>
      </c>
      <c r="G151" s="16" t="n">
        <v>16</v>
      </c>
      <c r="H151" s="16" t="n">
        <v>32</v>
      </c>
      <c r="I151" s="16" t="n">
        <v>8</v>
      </c>
      <c r="J151" s="16">
        <f>H151+I151</f>
        <v/>
      </c>
      <c r="K151" s="16">
        <f>J151-H151</f>
        <v/>
      </c>
      <c r="L151" s="16">
        <f>SUMIFS(Quota_Groups!$G:$G,Quota_Groups!$B:$B,A151,Quota_Groups!$D:$D,E151)</f>
        <v/>
      </c>
      <c r="M151" s="18">
        <f>MIN(K151,L151)</f>
        <v/>
      </c>
      <c r="N151" s="12">
        <f>IF(K151&lt;=L151,"CAPACITY","QUOTA")</f>
        <v/>
      </c>
      <c r="O151" s="12">
        <f>IF(K151&lt;=0,"RESERVATION_DEFICIT",IF(L151&lt;=0,"QUOTA_DEFICIT",IF(M151&lt;I151*0.5,"READY_WITH_RISK","READY")))</f>
        <v/>
      </c>
      <c r="P151" s="12" t="inlineStr"/>
    </row>
    <row r="152">
      <c r="A152" s="12" t="inlineStr">
        <is>
          <t>North Europe</t>
        </is>
      </c>
      <c r="B152" s="12" t="inlineStr">
        <is>
          <t>EU</t>
        </is>
      </c>
      <c r="C152" s="12" t="inlineStr">
        <is>
          <t>Prod</t>
        </is>
      </c>
      <c r="D152" s="12" t="inlineStr">
        <is>
          <t>Standard_E32ads_v6</t>
        </is>
      </c>
      <c r="E152" s="12">
        <f>VLOOKUP(D152,SKU_Family_Map!$A:$B,2,FALSE)</f>
        <v/>
      </c>
      <c r="F152" s="12" t="inlineStr">
        <is>
          <t>crg-pr-neu-reg</t>
        </is>
      </c>
      <c r="G152" s="16" t="n">
        <v>32</v>
      </c>
      <c r="H152" s="16" t="n">
        <v>640</v>
      </c>
      <c r="I152" s="16" t="n">
        <v>77</v>
      </c>
      <c r="J152" s="16">
        <f>H152+I152</f>
        <v/>
      </c>
      <c r="K152" s="16">
        <f>J152-H152</f>
        <v/>
      </c>
      <c r="L152" s="16">
        <f>SUMIFS(Quota_Groups!$G:$G,Quota_Groups!$B:$B,A152,Quota_Groups!$D:$D,E152)</f>
        <v/>
      </c>
      <c r="M152" s="18">
        <f>MIN(K152,L152)</f>
        <v/>
      </c>
      <c r="N152" s="12">
        <f>IF(K152&lt;=L152,"CAPACITY","QUOTA")</f>
        <v/>
      </c>
      <c r="O152" s="12">
        <f>IF(K152&lt;=0,"RESERVATION_DEFICIT",IF(L152&lt;=0,"QUOTA_DEFICIT",IF(M152&lt;I152*0.5,"READY_WITH_RISK","READY")))</f>
        <v/>
      </c>
      <c r="P152" s="12" t="inlineStr"/>
    </row>
    <row r="153">
      <c r="A153" s="12" t="inlineStr">
        <is>
          <t>North Europe</t>
        </is>
      </c>
      <c r="B153" s="12" t="inlineStr">
        <is>
          <t>EU</t>
        </is>
      </c>
      <c r="C153" s="12" t="inlineStr">
        <is>
          <t>Prod</t>
        </is>
      </c>
      <c r="D153" s="12" t="inlineStr">
        <is>
          <t>Standard_D8ads_v5</t>
        </is>
      </c>
      <c r="E153" s="12">
        <f>VLOOKUP(D153,SKU_Family_Map!$A:$B,2,FALSE)</f>
        <v/>
      </c>
      <c r="F153" s="12" t="inlineStr">
        <is>
          <t>crg-pr-neu-reg</t>
        </is>
      </c>
      <c r="G153" s="16" t="n">
        <v>8</v>
      </c>
      <c r="H153" s="16" t="n">
        <v>184</v>
      </c>
      <c r="I153" s="16" t="n">
        <v>22</v>
      </c>
      <c r="J153" s="16">
        <f>H153+I153</f>
        <v/>
      </c>
      <c r="K153" s="16">
        <f>J153-H153</f>
        <v/>
      </c>
      <c r="L153" s="16">
        <f>SUMIFS(Quota_Groups!$G:$G,Quota_Groups!$B:$B,A153,Quota_Groups!$D:$D,E153)</f>
        <v/>
      </c>
      <c r="M153" s="18">
        <f>MIN(K153,L153)</f>
        <v/>
      </c>
      <c r="N153" s="12">
        <f>IF(K153&lt;=L153,"CAPACITY","QUOTA")</f>
        <v/>
      </c>
      <c r="O153" s="12">
        <f>IF(K153&lt;=0,"RESERVATION_DEFICIT",IF(L153&lt;=0,"QUOTA_DEFICIT",IF(M153&lt;I153*0.5,"READY_WITH_RISK","READY")))</f>
        <v/>
      </c>
      <c r="P153" s="12" t="inlineStr"/>
    </row>
    <row r="154">
      <c r="A154" s="12" t="inlineStr">
        <is>
          <t>North Europe</t>
        </is>
      </c>
      <c r="B154" s="12" t="inlineStr">
        <is>
          <t>EU</t>
        </is>
      </c>
      <c r="C154" s="12" t="inlineStr">
        <is>
          <t>Prod</t>
        </is>
      </c>
      <c r="D154" s="12" t="inlineStr">
        <is>
          <t>Standard_D16ads_v5</t>
        </is>
      </c>
      <c r="E154" s="12">
        <f>VLOOKUP(D154,SKU_Family_Map!$A:$B,2,FALSE)</f>
        <v/>
      </c>
      <c r="F154" s="12" t="inlineStr">
        <is>
          <t>crg-pr-neu-reg</t>
        </is>
      </c>
      <c r="G154" s="16" t="n">
        <v>16</v>
      </c>
      <c r="H154" s="16" t="n">
        <v>144</v>
      </c>
      <c r="I154" s="16" t="n">
        <v>17</v>
      </c>
      <c r="J154" s="16">
        <f>H154+I154</f>
        <v/>
      </c>
      <c r="K154" s="16">
        <f>J154-H154</f>
        <v/>
      </c>
      <c r="L154" s="16">
        <f>SUMIFS(Quota_Groups!$G:$G,Quota_Groups!$B:$B,A154,Quota_Groups!$D:$D,E154)</f>
        <v/>
      </c>
      <c r="M154" s="18">
        <f>MIN(K154,L154)</f>
        <v/>
      </c>
      <c r="N154" s="12">
        <f>IF(K154&lt;=L154,"CAPACITY","QUOTA")</f>
        <v/>
      </c>
      <c r="O154" s="12">
        <f>IF(K154&lt;=0,"RESERVATION_DEFICIT",IF(L154&lt;=0,"QUOTA_DEFICIT",IF(M154&lt;I154*0.5,"READY_WITH_RISK","READY")))</f>
        <v/>
      </c>
      <c r="P154" s="12" t="inlineStr"/>
    </row>
    <row r="155">
      <c r="A155" s="12" t="inlineStr">
        <is>
          <t>North Europe</t>
        </is>
      </c>
      <c r="B155" s="12" t="inlineStr">
        <is>
          <t>EU</t>
        </is>
      </c>
      <c r="C155" s="12" t="inlineStr">
        <is>
          <t>Prod</t>
        </is>
      </c>
      <c r="D155" s="12" t="inlineStr">
        <is>
          <t>Standard_D8as_v5</t>
        </is>
      </c>
      <c r="E155" s="12">
        <f>VLOOKUP(D155,SKU_Family_Map!$A:$B,2,FALSE)</f>
        <v/>
      </c>
      <c r="F155" s="12" t="inlineStr">
        <is>
          <t>crg-pr-neu-reg</t>
        </is>
      </c>
      <c r="G155" s="16" t="n">
        <v>8</v>
      </c>
      <c r="H155" s="16" t="n">
        <v>1672</v>
      </c>
      <c r="I155" s="16" t="n">
        <v>201</v>
      </c>
      <c r="J155" s="16">
        <f>H155+I155</f>
        <v/>
      </c>
      <c r="K155" s="16">
        <f>J155-H155</f>
        <v/>
      </c>
      <c r="L155" s="16">
        <f>SUMIFS(Quota_Groups!$G:$G,Quota_Groups!$B:$B,A155,Quota_Groups!$D:$D,E155)</f>
        <v/>
      </c>
      <c r="M155" s="18">
        <f>MIN(K155,L155)</f>
        <v/>
      </c>
      <c r="N155" s="12">
        <f>IF(K155&lt;=L155,"CAPACITY","QUOTA")</f>
        <v/>
      </c>
      <c r="O155" s="12">
        <f>IF(K155&lt;=0,"RESERVATION_DEFICIT",IF(L155&lt;=0,"QUOTA_DEFICIT",IF(M155&lt;I155*0.5,"READY_WITH_RISK","READY")))</f>
        <v/>
      </c>
      <c r="P155" s="12" t="inlineStr"/>
    </row>
    <row r="156">
      <c r="A156" s="12" t="inlineStr">
        <is>
          <t>North Europe</t>
        </is>
      </c>
      <c r="B156" s="12" t="inlineStr">
        <is>
          <t>EU</t>
        </is>
      </c>
      <c r="C156" s="12" t="inlineStr">
        <is>
          <t>Prod</t>
        </is>
      </c>
      <c r="D156" s="12" t="inlineStr">
        <is>
          <t>Standard_D16as_v5</t>
        </is>
      </c>
      <c r="E156" s="12">
        <f>VLOOKUP(D156,SKU_Family_Map!$A:$B,2,FALSE)</f>
        <v/>
      </c>
      <c r="F156" s="12" t="inlineStr">
        <is>
          <t>crg-pr-neu-reg</t>
        </is>
      </c>
      <c r="G156" s="16" t="n">
        <v>16</v>
      </c>
      <c r="H156" s="16" t="n">
        <v>1168</v>
      </c>
      <c r="I156" s="16" t="n">
        <v>140</v>
      </c>
      <c r="J156" s="16">
        <f>H156+I156</f>
        <v/>
      </c>
      <c r="K156" s="16">
        <f>J156-H156</f>
        <v/>
      </c>
      <c r="L156" s="16">
        <f>SUMIFS(Quota_Groups!$G:$G,Quota_Groups!$B:$B,A156,Quota_Groups!$D:$D,E156)</f>
        <v/>
      </c>
      <c r="M156" s="18">
        <f>MIN(K156,L156)</f>
        <v/>
      </c>
      <c r="N156" s="12">
        <f>IF(K156&lt;=L156,"CAPACITY","QUOTA")</f>
        <v/>
      </c>
      <c r="O156" s="12">
        <f>IF(K156&lt;=0,"RESERVATION_DEFICIT",IF(L156&lt;=0,"QUOTA_DEFICIT",IF(M156&lt;I156*0.5,"READY_WITH_RISK","READY")))</f>
        <v/>
      </c>
      <c r="P156" s="12" t="inlineStr"/>
    </row>
    <row r="157">
      <c r="A157" s="12" t="inlineStr">
        <is>
          <t>North Europe</t>
        </is>
      </c>
      <c r="B157" s="12" t="inlineStr">
        <is>
          <t>EU</t>
        </is>
      </c>
      <c r="C157" s="12" t="inlineStr">
        <is>
          <t>NonProd</t>
        </is>
      </c>
      <c r="D157" s="12" t="inlineStr">
        <is>
          <t>Standard_E32ads_v5</t>
        </is>
      </c>
      <c r="E157" s="12">
        <f>VLOOKUP(D157,SKU_Family_Map!$A:$B,2,FALSE)</f>
        <v/>
      </c>
      <c r="F157" s="12" t="inlineStr">
        <is>
          <t>crg-np-neu-reg</t>
        </is>
      </c>
      <c r="G157" s="16" t="n">
        <v>32</v>
      </c>
      <c r="H157" s="16" t="n">
        <v>1408</v>
      </c>
      <c r="I157" s="16" t="n">
        <v>169</v>
      </c>
      <c r="J157" s="16">
        <f>H157+I157</f>
        <v/>
      </c>
      <c r="K157" s="16">
        <f>J157-H157</f>
        <v/>
      </c>
      <c r="L157" s="16">
        <f>SUMIFS(Quota_Groups!$G:$G,Quota_Groups!$B:$B,A157,Quota_Groups!$D:$D,E157)</f>
        <v/>
      </c>
      <c r="M157" s="18">
        <f>MIN(K157,L157)</f>
        <v/>
      </c>
      <c r="N157" s="12">
        <f>IF(K157&lt;=L157,"CAPACITY","QUOTA")</f>
        <v/>
      </c>
      <c r="O157" s="12">
        <f>IF(K157&lt;=0,"RESERVATION_DEFICIT",IF(L157&lt;=0,"QUOTA_DEFICIT",IF(M157&lt;I157*0.5,"READY_WITH_RISK","READY")))</f>
        <v/>
      </c>
      <c r="P157" s="12" t="inlineStr"/>
    </row>
    <row r="158">
      <c r="A158" s="12" t="inlineStr">
        <is>
          <t>North Europe</t>
        </is>
      </c>
      <c r="B158" s="12" t="inlineStr">
        <is>
          <t>EU</t>
        </is>
      </c>
      <c r="C158" s="12" t="inlineStr">
        <is>
          <t>NonProd</t>
        </is>
      </c>
      <c r="D158" s="12" t="inlineStr">
        <is>
          <t>Standard_E64ads_v5</t>
        </is>
      </c>
      <c r="E158" s="12">
        <f>VLOOKUP(D158,SKU_Family_Map!$A:$B,2,FALSE)</f>
        <v/>
      </c>
      <c r="F158" s="12" t="inlineStr">
        <is>
          <t>crg-np-neu-reg</t>
        </is>
      </c>
      <c r="G158" s="16" t="n">
        <v>64</v>
      </c>
      <c r="H158" s="16" t="n">
        <v>384</v>
      </c>
      <c r="I158" s="16" t="n">
        <v>46</v>
      </c>
      <c r="J158" s="16">
        <f>H158+I158</f>
        <v/>
      </c>
      <c r="K158" s="16">
        <f>J158-H158</f>
        <v/>
      </c>
      <c r="L158" s="16">
        <f>SUMIFS(Quota_Groups!$G:$G,Quota_Groups!$B:$B,A158,Quota_Groups!$D:$D,E158)</f>
        <v/>
      </c>
      <c r="M158" s="18">
        <f>MIN(K158,L158)</f>
        <v/>
      </c>
      <c r="N158" s="12">
        <f>IF(K158&lt;=L158,"CAPACITY","QUOTA")</f>
        <v/>
      </c>
      <c r="O158" s="12">
        <f>IF(K158&lt;=0,"RESERVATION_DEFICIT",IF(L158&lt;=0,"QUOTA_DEFICIT",IF(M158&lt;I158*0.5,"READY_WITH_RISK","READY")))</f>
        <v/>
      </c>
      <c r="P158" s="12" t="inlineStr"/>
    </row>
    <row r="159">
      <c r="A159" s="12" t="inlineStr">
        <is>
          <t>North Europe</t>
        </is>
      </c>
      <c r="B159" s="12" t="inlineStr">
        <is>
          <t>EU</t>
        </is>
      </c>
      <c r="C159" s="12" t="inlineStr">
        <is>
          <t>NonProd</t>
        </is>
      </c>
      <c r="D159" s="12" t="inlineStr">
        <is>
          <t>Standard_E16ads_v5</t>
        </is>
      </c>
      <c r="E159" s="12">
        <f>VLOOKUP(D159,SKU_Family_Map!$A:$B,2,FALSE)</f>
        <v/>
      </c>
      <c r="F159" s="12" t="inlineStr">
        <is>
          <t>crg-np-neu-reg</t>
        </is>
      </c>
      <c r="G159" s="16" t="n">
        <v>16</v>
      </c>
      <c r="H159" s="16" t="n">
        <v>2912</v>
      </c>
      <c r="I159" s="16" t="n">
        <v>349</v>
      </c>
      <c r="J159" s="16">
        <f>H159+I159</f>
        <v/>
      </c>
      <c r="K159" s="16">
        <f>J159-H159</f>
        <v/>
      </c>
      <c r="L159" s="16">
        <f>SUMIFS(Quota_Groups!$G:$G,Quota_Groups!$B:$B,A159,Quota_Groups!$D:$D,E159)</f>
        <v/>
      </c>
      <c r="M159" s="18">
        <f>MIN(K159,L159)</f>
        <v/>
      </c>
      <c r="N159" s="12">
        <f>IF(K159&lt;=L159,"CAPACITY","QUOTA")</f>
        <v/>
      </c>
      <c r="O159" s="12">
        <f>IF(K159&lt;=0,"RESERVATION_DEFICIT",IF(L159&lt;=0,"QUOTA_DEFICIT",IF(M159&lt;I159*0.5,"READY_WITH_RISK","READY")))</f>
        <v/>
      </c>
      <c r="P159" s="12" t="inlineStr"/>
    </row>
    <row r="160">
      <c r="A160" s="12" t="inlineStr">
        <is>
          <t>North Europe</t>
        </is>
      </c>
      <c r="B160" s="12" t="inlineStr">
        <is>
          <t>EU</t>
        </is>
      </c>
      <c r="C160" s="12" t="inlineStr">
        <is>
          <t>NonProd</t>
        </is>
      </c>
      <c r="D160" s="12" t="inlineStr">
        <is>
          <t>Standard_E32ads_v6</t>
        </is>
      </c>
      <c r="E160" s="12">
        <f>VLOOKUP(D160,SKU_Family_Map!$A:$B,2,FALSE)</f>
        <v/>
      </c>
      <c r="F160" s="12" t="inlineStr">
        <is>
          <t>crg-np-neu-reg</t>
        </is>
      </c>
      <c r="G160" s="16" t="n">
        <v>32</v>
      </c>
      <c r="H160" s="16" t="n">
        <v>64</v>
      </c>
      <c r="I160" s="16" t="n">
        <v>8</v>
      </c>
      <c r="J160" s="16">
        <f>H160+I160</f>
        <v/>
      </c>
      <c r="K160" s="16">
        <f>J160-H160</f>
        <v/>
      </c>
      <c r="L160" s="16">
        <f>SUMIFS(Quota_Groups!$G:$G,Quota_Groups!$B:$B,A160,Quota_Groups!$D:$D,E160)</f>
        <v/>
      </c>
      <c r="M160" s="18">
        <f>MIN(K160,L160)</f>
        <v/>
      </c>
      <c r="N160" s="12">
        <f>IF(K160&lt;=L160,"CAPACITY","QUOTA")</f>
        <v/>
      </c>
      <c r="O160" s="12">
        <f>IF(K160&lt;=0,"RESERVATION_DEFICIT",IF(L160&lt;=0,"QUOTA_DEFICIT",IF(M160&lt;I160*0.5,"READY_WITH_RISK","READY")))</f>
        <v/>
      </c>
      <c r="P160" s="12" t="inlineStr"/>
    </row>
    <row r="161">
      <c r="A161" s="12" t="inlineStr">
        <is>
          <t>North Europe</t>
        </is>
      </c>
      <c r="B161" s="12" t="inlineStr">
        <is>
          <t>EU</t>
        </is>
      </c>
      <c r="C161" s="12" t="inlineStr">
        <is>
          <t>NonProd</t>
        </is>
      </c>
      <c r="D161" s="12" t="inlineStr">
        <is>
          <t>Standard_D8ads_v5</t>
        </is>
      </c>
      <c r="E161" s="12">
        <f>VLOOKUP(D161,SKU_Family_Map!$A:$B,2,FALSE)</f>
        <v/>
      </c>
      <c r="F161" s="12" t="inlineStr">
        <is>
          <t>crg-np-neu-reg</t>
        </is>
      </c>
      <c r="G161" s="16" t="n">
        <v>8</v>
      </c>
      <c r="H161" s="16" t="n">
        <v>48</v>
      </c>
      <c r="I161" s="16" t="n">
        <v>8</v>
      </c>
      <c r="J161" s="16">
        <f>H161+I161</f>
        <v/>
      </c>
      <c r="K161" s="16">
        <f>J161-H161</f>
        <v/>
      </c>
      <c r="L161" s="16">
        <f>SUMIFS(Quota_Groups!$G:$G,Quota_Groups!$B:$B,A161,Quota_Groups!$D:$D,E161)</f>
        <v/>
      </c>
      <c r="M161" s="18">
        <f>MIN(K161,L161)</f>
        <v/>
      </c>
      <c r="N161" s="12">
        <f>IF(K161&lt;=L161,"CAPACITY","QUOTA")</f>
        <v/>
      </c>
      <c r="O161" s="12">
        <f>IF(K161&lt;=0,"RESERVATION_DEFICIT",IF(L161&lt;=0,"QUOTA_DEFICIT",IF(M161&lt;I161*0.5,"READY_WITH_RISK","READY")))</f>
        <v/>
      </c>
      <c r="P161" s="12" t="inlineStr"/>
    </row>
    <row r="162">
      <c r="A162" s="12" t="inlineStr">
        <is>
          <t>North Europe</t>
        </is>
      </c>
      <c r="B162" s="12" t="inlineStr">
        <is>
          <t>EU</t>
        </is>
      </c>
      <c r="C162" s="12" t="inlineStr">
        <is>
          <t>NonProd</t>
        </is>
      </c>
      <c r="D162" s="12" t="inlineStr">
        <is>
          <t>Standard_D16ads_v5</t>
        </is>
      </c>
      <c r="E162" s="12">
        <f>VLOOKUP(D162,SKU_Family_Map!$A:$B,2,FALSE)</f>
        <v/>
      </c>
      <c r="F162" s="12" t="inlineStr">
        <is>
          <t>crg-np-neu-reg</t>
        </is>
      </c>
      <c r="G162" s="16" t="n">
        <v>16</v>
      </c>
      <c r="H162" s="16" t="n">
        <v>0</v>
      </c>
      <c r="I162" s="16" t="n">
        <v>8</v>
      </c>
      <c r="J162" s="16">
        <f>H162+I162</f>
        <v/>
      </c>
      <c r="K162" s="16">
        <f>J162-H162</f>
        <v/>
      </c>
      <c r="L162" s="16">
        <f>SUMIFS(Quota_Groups!$G:$G,Quota_Groups!$B:$B,A162,Quota_Groups!$D:$D,E162)</f>
        <v/>
      </c>
      <c r="M162" s="18">
        <f>MIN(K162,L162)</f>
        <v/>
      </c>
      <c r="N162" s="12">
        <f>IF(K162&lt;=L162,"CAPACITY","QUOTA")</f>
        <v/>
      </c>
      <c r="O162" s="12">
        <f>IF(K162&lt;=0,"RESERVATION_DEFICIT",IF(L162&lt;=0,"QUOTA_DEFICIT",IF(M162&lt;I162*0.5,"READY_WITH_RISK","READY")))</f>
        <v/>
      </c>
      <c r="P162" s="12" t="inlineStr"/>
    </row>
    <row r="163">
      <c r="A163" s="12" t="inlineStr">
        <is>
          <t>North Europe</t>
        </is>
      </c>
      <c r="B163" s="12" t="inlineStr">
        <is>
          <t>EU</t>
        </is>
      </c>
      <c r="C163" s="12" t="inlineStr">
        <is>
          <t>NonProd</t>
        </is>
      </c>
      <c r="D163" s="12" t="inlineStr">
        <is>
          <t>Standard_D8as_v5</t>
        </is>
      </c>
      <c r="E163" s="12">
        <f>VLOOKUP(D163,SKU_Family_Map!$A:$B,2,FALSE)</f>
        <v/>
      </c>
      <c r="F163" s="12" t="inlineStr">
        <is>
          <t>crg-np-neu-reg</t>
        </is>
      </c>
      <c r="G163" s="16" t="n">
        <v>8</v>
      </c>
      <c r="H163" s="16" t="n">
        <v>352</v>
      </c>
      <c r="I163" s="16" t="n">
        <v>42</v>
      </c>
      <c r="J163" s="16">
        <f>H163+I163</f>
        <v/>
      </c>
      <c r="K163" s="16">
        <f>J163-H163</f>
        <v/>
      </c>
      <c r="L163" s="16">
        <f>SUMIFS(Quota_Groups!$G:$G,Quota_Groups!$B:$B,A163,Quota_Groups!$D:$D,E163)</f>
        <v/>
      </c>
      <c r="M163" s="18">
        <f>MIN(K163,L163)</f>
        <v/>
      </c>
      <c r="N163" s="12">
        <f>IF(K163&lt;=L163,"CAPACITY","QUOTA")</f>
        <v/>
      </c>
      <c r="O163" s="12">
        <f>IF(K163&lt;=0,"RESERVATION_DEFICIT",IF(L163&lt;=0,"QUOTA_DEFICIT",IF(M163&lt;I163*0.5,"READY_WITH_RISK","READY")))</f>
        <v/>
      </c>
      <c r="P163" s="12" t="inlineStr"/>
    </row>
    <row r="164">
      <c r="A164" s="12" t="inlineStr">
        <is>
          <t>North Europe</t>
        </is>
      </c>
      <c r="B164" s="12" t="inlineStr">
        <is>
          <t>EU</t>
        </is>
      </c>
      <c r="C164" s="12" t="inlineStr">
        <is>
          <t>NonProd</t>
        </is>
      </c>
      <c r="D164" s="12" t="inlineStr">
        <is>
          <t>Standard_D16as_v5</t>
        </is>
      </c>
      <c r="E164" s="12">
        <f>VLOOKUP(D164,SKU_Family_Map!$A:$B,2,FALSE)</f>
        <v/>
      </c>
      <c r="F164" s="12" t="inlineStr">
        <is>
          <t>crg-np-neu-reg</t>
        </is>
      </c>
      <c r="G164" s="16" t="n">
        <v>16</v>
      </c>
      <c r="H164" s="16" t="n">
        <v>48</v>
      </c>
      <c r="I164" s="16" t="n">
        <v>8</v>
      </c>
      <c r="J164" s="16">
        <f>H164+I164</f>
        <v/>
      </c>
      <c r="K164" s="16">
        <f>J164-H164</f>
        <v/>
      </c>
      <c r="L164" s="16">
        <f>SUMIFS(Quota_Groups!$G:$G,Quota_Groups!$B:$B,A164,Quota_Groups!$D:$D,E164)</f>
        <v/>
      </c>
      <c r="M164" s="18">
        <f>MIN(K164,L164)</f>
        <v/>
      </c>
      <c r="N164" s="12">
        <f>IF(K164&lt;=L164,"CAPACITY","QUOTA")</f>
        <v/>
      </c>
      <c r="O164" s="12">
        <f>IF(K164&lt;=0,"RESERVATION_DEFICIT",IF(L164&lt;=0,"QUOTA_DEFICIT",IF(M164&lt;I164*0.5,"READY_WITH_RISK","READY")))</f>
        <v/>
      </c>
      <c r="P164" s="12" t="inlineStr"/>
    </row>
    <row r="165">
      <c r="A165" s="12" t="inlineStr">
        <is>
          <t>North Europe</t>
        </is>
      </c>
      <c r="B165" s="12" t="inlineStr">
        <is>
          <t>EU</t>
        </is>
      </c>
      <c r="C165" s="12" t="inlineStr">
        <is>
          <t>DR</t>
        </is>
      </c>
      <c r="D165" s="12" t="inlineStr">
        <is>
          <t>Standard_E32ads_v5</t>
        </is>
      </c>
      <c r="E165" s="12">
        <f>VLOOKUP(D165,SKU_Family_Map!$A:$B,2,FALSE)</f>
        <v/>
      </c>
      <c r="F165" s="12" t="inlineStr">
        <is>
          <t>crg-dr-neu-reg</t>
        </is>
      </c>
      <c r="G165" s="16" t="n">
        <v>32</v>
      </c>
      <c r="H165" s="16" t="n">
        <v>0</v>
      </c>
      <c r="I165" s="16" t="n">
        <v>8</v>
      </c>
      <c r="J165" s="16">
        <f>H165+I165</f>
        <v/>
      </c>
      <c r="K165" s="16">
        <f>J165-H165</f>
        <v/>
      </c>
      <c r="L165" s="16">
        <f>SUMIFS(Quota_Groups!$G:$G,Quota_Groups!$B:$B,A165,Quota_Groups!$D:$D,E165)</f>
        <v/>
      </c>
      <c r="M165" s="18">
        <f>MIN(K165,L165)</f>
        <v/>
      </c>
      <c r="N165" s="12">
        <f>IF(K165&lt;=L165,"CAPACITY","QUOTA")</f>
        <v/>
      </c>
      <c r="O165" s="12">
        <f>IF(K165&lt;=0,"RESERVATION_DEFICIT",IF(L165&lt;=0,"QUOTA_DEFICIT",IF(M165&lt;I165*0.5,"READY_WITH_RISK","READY")))</f>
        <v/>
      </c>
      <c r="P165" s="12" t="inlineStr"/>
    </row>
    <row r="166">
      <c r="A166" s="12" t="inlineStr">
        <is>
          <t>North Europe</t>
        </is>
      </c>
      <c r="B166" s="12" t="inlineStr">
        <is>
          <t>EU</t>
        </is>
      </c>
      <c r="C166" s="12" t="inlineStr">
        <is>
          <t>DR</t>
        </is>
      </c>
      <c r="D166" s="12" t="inlineStr">
        <is>
          <t>Standard_E64ads_v5</t>
        </is>
      </c>
      <c r="E166" s="12">
        <f>VLOOKUP(D166,SKU_Family_Map!$A:$B,2,FALSE)</f>
        <v/>
      </c>
      <c r="F166" s="12" t="inlineStr">
        <is>
          <t>crg-dr-neu-reg</t>
        </is>
      </c>
      <c r="G166" s="16" t="n">
        <v>64</v>
      </c>
      <c r="H166" s="16" t="n">
        <v>0</v>
      </c>
      <c r="I166" s="16" t="n">
        <v>8</v>
      </c>
      <c r="J166" s="16">
        <f>H166+I166</f>
        <v/>
      </c>
      <c r="K166" s="16">
        <f>J166-H166</f>
        <v/>
      </c>
      <c r="L166" s="16">
        <f>SUMIFS(Quota_Groups!$G:$G,Quota_Groups!$B:$B,A166,Quota_Groups!$D:$D,E166)</f>
        <v/>
      </c>
      <c r="M166" s="18">
        <f>MIN(K166,L166)</f>
        <v/>
      </c>
      <c r="N166" s="12">
        <f>IF(K166&lt;=L166,"CAPACITY","QUOTA")</f>
        <v/>
      </c>
      <c r="O166" s="12">
        <f>IF(K166&lt;=0,"RESERVATION_DEFICIT",IF(L166&lt;=0,"QUOTA_DEFICIT",IF(M166&lt;I166*0.5,"READY_WITH_RISK","READY")))</f>
        <v/>
      </c>
      <c r="P166" s="12" t="inlineStr"/>
    </row>
    <row r="167">
      <c r="A167" s="12" t="inlineStr">
        <is>
          <t>North Europe</t>
        </is>
      </c>
      <c r="B167" s="12" t="inlineStr">
        <is>
          <t>EU</t>
        </is>
      </c>
      <c r="C167" s="12" t="inlineStr">
        <is>
          <t>DR</t>
        </is>
      </c>
      <c r="D167" s="12" t="inlineStr">
        <is>
          <t>Standard_E16ads_v5</t>
        </is>
      </c>
      <c r="E167" s="12">
        <f>VLOOKUP(D167,SKU_Family_Map!$A:$B,2,FALSE)</f>
        <v/>
      </c>
      <c r="F167" s="12" t="inlineStr">
        <is>
          <t>crg-dr-neu-reg</t>
        </is>
      </c>
      <c r="G167" s="16" t="n">
        <v>16</v>
      </c>
      <c r="H167" s="16" t="n">
        <v>10</v>
      </c>
      <c r="I167" s="16" t="n">
        <v>8</v>
      </c>
      <c r="J167" s="16">
        <f>H167+I167</f>
        <v/>
      </c>
      <c r="K167" s="16">
        <f>J167-H167</f>
        <v/>
      </c>
      <c r="L167" s="16">
        <f>SUMIFS(Quota_Groups!$G:$G,Quota_Groups!$B:$B,A167,Quota_Groups!$D:$D,E167)</f>
        <v/>
      </c>
      <c r="M167" s="18">
        <f>MIN(K167,L167)</f>
        <v/>
      </c>
      <c r="N167" s="12">
        <f>IF(K167&lt;=L167,"CAPACITY","QUOTA")</f>
        <v/>
      </c>
      <c r="O167" s="12">
        <f>IF(K167&lt;=0,"RESERVATION_DEFICIT",IF(L167&lt;=0,"QUOTA_DEFICIT",IF(M167&lt;I167*0.5,"READY_WITH_RISK","READY")))</f>
        <v/>
      </c>
      <c r="P167" s="12" t="inlineStr"/>
    </row>
    <row r="168">
      <c r="A168" s="12" t="inlineStr">
        <is>
          <t>North Europe</t>
        </is>
      </c>
      <c r="B168" s="12" t="inlineStr">
        <is>
          <t>EU</t>
        </is>
      </c>
      <c r="C168" s="12" t="inlineStr">
        <is>
          <t>DR</t>
        </is>
      </c>
      <c r="D168" s="12" t="inlineStr">
        <is>
          <t>Standard_E32ads_v6</t>
        </is>
      </c>
      <c r="E168" s="12">
        <f>VLOOKUP(D168,SKU_Family_Map!$A:$B,2,FALSE)</f>
        <v/>
      </c>
      <c r="F168" s="12" t="inlineStr">
        <is>
          <t>crg-dr-neu-reg</t>
        </is>
      </c>
      <c r="G168" s="16" t="n">
        <v>32</v>
      </c>
      <c r="H168" s="16" t="n">
        <v>192</v>
      </c>
      <c r="I168" s="16" t="n">
        <v>23</v>
      </c>
      <c r="J168" s="16">
        <f>H168+I168</f>
        <v/>
      </c>
      <c r="K168" s="16">
        <f>J168-H168</f>
        <v/>
      </c>
      <c r="L168" s="16">
        <f>SUMIFS(Quota_Groups!$G:$G,Quota_Groups!$B:$B,A168,Quota_Groups!$D:$D,E168)</f>
        <v/>
      </c>
      <c r="M168" s="18">
        <f>MIN(K168,L168)</f>
        <v/>
      </c>
      <c r="N168" s="12">
        <f>IF(K168&lt;=L168,"CAPACITY","QUOTA")</f>
        <v/>
      </c>
      <c r="O168" s="12">
        <f>IF(K168&lt;=0,"RESERVATION_DEFICIT",IF(L168&lt;=0,"QUOTA_DEFICIT",IF(M168&lt;I168*0.5,"READY_WITH_RISK","READY")))</f>
        <v/>
      </c>
      <c r="P168" s="12" t="inlineStr"/>
    </row>
    <row r="169">
      <c r="A169" s="12" t="inlineStr">
        <is>
          <t>North Europe</t>
        </is>
      </c>
      <c r="B169" s="12" t="inlineStr">
        <is>
          <t>EU</t>
        </is>
      </c>
      <c r="C169" s="12" t="inlineStr">
        <is>
          <t>DR</t>
        </is>
      </c>
      <c r="D169" s="12" t="inlineStr">
        <is>
          <t>Standard_D8ads_v5</t>
        </is>
      </c>
      <c r="E169" s="12">
        <f>VLOOKUP(D169,SKU_Family_Map!$A:$B,2,FALSE)</f>
        <v/>
      </c>
      <c r="F169" s="12" t="inlineStr">
        <is>
          <t>crg-dr-neu-reg</t>
        </is>
      </c>
      <c r="G169" s="16" t="n">
        <v>8</v>
      </c>
      <c r="H169" s="16" t="n">
        <v>55</v>
      </c>
      <c r="I169" s="16" t="n">
        <v>8</v>
      </c>
      <c r="J169" s="16">
        <f>H169+I169</f>
        <v/>
      </c>
      <c r="K169" s="16">
        <f>J169-H169</f>
        <v/>
      </c>
      <c r="L169" s="16">
        <f>SUMIFS(Quota_Groups!$G:$G,Quota_Groups!$B:$B,A169,Quota_Groups!$D:$D,E169)</f>
        <v/>
      </c>
      <c r="M169" s="18">
        <f>MIN(K169,L169)</f>
        <v/>
      </c>
      <c r="N169" s="12">
        <f>IF(K169&lt;=L169,"CAPACITY","QUOTA")</f>
        <v/>
      </c>
      <c r="O169" s="12">
        <f>IF(K169&lt;=0,"RESERVATION_DEFICIT",IF(L169&lt;=0,"QUOTA_DEFICIT",IF(M169&lt;I169*0.5,"READY_WITH_RISK","READY")))</f>
        <v/>
      </c>
      <c r="P169" s="12" t="inlineStr"/>
    </row>
    <row r="170">
      <c r="A170" s="12" t="inlineStr">
        <is>
          <t>North Europe</t>
        </is>
      </c>
      <c r="B170" s="12" t="inlineStr">
        <is>
          <t>EU</t>
        </is>
      </c>
      <c r="C170" s="12" t="inlineStr">
        <is>
          <t>DR</t>
        </is>
      </c>
      <c r="D170" s="12" t="inlineStr">
        <is>
          <t>Standard_D16ads_v5</t>
        </is>
      </c>
      <c r="E170" s="12">
        <f>VLOOKUP(D170,SKU_Family_Map!$A:$B,2,FALSE)</f>
        <v/>
      </c>
      <c r="F170" s="12" t="inlineStr">
        <is>
          <t>crg-dr-neu-reg</t>
        </is>
      </c>
      <c r="G170" s="16" t="n">
        <v>16</v>
      </c>
      <c r="H170" s="16" t="n">
        <v>43</v>
      </c>
      <c r="I170" s="16" t="n">
        <v>8</v>
      </c>
      <c r="J170" s="16">
        <f>H170+I170</f>
        <v/>
      </c>
      <c r="K170" s="16">
        <f>J170-H170</f>
        <v/>
      </c>
      <c r="L170" s="16">
        <f>SUMIFS(Quota_Groups!$G:$G,Quota_Groups!$B:$B,A170,Quota_Groups!$D:$D,E170)</f>
        <v/>
      </c>
      <c r="M170" s="18">
        <f>MIN(K170,L170)</f>
        <v/>
      </c>
      <c r="N170" s="12">
        <f>IF(K170&lt;=L170,"CAPACITY","QUOTA")</f>
        <v/>
      </c>
      <c r="O170" s="12">
        <f>IF(K170&lt;=0,"RESERVATION_DEFICIT",IF(L170&lt;=0,"QUOTA_DEFICIT",IF(M170&lt;I170*0.5,"READY_WITH_RISK","READY")))</f>
        <v/>
      </c>
      <c r="P170" s="12" t="inlineStr"/>
    </row>
    <row r="171">
      <c r="A171" s="12" t="inlineStr">
        <is>
          <t>North Europe</t>
        </is>
      </c>
      <c r="B171" s="12" t="inlineStr">
        <is>
          <t>EU</t>
        </is>
      </c>
      <c r="C171" s="12" t="inlineStr">
        <is>
          <t>DR</t>
        </is>
      </c>
      <c r="D171" s="12" t="inlineStr">
        <is>
          <t>Standard_D8as_v5</t>
        </is>
      </c>
      <c r="E171" s="12">
        <f>VLOOKUP(D171,SKU_Family_Map!$A:$B,2,FALSE)</f>
        <v/>
      </c>
      <c r="F171" s="12" t="inlineStr">
        <is>
          <t>crg-dr-neu-reg</t>
        </is>
      </c>
      <c r="G171" s="16" t="n">
        <v>8</v>
      </c>
      <c r="H171" s="16" t="n">
        <v>502</v>
      </c>
      <c r="I171" s="16" t="n">
        <v>60</v>
      </c>
      <c r="J171" s="16">
        <f>H171+I171</f>
        <v/>
      </c>
      <c r="K171" s="16">
        <f>J171-H171</f>
        <v/>
      </c>
      <c r="L171" s="16">
        <f>SUMIFS(Quota_Groups!$G:$G,Quota_Groups!$B:$B,A171,Quota_Groups!$D:$D,E171)</f>
        <v/>
      </c>
      <c r="M171" s="18">
        <f>MIN(K171,L171)</f>
        <v/>
      </c>
      <c r="N171" s="12">
        <f>IF(K171&lt;=L171,"CAPACITY","QUOTA")</f>
        <v/>
      </c>
      <c r="O171" s="12">
        <f>IF(K171&lt;=0,"RESERVATION_DEFICIT",IF(L171&lt;=0,"QUOTA_DEFICIT",IF(M171&lt;I171*0.5,"READY_WITH_RISK","READY")))</f>
        <v/>
      </c>
      <c r="P171" s="12" t="inlineStr"/>
    </row>
    <row r="172">
      <c r="A172" s="12" t="inlineStr">
        <is>
          <t>North Europe</t>
        </is>
      </c>
      <c r="B172" s="12" t="inlineStr">
        <is>
          <t>EU</t>
        </is>
      </c>
      <c r="C172" s="12" t="inlineStr">
        <is>
          <t>DR</t>
        </is>
      </c>
      <c r="D172" s="12" t="inlineStr">
        <is>
          <t>Standard_D16as_v5</t>
        </is>
      </c>
      <c r="E172" s="12">
        <f>VLOOKUP(D172,SKU_Family_Map!$A:$B,2,FALSE)</f>
        <v/>
      </c>
      <c r="F172" s="12" t="inlineStr">
        <is>
          <t>crg-dr-neu-reg</t>
        </is>
      </c>
      <c r="G172" s="16" t="n">
        <v>16</v>
      </c>
      <c r="H172" s="16" t="n">
        <v>350</v>
      </c>
      <c r="I172" s="16" t="n">
        <v>42</v>
      </c>
      <c r="J172" s="16">
        <f>H172+I172</f>
        <v/>
      </c>
      <c r="K172" s="16">
        <f>J172-H172</f>
        <v/>
      </c>
      <c r="L172" s="16">
        <f>SUMIFS(Quota_Groups!$G:$G,Quota_Groups!$B:$B,A172,Quota_Groups!$D:$D,E172)</f>
        <v/>
      </c>
      <c r="M172" s="18">
        <f>MIN(K172,L172)</f>
        <v/>
      </c>
      <c r="N172" s="12">
        <f>IF(K172&lt;=L172,"CAPACITY","QUOTA")</f>
        <v/>
      </c>
      <c r="O172" s="12">
        <f>IF(K172&lt;=0,"RESERVATION_DEFICIT",IF(L172&lt;=0,"QUOTA_DEFICIT",IF(M172&lt;I172*0.5,"READY_WITH_RISK","READY")))</f>
        <v/>
      </c>
      <c r="P172" s="12" t="inlineStr"/>
    </row>
    <row r="173">
      <c r="A173" s="12" t="inlineStr">
        <is>
          <t>West Europe</t>
        </is>
      </c>
      <c r="B173" s="12" t="inlineStr">
        <is>
          <t>EU</t>
        </is>
      </c>
      <c r="C173" s="12" t="inlineStr">
        <is>
          <t>Prod</t>
        </is>
      </c>
      <c r="D173" s="12" t="inlineStr">
        <is>
          <t>Standard_E32ads_v5</t>
        </is>
      </c>
      <c r="E173" s="12">
        <f>VLOOKUP(D173,SKU_Family_Map!$A:$B,2,FALSE)</f>
        <v/>
      </c>
      <c r="F173" s="12" t="inlineStr">
        <is>
          <t>crg-pr-weu-reg</t>
        </is>
      </c>
      <c r="G173" s="16" t="n">
        <v>32</v>
      </c>
      <c r="H173" s="16" t="n">
        <v>2144</v>
      </c>
      <c r="I173" s="16" t="n">
        <v>257</v>
      </c>
      <c r="J173" s="16">
        <f>H173+I173</f>
        <v/>
      </c>
      <c r="K173" s="16">
        <f>J173-H173</f>
        <v/>
      </c>
      <c r="L173" s="16">
        <f>SUMIFS(Quota_Groups!$G:$G,Quota_Groups!$B:$B,A173,Quota_Groups!$D:$D,E173)</f>
        <v/>
      </c>
      <c r="M173" s="18">
        <f>MIN(K173,L173)</f>
        <v/>
      </c>
      <c r="N173" s="12">
        <f>IF(K173&lt;=L173,"CAPACITY","QUOTA")</f>
        <v/>
      </c>
      <c r="O173" s="12">
        <f>IF(K173&lt;=0,"RESERVATION_DEFICIT",IF(L173&lt;=0,"QUOTA_DEFICIT",IF(M173&lt;I173*0.5,"READY_WITH_RISK","READY")))</f>
        <v/>
      </c>
      <c r="P173" s="12" t="inlineStr"/>
    </row>
    <row r="174">
      <c r="A174" s="12" t="inlineStr">
        <is>
          <t>West Europe</t>
        </is>
      </c>
      <c r="B174" s="12" t="inlineStr">
        <is>
          <t>EU</t>
        </is>
      </c>
      <c r="C174" s="12" t="inlineStr">
        <is>
          <t>Prod</t>
        </is>
      </c>
      <c r="D174" s="12" t="inlineStr">
        <is>
          <t>Standard_E64ads_v5</t>
        </is>
      </c>
      <c r="E174" s="12">
        <f>VLOOKUP(D174,SKU_Family_Map!$A:$B,2,FALSE)</f>
        <v/>
      </c>
      <c r="F174" s="12" t="inlineStr">
        <is>
          <t>crg-pr-weu-reg</t>
        </is>
      </c>
      <c r="G174" s="16" t="n">
        <v>64</v>
      </c>
      <c r="H174" s="16" t="n">
        <v>2368</v>
      </c>
      <c r="I174" s="16" t="n">
        <v>284</v>
      </c>
      <c r="J174" s="16">
        <f>H174+I174</f>
        <v/>
      </c>
      <c r="K174" s="16">
        <f>J174-H174</f>
        <v/>
      </c>
      <c r="L174" s="16">
        <f>SUMIFS(Quota_Groups!$G:$G,Quota_Groups!$B:$B,A174,Quota_Groups!$D:$D,E174)</f>
        <v/>
      </c>
      <c r="M174" s="18">
        <f>MIN(K174,L174)</f>
        <v/>
      </c>
      <c r="N174" s="12">
        <f>IF(K174&lt;=L174,"CAPACITY","QUOTA")</f>
        <v/>
      </c>
      <c r="O174" s="12">
        <f>IF(K174&lt;=0,"RESERVATION_DEFICIT",IF(L174&lt;=0,"QUOTA_DEFICIT",IF(M174&lt;I174*0.5,"READY_WITH_RISK","READY")))</f>
        <v/>
      </c>
      <c r="P174" s="12" t="inlineStr"/>
    </row>
    <row r="175">
      <c r="A175" s="12" t="inlineStr">
        <is>
          <t>West Europe</t>
        </is>
      </c>
      <c r="B175" s="12" t="inlineStr">
        <is>
          <t>EU</t>
        </is>
      </c>
      <c r="C175" s="12" t="inlineStr">
        <is>
          <t>Prod</t>
        </is>
      </c>
      <c r="D175" s="12" t="inlineStr">
        <is>
          <t>Standard_E16ads_v5</t>
        </is>
      </c>
      <c r="E175" s="12">
        <f>VLOOKUP(D175,SKU_Family_Map!$A:$B,2,FALSE)</f>
        <v/>
      </c>
      <c r="F175" s="12" t="inlineStr">
        <is>
          <t>crg-pr-weu-reg</t>
        </is>
      </c>
      <c r="G175" s="16" t="n">
        <v>16</v>
      </c>
      <c r="H175" s="16" t="n">
        <v>2048</v>
      </c>
      <c r="I175" s="16" t="n">
        <v>246</v>
      </c>
      <c r="J175" s="16">
        <f>H175+I175</f>
        <v/>
      </c>
      <c r="K175" s="16">
        <f>J175-H175</f>
        <v/>
      </c>
      <c r="L175" s="16">
        <f>SUMIFS(Quota_Groups!$G:$G,Quota_Groups!$B:$B,A175,Quota_Groups!$D:$D,E175)</f>
        <v/>
      </c>
      <c r="M175" s="18">
        <f>MIN(K175,L175)</f>
        <v/>
      </c>
      <c r="N175" s="12">
        <f>IF(K175&lt;=L175,"CAPACITY","QUOTA")</f>
        <v/>
      </c>
      <c r="O175" s="12">
        <f>IF(K175&lt;=0,"RESERVATION_DEFICIT",IF(L175&lt;=0,"QUOTA_DEFICIT",IF(M175&lt;I175*0.5,"READY_WITH_RISK","READY")))</f>
        <v/>
      </c>
      <c r="P175" s="12" t="inlineStr"/>
    </row>
    <row r="176">
      <c r="A176" s="12" t="inlineStr">
        <is>
          <t>West Europe</t>
        </is>
      </c>
      <c r="B176" s="12" t="inlineStr">
        <is>
          <t>EU</t>
        </is>
      </c>
      <c r="C176" s="12" t="inlineStr">
        <is>
          <t>Prod</t>
        </is>
      </c>
      <c r="D176" s="12" t="inlineStr">
        <is>
          <t>Standard_E32ads_v6</t>
        </is>
      </c>
      <c r="E176" s="12">
        <f>VLOOKUP(D176,SKU_Family_Map!$A:$B,2,FALSE)</f>
        <v/>
      </c>
      <c r="F176" s="12" t="inlineStr">
        <is>
          <t>crg-pr-weu-reg</t>
        </is>
      </c>
      <c r="G176" s="16" t="n">
        <v>32</v>
      </c>
      <c r="H176" s="16" t="n">
        <v>4480</v>
      </c>
      <c r="I176" s="16" t="n">
        <v>538</v>
      </c>
      <c r="J176" s="16">
        <f>H176+I176</f>
        <v/>
      </c>
      <c r="K176" s="16">
        <f>J176-H176</f>
        <v/>
      </c>
      <c r="L176" s="16">
        <f>SUMIFS(Quota_Groups!$G:$G,Quota_Groups!$B:$B,A176,Quota_Groups!$D:$D,E176)</f>
        <v/>
      </c>
      <c r="M176" s="18">
        <f>MIN(K176,L176)</f>
        <v/>
      </c>
      <c r="N176" s="12">
        <f>IF(K176&lt;=L176,"CAPACITY","QUOTA")</f>
        <v/>
      </c>
      <c r="O176" s="12">
        <f>IF(K176&lt;=0,"RESERVATION_DEFICIT",IF(L176&lt;=0,"QUOTA_DEFICIT",IF(M176&lt;I176*0.5,"READY_WITH_RISK","READY")))</f>
        <v/>
      </c>
      <c r="P176" s="12" t="inlineStr"/>
    </row>
    <row r="177">
      <c r="A177" s="12" t="inlineStr">
        <is>
          <t>West Europe</t>
        </is>
      </c>
      <c r="B177" s="12" t="inlineStr">
        <is>
          <t>EU</t>
        </is>
      </c>
      <c r="C177" s="12" t="inlineStr">
        <is>
          <t>Prod</t>
        </is>
      </c>
      <c r="D177" s="12" t="inlineStr">
        <is>
          <t>Standard_D8ads_v5</t>
        </is>
      </c>
      <c r="E177" s="12">
        <f>VLOOKUP(D177,SKU_Family_Map!$A:$B,2,FALSE)</f>
        <v/>
      </c>
      <c r="F177" s="12" t="inlineStr">
        <is>
          <t>crg-pr-weu-reg</t>
        </is>
      </c>
      <c r="G177" s="16" t="n">
        <v>8</v>
      </c>
      <c r="H177" s="16" t="n">
        <v>4576</v>
      </c>
      <c r="I177" s="16" t="n">
        <v>549</v>
      </c>
      <c r="J177" s="16">
        <f>H177+I177</f>
        <v/>
      </c>
      <c r="K177" s="16">
        <f>J177-H177</f>
        <v/>
      </c>
      <c r="L177" s="16">
        <f>SUMIFS(Quota_Groups!$G:$G,Quota_Groups!$B:$B,A177,Quota_Groups!$D:$D,E177)</f>
        <v/>
      </c>
      <c r="M177" s="18">
        <f>MIN(K177,L177)</f>
        <v/>
      </c>
      <c r="N177" s="12">
        <f>IF(K177&lt;=L177,"CAPACITY","QUOTA")</f>
        <v/>
      </c>
      <c r="O177" s="12">
        <f>IF(K177&lt;=0,"RESERVATION_DEFICIT",IF(L177&lt;=0,"QUOTA_DEFICIT",IF(M177&lt;I177*0.5,"READY_WITH_RISK","READY")))</f>
        <v/>
      </c>
      <c r="P177" s="12" t="inlineStr"/>
    </row>
    <row r="178">
      <c r="A178" s="12" t="inlineStr">
        <is>
          <t>West Europe</t>
        </is>
      </c>
      <c r="B178" s="12" t="inlineStr">
        <is>
          <t>EU</t>
        </is>
      </c>
      <c r="C178" s="12" t="inlineStr">
        <is>
          <t>Prod</t>
        </is>
      </c>
      <c r="D178" s="12" t="inlineStr">
        <is>
          <t>Standard_D16ads_v5</t>
        </is>
      </c>
      <c r="E178" s="12">
        <f>VLOOKUP(D178,SKU_Family_Map!$A:$B,2,FALSE)</f>
        <v/>
      </c>
      <c r="F178" s="12" t="inlineStr">
        <is>
          <t>crg-pr-weu-reg</t>
        </is>
      </c>
      <c r="G178" s="16" t="n">
        <v>16</v>
      </c>
      <c r="H178" s="16" t="n">
        <v>2224</v>
      </c>
      <c r="I178" s="16" t="n">
        <v>267</v>
      </c>
      <c r="J178" s="16">
        <f>H178+I178</f>
        <v/>
      </c>
      <c r="K178" s="16">
        <f>J178-H178</f>
        <v/>
      </c>
      <c r="L178" s="16">
        <f>SUMIFS(Quota_Groups!$G:$G,Quota_Groups!$B:$B,A178,Quota_Groups!$D:$D,E178)</f>
        <v/>
      </c>
      <c r="M178" s="18">
        <f>MIN(K178,L178)</f>
        <v/>
      </c>
      <c r="N178" s="12">
        <f>IF(K178&lt;=L178,"CAPACITY","QUOTA")</f>
        <v/>
      </c>
      <c r="O178" s="12">
        <f>IF(K178&lt;=0,"RESERVATION_DEFICIT",IF(L178&lt;=0,"QUOTA_DEFICIT",IF(M178&lt;I178*0.5,"READY_WITH_RISK","READY")))</f>
        <v/>
      </c>
      <c r="P178" s="12" t="inlineStr"/>
    </row>
    <row r="179">
      <c r="A179" s="12" t="inlineStr">
        <is>
          <t>West Europe</t>
        </is>
      </c>
      <c r="B179" s="12" t="inlineStr">
        <is>
          <t>EU</t>
        </is>
      </c>
      <c r="C179" s="12" t="inlineStr">
        <is>
          <t>Prod</t>
        </is>
      </c>
      <c r="D179" s="12" t="inlineStr">
        <is>
          <t>Standard_D8as_v5</t>
        </is>
      </c>
      <c r="E179" s="12">
        <f>VLOOKUP(D179,SKU_Family_Map!$A:$B,2,FALSE)</f>
        <v/>
      </c>
      <c r="F179" s="12" t="inlineStr">
        <is>
          <t>crg-pr-weu-reg</t>
        </is>
      </c>
      <c r="G179" s="16" t="n">
        <v>8</v>
      </c>
      <c r="H179" s="16" t="n">
        <v>3936</v>
      </c>
      <c r="I179" s="16" t="n">
        <v>472</v>
      </c>
      <c r="J179" s="16">
        <f>H179+I179</f>
        <v/>
      </c>
      <c r="K179" s="16">
        <f>J179-H179</f>
        <v/>
      </c>
      <c r="L179" s="16">
        <f>SUMIFS(Quota_Groups!$G:$G,Quota_Groups!$B:$B,A179,Quota_Groups!$D:$D,E179)</f>
        <v/>
      </c>
      <c r="M179" s="18">
        <f>MIN(K179,L179)</f>
        <v/>
      </c>
      <c r="N179" s="12">
        <f>IF(K179&lt;=L179,"CAPACITY","QUOTA")</f>
        <v/>
      </c>
      <c r="O179" s="12">
        <f>IF(K179&lt;=0,"RESERVATION_DEFICIT",IF(L179&lt;=0,"QUOTA_DEFICIT",IF(M179&lt;I179*0.5,"READY_WITH_RISK","READY")))</f>
        <v/>
      </c>
      <c r="P179" s="12" t="inlineStr"/>
    </row>
    <row r="180">
      <c r="A180" s="12" t="inlineStr">
        <is>
          <t>West Europe</t>
        </is>
      </c>
      <c r="B180" s="12" t="inlineStr">
        <is>
          <t>EU</t>
        </is>
      </c>
      <c r="C180" s="12" t="inlineStr">
        <is>
          <t>Prod</t>
        </is>
      </c>
      <c r="D180" s="12" t="inlineStr">
        <is>
          <t>Standard_D16as_v5</t>
        </is>
      </c>
      <c r="E180" s="12">
        <f>VLOOKUP(D180,SKU_Family_Map!$A:$B,2,FALSE)</f>
        <v/>
      </c>
      <c r="F180" s="12" t="inlineStr">
        <is>
          <t>crg-pr-weu-reg</t>
        </is>
      </c>
      <c r="G180" s="16" t="n">
        <v>16</v>
      </c>
      <c r="H180" s="16" t="n">
        <v>1296</v>
      </c>
      <c r="I180" s="16" t="n">
        <v>156</v>
      </c>
      <c r="J180" s="16">
        <f>H180+I180</f>
        <v/>
      </c>
      <c r="K180" s="16">
        <f>J180-H180</f>
        <v/>
      </c>
      <c r="L180" s="16">
        <f>SUMIFS(Quota_Groups!$G:$G,Quota_Groups!$B:$B,A180,Quota_Groups!$D:$D,E180)</f>
        <v/>
      </c>
      <c r="M180" s="18">
        <f>MIN(K180,L180)</f>
        <v/>
      </c>
      <c r="N180" s="12">
        <f>IF(K180&lt;=L180,"CAPACITY","QUOTA")</f>
        <v/>
      </c>
      <c r="O180" s="12">
        <f>IF(K180&lt;=0,"RESERVATION_DEFICIT",IF(L180&lt;=0,"QUOTA_DEFICIT",IF(M180&lt;I180*0.5,"READY_WITH_RISK","READY")))</f>
        <v/>
      </c>
      <c r="P180" s="12" t="inlineStr"/>
    </row>
    <row r="181">
      <c r="A181" s="12" t="inlineStr">
        <is>
          <t>West Europe</t>
        </is>
      </c>
      <c r="B181" s="12" t="inlineStr">
        <is>
          <t>EU</t>
        </is>
      </c>
      <c r="C181" s="12" t="inlineStr">
        <is>
          <t>NonProd</t>
        </is>
      </c>
      <c r="D181" s="12" t="inlineStr">
        <is>
          <t>Standard_E32ads_v5</t>
        </is>
      </c>
      <c r="E181" s="12">
        <f>VLOOKUP(D181,SKU_Family_Map!$A:$B,2,FALSE)</f>
        <v/>
      </c>
      <c r="F181" s="12" t="inlineStr">
        <is>
          <t>crg-np-weu-reg</t>
        </is>
      </c>
      <c r="G181" s="16" t="n">
        <v>32</v>
      </c>
      <c r="H181" s="16" t="n">
        <v>39008</v>
      </c>
      <c r="I181" s="16" t="n">
        <v>4681</v>
      </c>
      <c r="J181" s="16">
        <f>H181+I181</f>
        <v/>
      </c>
      <c r="K181" s="16">
        <f>J181-H181</f>
        <v/>
      </c>
      <c r="L181" s="16">
        <f>SUMIFS(Quota_Groups!$G:$G,Quota_Groups!$B:$B,A181,Quota_Groups!$D:$D,E181)</f>
        <v/>
      </c>
      <c r="M181" s="18">
        <f>MIN(K181,L181)</f>
        <v/>
      </c>
      <c r="N181" s="12">
        <f>IF(K181&lt;=L181,"CAPACITY","QUOTA")</f>
        <v/>
      </c>
      <c r="O181" s="12">
        <f>IF(K181&lt;=0,"RESERVATION_DEFICIT",IF(L181&lt;=0,"QUOTA_DEFICIT",IF(M181&lt;I181*0.5,"READY_WITH_RISK","READY")))</f>
        <v/>
      </c>
      <c r="P181" s="12" t="inlineStr"/>
    </row>
    <row r="182">
      <c r="A182" s="12" t="inlineStr">
        <is>
          <t>West Europe</t>
        </is>
      </c>
      <c r="B182" s="12" t="inlineStr">
        <is>
          <t>EU</t>
        </is>
      </c>
      <c r="C182" s="12" t="inlineStr">
        <is>
          <t>NonProd</t>
        </is>
      </c>
      <c r="D182" s="12" t="inlineStr">
        <is>
          <t>Standard_E64ads_v5</t>
        </is>
      </c>
      <c r="E182" s="12">
        <f>VLOOKUP(D182,SKU_Family_Map!$A:$B,2,FALSE)</f>
        <v/>
      </c>
      <c r="F182" s="12" t="inlineStr">
        <is>
          <t>crg-np-weu-reg</t>
        </is>
      </c>
      <c r="G182" s="16" t="n">
        <v>64</v>
      </c>
      <c r="H182" s="16" t="n">
        <v>33664</v>
      </c>
      <c r="I182" s="16" t="n">
        <v>4040</v>
      </c>
      <c r="J182" s="16">
        <f>H182+I182</f>
        <v/>
      </c>
      <c r="K182" s="16">
        <f>J182-H182</f>
        <v/>
      </c>
      <c r="L182" s="16">
        <f>SUMIFS(Quota_Groups!$G:$G,Quota_Groups!$B:$B,A182,Quota_Groups!$D:$D,E182)</f>
        <v/>
      </c>
      <c r="M182" s="18">
        <f>MIN(K182,L182)</f>
        <v/>
      </c>
      <c r="N182" s="12">
        <f>IF(K182&lt;=L182,"CAPACITY","QUOTA")</f>
        <v/>
      </c>
      <c r="O182" s="12">
        <f>IF(K182&lt;=0,"RESERVATION_DEFICIT",IF(L182&lt;=0,"QUOTA_DEFICIT",IF(M182&lt;I182*0.5,"READY_WITH_RISK","READY")))</f>
        <v/>
      </c>
      <c r="P182" s="12" t="inlineStr"/>
    </row>
    <row r="183">
      <c r="A183" s="12" t="inlineStr">
        <is>
          <t>West Europe</t>
        </is>
      </c>
      <c r="B183" s="12" t="inlineStr">
        <is>
          <t>EU</t>
        </is>
      </c>
      <c r="C183" s="12" t="inlineStr">
        <is>
          <t>NonProd</t>
        </is>
      </c>
      <c r="D183" s="12" t="inlineStr">
        <is>
          <t>Standard_E16ads_v5</t>
        </is>
      </c>
      <c r="E183" s="12">
        <f>VLOOKUP(D183,SKU_Family_Map!$A:$B,2,FALSE)</f>
        <v/>
      </c>
      <c r="F183" s="12" t="inlineStr">
        <is>
          <t>crg-np-weu-reg</t>
        </is>
      </c>
      <c r="G183" s="16" t="n">
        <v>16</v>
      </c>
      <c r="H183" s="16" t="n">
        <v>7968</v>
      </c>
      <c r="I183" s="16" t="n">
        <v>956</v>
      </c>
      <c r="J183" s="16">
        <f>H183+I183</f>
        <v/>
      </c>
      <c r="K183" s="16">
        <f>J183-H183</f>
        <v/>
      </c>
      <c r="L183" s="16">
        <f>SUMIFS(Quota_Groups!$G:$G,Quota_Groups!$B:$B,A183,Quota_Groups!$D:$D,E183)</f>
        <v/>
      </c>
      <c r="M183" s="18">
        <f>MIN(K183,L183)</f>
        <v/>
      </c>
      <c r="N183" s="12">
        <f>IF(K183&lt;=L183,"CAPACITY","QUOTA")</f>
        <v/>
      </c>
      <c r="O183" s="12">
        <f>IF(K183&lt;=0,"RESERVATION_DEFICIT",IF(L183&lt;=0,"QUOTA_DEFICIT",IF(M183&lt;I183*0.5,"READY_WITH_RISK","READY")))</f>
        <v/>
      </c>
      <c r="P183" s="12" t="inlineStr"/>
    </row>
    <row r="184">
      <c r="A184" s="12" t="inlineStr">
        <is>
          <t>West Europe</t>
        </is>
      </c>
      <c r="B184" s="12" t="inlineStr">
        <is>
          <t>EU</t>
        </is>
      </c>
      <c r="C184" s="12" t="inlineStr">
        <is>
          <t>NonProd</t>
        </is>
      </c>
      <c r="D184" s="12" t="inlineStr">
        <is>
          <t>Standard_E32ads_v6</t>
        </is>
      </c>
      <c r="E184" s="12">
        <f>VLOOKUP(D184,SKU_Family_Map!$A:$B,2,FALSE)</f>
        <v/>
      </c>
      <c r="F184" s="12" t="inlineStr">
        <is>
          <t>crg-np-weu-reg</t>
        </is>
      </c>
      <c r="G184" s="16" t="n">
        <v>32</v>
      </c>
      <c r="H184" s="16" t="n">
        <v>11264</v>
      </c>
      <c r="I184" s="16" t="n">
        <v>1352</v>
      </c>
      <c r="J184" s="16">
        <f>H184+I184</f>
        <v/>
      </c>
      <c r="K184" s="16">
        <f>J184-H184</f>
        <v/>
      </c>
      <c r="L184" s="16">
        <f>SUMIFS(Quota_Groups!$G:$G,Quota_Groups!$B:$B,A184,Quota_Groups!$D:$D,E184)</f>
        <v/>
      </c>
      <c r="M184" s="18">
        <f>MIN(K184,L184)</f>
        <v/>
      </c>
      <c r="N184" s="12">
        <f>IF(K184&lt;=L184,"CAPACITY","QUOTA")</f>
        <v/>
      </c>
      <c r="O184" s="12">
        <f>IF(K184&lt;=0,"RESERVATION_DEFICIT",IF(L184&lt;=0,"QUOTA_DEFICIT",IF(M184&lt;I184*0.5,"READY_WITH_RISK","READY")))</f>
        <v/>
      </c>
      <c r="P184" s="12" t="inlineStr"/>
    </row>
    <row r="185">
      <c r="A185" s="12" t="inlineStr">
        <is>
          <t>West Europe</t>
        </is>
      </c>
      <c r="B185" s="12" t="inlineStr">
        <is>
          <t>EU</t>
        </is>
      </c>
      <c r="C185" s="12" t="inlineStr">
        <is>
          <t>NonProd</t>
        </is>
      </c>
      <c r="D185" s="12" t="inlineStr">
        <is>
          <t>Standard_D8ads_v5</t>
        </is>
      </c>
      <c r="E185" s="12">
        <f>VLOOKUP(D185,SKU_Family_Map!$A:$B,2,FALSE)</f>
        <v/>
      </c>
      <c r="F185" s="12" t="inlineStr">
        <is>
          <t>crg-np-weu-reg</t>
        </is>
      </c>
      <c r="G185" s="16" t="n">
        <v>8</v>
      </c>
      <c r="H185" s="16" t="n">
        <v>7208</v>
      </c>
      <c r="I185" s="16" t="n">
        <v>865</v>
      </c>
      <c r="J185" s="16">
        <f>H185+I185</f>
        <v/>
      </c>
      <c r="K185" s="16">
        <f>J185-H185</f>
        <v/>
      </c>
      <c r="L185" s="16">
        <f>SUMIFS(Quota_Groups!$G:$G,Quota_Groups!$B:$B,A185,Quota_Groups!$D:$D,E185)</f>
        <v/>
      </c>
      <c r="M185" s="18">
        <f>MIN(K185,L185)</f>
        <v/>
      </c>
      <c r="N185" s="12">
        <f>IF(K185&lt;=L185,"CAPACITY","QUOTA")</f>
        <v/>
      </c>
      <c r="O185" s="12">
        <f>IF(K185&lt;=0,"RESERVATION_DEFICIT",IF(L185&lt;=0,"QUOTA_DEFICIT",IF(M185&lt;I185*0.5,"READY_WITH_RISK","READY")))</f>
        <v/>
      </c>
      <c r="P185" s="12" t="inlineStr"/>
    </row>
    <row r="186">
      <c r="A186" s="12" t="inlineStr">
        <is>
          <t>West Europe</t>
        </is>
      </c>
      <c r="B186" s="12" t="inlineStr">
        <is>
          <t>EU</t>
        </is>
      </c>
      <c r="C186" s="12" t="inlineStr">
        <is>
          <t>NonProd</t>
        </is>
      </c>
      <c r="D186" s="12" t="inlineStr">
        <is>
          <t>Standard_D16ads_v5</t>
        </is>
      </c>
      <c r="E186" s="12">
        <f>VLOOKUP(D186,SKU_Family_Map!$A:$B,2,FALSE)</f>
        <v/>
      </c>
      <c r="F186" s="12" t="inlineStr">
        <is>
          <t>crg-np-weu-reg</t>
        </is>
      </c>
      <c r="G186" s="16" t="n">
        <v>16</v>
      </c>
      <c r="H186" s="16" t="n">
        <v>1760</v>
      </c>
      <c r="I186" s="16" t="n">
        <v>211</v>
      </c>
      <c r="J186" s="16">
        <f>H186+I186</f>
        <v/>
      </c>
      <c r="K186" s="16">
        <f>J186-H186</f>
        <v/>
      </c>
      <c r="L186" s="16">
        <f>SUMIFS(Quota_Groups!$G:$G,Quota_Groups!$B:$B,A186,Quota_Groups!$D:$D,E186)</f>
        <v/>
      </c>
      <c r="M186" s="18">
        <f>MIN(K186,L186)</f>
        <v/>
      </c>
      <c r="N186" s="12">
        <f>IF(K186&lt;=L186,"CAPACITY","QUOTA")</f>
        <v/>
      </c>
      <c r="O186" s="12">
        <f>IF(K186&lt;=0,"RESERVATION_DEFICIT",IF(L186&lt;=0,"QUOTA_DEFICIT",IF(M186&lt;I186*0.5,"READY_WITH_RISK","READY")))</f>
        <v/>
      </c>
      <c r="P186" s="12" t="inlineStr"/>
    </row>
    <row r="187">
      <c r="A187" s="12" t="inlineStr">
        <is>
          <t>West Europe</t>
        </is>
      </c>
      <c r="B187" s="12" t="inlineStr">
        <is>
          <t>EU</t>
        </is>
      </c>
      <c r="C187" s="12" t="inlineStr">
        <is>
          <t>NonProd</t>
        </is>
      </c>
      <c r="D187" s="12" t="inlineStr">
        <is>
          <t>Standard_D8as_v5</t>
        </is>
      </c>
      <c r="E187" s="12">
        <f>VLOOKUP(D187,SKU_Family_Map!$A:$B,2,FALSE)</f>
        <v/>
      </c>
      <c r="F187" s="12" t="inlineStr">
        <is>
          <t>crg-np-weu-reg</t>
        </is>
      </c>
      <c r="G187" s="16" t="n">
        <v>8</v>
      </c>
      <c r="H187" s="16" t="n">
        <v>2568</v>
      </c>
      <c r="I187" s="16" t="n">
        <v>308</v>
      </c>
      <c r="J187" s="16">
        <f>H187+I187</f>
        <v/>
      </c>
      <c r="K187" s="16">
        <f>J187-H187</f>
        <v/>
      </c>
      <c r="L187" s="16">
        <f>SUMIFS(Quota_Groups!$G:$G,Quota_Groups!$B:$B,A187,Quota_Groups!$D:$D,E187)</f>
        <v/>
      </c>
      <c r="M187" s="18">
        <f>MIN(K187,L187)</f>
        <v/>
      </c>
      <c r="N187" s="12">
        <f>IF(K187&lt;=L187,"CAPACITY","QUOTA")</f>
        <v/>
      </c>
      <c r="O187" s="12">
        <f>IF(K187&lt;=0,"RESERVATION_DEFICIT",IF(L187&lt;=0,"QUOTA_DEFICIT",IF(M187&lt;I187*0.5,"READY_WITH_RISK","READY")))</f>
        <v/>
      </c>
      <c r="P187" s="12" t="inlineStr"/>
    </row>
    <row r="188">
      <c r="A188" s="12" t="inlineStr">
        <is>
          <t>West Europe</t>
        </is>
      </c>
      <c r="B188" s="12" t="inlineStr">
        <is>
          <t>EU</t>
        </is>
      </c>
      <c r="C188" s="12" t="inlineStr">
        <is>
          <t>NonProd</t>
        </is>
      </c>
      <c r="D188" s="12" t="inlineStr">
        <is>
          <t>Standard_D16as_v5</t>
        </is>
      </c>
      <c r="E188" s="12">
        <f>VLOOKUP(D188,SKU_Family_Map!$A:$B,2,FALSE)</f>
        <v/>
      </c>
      <c r="F188" s="12" t="inlineStr">
        <is>
          <t>crg-np-weu-reg</t>
        </is>
      </c>
      <c r="G188" s="16" t="n">
        <v>16</v>
      </c>
      <c r="H188" s="16" t="n">
        <v>1008</v>
      </c>
      <c r="I188" s="16" t="n">
        <v>121</v>
      </c>
      <c r="J188" s="16">
        <f>H188+I188</f>
        <v/>
      </c>
      <c r="K188" s="16">
        <f>J188-H188</f>
        <v/>
      </c>
      <c r="L188" s="16">
        <f>SUMIFS(Quota_Groups!$G:$G,Quota_Groups!$B:$B,A188,Quota_Groups!$D:$D,E188)</f>
        <v/>
      </c>
      <c r="M188" s="18">
        <f>MIN(K188,L188)</f>
        <v/>
      </c>
      <c r="N188" s="12">
        <f>IF(K188&lt;=L188,"CAPACITY","QUOTA")</f>
        <v/>
      </c>
      <c r="O188" s="12">
        <f>IF(K188&lt;=0,"RESERVATION_DEFICIT",IF(L188&lt;=0,"QUOTA_DEFICIT",IF(M188&lt;I188*0.5,"READY_WITH_RISK","READY")))</f>
        <v/>
      </c>
      <c r="P188" s="12" t="inlineStr"/>
    </row>
    <row r="189">
      <c r="A189" s="12" t="inlineStr">
        <is>
          <t>West Europe</t>
        </is>
      </c>
      <c r="B189" s="12" t="inlineStr">
        <is>
          <t>EU</t>
        </is>
      </c>
      <c r="C189" s="12" t="inlineStr">
        <is>
          <t>DR</t>
        </is>
      </c>
      <c r="D189" s="12" t="inlineStr">
        <is>
          <t>Standard_E32ads_v5</t>
        </is>
      </c>
      <c r="E189" s="12">
        <f>VLOOKUP(D189,SKU_Family_Map!$A:$B,2,FALSE)</f>
        <v/>
      </c>
      <c r="F189" s="12" t="inlineStr">
        <is>
          <t>crg-dr-weu-reg</t>
        </is>
      </c>
      <c r="G189" s="16" t="n">
        <v>32</v>
      </c>
      <c r="H189" s="16" t="n">
        <v>643</v>
      </c>
      <c r="I189" s="16" t="n">
        <v>77</v>
      </c>
      <c r="J189" s="16">
        <f>H189+I189</f>
        <v/>
      </c>
      <c r="K189" s="16">
        <f>J189-H189</f>
        <v/>
      </c>
      <c r="L189" s="16">
        <f>SUMIFS(Quota_Groups!$G:$G,Quota_Groups!$B:$B,A189,Quota_Groups!$D:$D,E189)</f>
        <v/>
      </c>
      <c r="M189" s="18">
        <f>MIN(K189,L189)</f>
        <v/>
      </c>
      <c r="N189" s="12">
        <f>IF(K189&lt;=L189,"CAPACITY","QUOTA")</f>
        <v/>
      </c>
      <c r="O189" s="12">
        <f>IF(K189&lt;=0,"RESERVATION_DEFICIT",IF(L189&lt;=0,"QUOTA_DEFICIT",IF(M189&lt;I189*0.5,"READY_WITH_RISK","READY")))</f>
        <v/>
      </c>
      <c r="P189" s="12" t="inlineStr"/>
    </row>
    <row r="190">
      <c r="A190" s="12" t="inlineStr">
        <is>
          <t>West Europe</t>
        </is>
      </c>
      <c r="B190" s="12" t="inlineStr">
        <is>
          <t>EU</t>
        </is>
      </c>
      <c r="C190" s="12" t="inlineStr">
        <is>
          <t>DR</t>
        </is>
      </c>
      <c r="D190" s="12" t="inlineStr">
        <is>
          <t>Standard_E64ads_v5</t>
        </is>
      </c>
      <c r="E190" s="12">
        <f>VLOOKUP(D190,SKU_Family_Map!$A:$B,2,FALSE)</f>
        <v/>
      </c>
      <c r="F190" s="12" t="inlineStr">
        <is>
          <t>crg-dr-weu-reg</t>
        </is>
      </c>
      <c r="G190" s="16" t="n">
        <v>64</v>
      </c>
      <c r="H190" s="16" t="n">
        <v>710</v>
      </c>
      <c r="I190" s="16" t="n">
        <v>85</v>
      </c>
      <c r="J190" s="16">
        <f>H190+I190</f>
        <v/>
      </c>
      <c r="K190" s="16">
        <f>J190-H190</f>
        <v/>
      </c>
      <c r="L190" s="16">
        <f>SUMIFS(Quota_Groups!$G:$G,Quota_Groups!$B:$B,A190,Quota_Groups!$D:$D,E190)</f>
        <v/>
      </c>
      <c r="M190" s="18">
        <f>MIN(K190,L190)</f>
        <v/>
      </c>
      <c r="N190" s="12">
        <f>IF(K190&lt;=L190,"CAPACITY","QUOTA")</f>
        <v/>
      </c>
      <c r="O190" s="12">
        <f>IF(K190&lt;=0,"RESERVATION_DEFICIT",IF(L190&lt;=0,"QUOTA_DEFICIT",IF(M190&lt;I190*0.5,"READY_WITH_RISK","READY")))</f>
        <v/>
      </c>
      <c r="P190" s="12" t="inlineStr"/>
    </row>
    <row r="191">
      <c r="A191" s="12" t="inlineStr">
        <is>
          <t>West Europe</t>
        </is>
      </c>
      <c r="B191" s="12" t="inlineStr">
        <is>
          <t>EU</t>
        </is>
      </c>
      <c r="C191" s="12" t="inlineStr">
        <is>
          <t>DR</t>
        </is>
      </c>
      <c r="D191" s="12" t="inlineStr">
        <is>
          <t>Standard_E16ads_v5</t>
        </is>
      </c>
      <c r="E191" s="12">
        <f>VLOOKUP(D191,SKU_Family_Map!$A:$B,2,FALSE)</f>
        <v/>
      </c>
      <c r="F191" s="12" t="inlineStr">
        <is>
          <t>crg-dr-weu-reg</t>
        </is>
      </c>
      <c r="G191" s="16" t="n">
        <v>16</v>
      </c>
      <c r="H191" s="16" t="n">
        <v>614</v>
      </c>
      <c r="I191" s="16" t="n">
        <v>74</v>
      </c>
      <c r="J191" s="16">
        <f>H191+I191</f>
        <v/>
      </c>
      <c r="K191" s="16">
        <f>J191-H191</f>
        <v/>
      </c>
      <c r="L191" s="16">
        <f>SUMIFS(Quota_Groups!$G:$G,Quota_Groups!$B:$B,A191,Quota_Groups!$D:$D,E191)</f>
        <v/>
      </c>
      <c r="M191" s="18">
        <f>MIN(K191,L191)</f>
        <v/>
      </c>
      <c r="N191" s="12">
        <f>IF(K191&lt;=L191,"CAPACITY","QUOTA")</f>
        <v/>
      </c>
      <c r="O191" s="12">
        <f>IF(K191&lt;=0,"RESERVATION_DEFICIT",IF(L191&lt;=0,"QUOTA_DEFICIT",IF(M191&lt;I191*0.5,"READY_WITH_RISK","READY")))</f>
        <v/>
      </c>
      <c r="P191" s="12" t="inlineStr"/>
    </row>
    <row r="192">
      <c r="A192" s="12" t="inlineStr">
        <is>
          <t>West Europe</t>
        </is>
      </c>
      <c r="B192" s="12" t="inlineStr">
        <is>
          <t>EU</t>
        </is>
      </c>
      <c r="C192" s="12" t="inlineStr">
        <is>
          <t>DR</t>
        </is>
      </c>
      <c r="D192" s="12" t="inlineStr">
        <is>
          <t>Standard_E32ads_v6</t>
        </is>
      </c>
      <c r="E192" s="12">
        <f>VLOOKUP(D192,SKU_Family_Map!$A:$B,2,FALSE)</f>
        <v/>
      </c>
      <c r="F192" s="12" t="inlineStr">
        <is>
          <t>crg-dr-weu-reg</t>
        </is>
      </c>
      <c r="G192" s="16" t="n">
        <v>32</v>
      </c>
      <c r="H192" s="16" t="n">
        <v>1344</v>
      </c>
      <c r="I192" s="16" t="n">
        <v>161</v>
      </c>
      <c r="J192" s="16">
        <f>H192+I192</f>
        <v/>
      </c>
      <c r="K192" s="16">
        <f>J192-H192</f>
        <v/>
      </c>
      <c r="L192" s="16">
        <f>SUMIFS(Quota_Groups!$G:$G,Quota_Groups!$B:$B,A192,Quota_Groups!$D:$D,E192)</f>
        <v/>
      </c>
      <c r="M192" s="18">
        <f>MIN(K192,L192)</f>
        <v/>
      </c>
      <c r="N192" s="12">
        <f>IF(K192&lt;=L192,"CAPACITY","QUOTA")</f>
        <v/>
      </c>
      <c r="O192" s="12">
        <f>IF(K192&lt;=0,"RESERVATION_DEFICIT",IF(L192&lt;=0,"QUOTA_DEFICIT",IF(M192&lt;I192*0.5,"READY_WITH_RISK","READY")))</f>
        <v/>
      </c>
      <c r="P192" s="12" t="inlineStr"/>
    </row>
    <row r="193">
      <c r="A193" s="12" t="inlineStr">
        <is>
          <t>West Europe</t>
        </is>
      </c>
      <c r="B193" s="12" t="inlineStr">
        <is>
          <t>EU</t>
        </is>
      </c>
      <c r="C193" s="12" t="inlineStr">
        <is>
          <t>DR</t>
        </is>
      </c>
      <c r="D193" s="12" t="inlineStr">
        <is>
          <t>Standard_D8ads_v5</t>
        </is>
      </c>
      <c r="E193" s="12">
        <f>VLOOKUP(D193,SKU_Family_Map!$A:$B,2,FALSE)</f>
        <v/>
      </c>
      <c r="F193" s="12" t="inlineStr">
        <is>
          <t>crg-dr-weu-reg</t>
        </is>
      </c>
      <c r="G193" s="16" t="n">
        <v>8</v>
      </c>
      <c r="H193" s="16" t="n">
        <v>1373</v>
      </c>
      <c r="I193" s="16" t="n">
        <v>165</v>
      </c>
      <c r="J193" s="16">
        <f>H193+I193</f>
        <v/>
      </c>
      <c r="K193" s="16">
        <f>J193-H193</f>
        <v/>
      </c>
      <c r="L193" s="16">
        <f>SUMIFS(Quota_Groups!$G:$G,Quota_Groups!$B:$B,A193,Quota_Groups!$D:$D,E193)</f>
        <v/>
      </c>
      <c r="M193" s="18">
        <f>MIN(K193,L193)</f>
        <v/>
      </c>
      <c r="N193" s="12">
        <f>IF(K193&lt;=L193,"CAPACITY","QUOTA")</f>
        <v/>
      </c>
      <c r="O193" s="12">
        <f>IF(K193&lt;=0,"RESERVATION_DEFICIT",IF(L193&lt;=0,"QUOTA_DEFICIT",IF(M193&lt;I193*0.5,"READY_WITH_RISK","READY")))</f>
        <v/>
      </c>
      <c r="P193" s="12" t="inlineStr"/>
    </row>
    <row r="194">
      <c r="A194" s="12" t="inlineStr">
        <is>
          <t>West Europe</t>
        </is>
      </c>
      <c r="B194" s="12" t="inlineStr">
        <is>
          <t>EU</t>
        </is>
      </c>
      <c r="C194" s="12" t="inlineStr">
        <is>
          <t>DR</t>
        </is>
      </c>
      <c r="D194" s="12" t="inlineStr">
        <is>
          <t>Standard_D16ads_v5</t>
        </is>
      </c>
      <c r="E194" s="12">
        <f>VLOOKUP(D194,SKU_Family_Map!$A:$B,2,FALSE)</f>
        <v/>
      </c>
      <c r="F194" s="12" t="inlineStr">
        <is>
          <t>crg-dr-weu-reg</t>
        </is>
      </c>
      <c r="G194" s="16" t="n">
        <v>16</v>
      </c>
      <c r="H194" s="16" t="n">
        <v>667</v>
      </c>
      <c r="I194" s="16" t="n">
        <v>80</v>
      </c>
      <c r="J194" s="16">
        <f>H194+I194</f>
        <v/>
      </c>
      <c r="K194" s="16">
        <f>J194-H194</f>
        <v/>
      </c>
      <c r="L194" s="16">
        <f>SUMIFS(Quota_Groups!$G:$G,Quota_Groups!$B:$B,A194,Quota_Groups!$D:$D,E194)</f>
        <v/>
      </c>
      <c r="M194" s="18">
        <f>MIN(K194,L194)</f>
        <v/>
      </c>
      <c r="N194" s="12">
        <f>IF(K194&lt;=L194,"CAPACITY","QUOTA")</f>
        <v/>
      </c>
      <c r="O194" s="12">
        <f>IF(K194&lt;=0,"RESERVATION_DEFICIT",IF(L194&lt;=0,"QUOTA_DEFICIT",IF(M194&lt;I194*0.5,"READY_WITH_RISK","READY")))</f>
        <v/>
      </c>
      <c r="P194" s="12" t="inlineStr"/>
    </row>
    <row r="195">
      <c r="A195" s="12" t="inlineStr">
        <is>
          <t>West Europe</t>
        </is>
      </c>
      <c r="B195" s="12" t="inlineStr">
        <is>
          <t>EU</t>
        </is>
      </c>
      <c r="C195" s="12" t="inlineStr">
        <is>
          <t>DR</t>
        </is>
      </c>
      <c r="D195" s="12" t="inlineStr">
        <is>
          <t>Standard_D8as_v5</t>
        </is>
      </c>
      <c r="E195" s="12">
        <f>VLOOKUP(D195,SKU_Family_Map!$A:$B,2,FALSE)</f>
        <v/>
      </c>
      <c r="F195" s="12" t="inlineStr">
        <is>
          <t>crg-dr-weu-reg</t>
        </is>
      </c>
      <c r="G195" s="16" t="n">
        <v>8</v>
      </c>
      <c r="H195" s="16" t="n">
        <v>1181</v>
      </c>
      <c r="I195" s="16" t="n">
        <v>142</v>
      </c>
      <c r="J195" s="16">
        <f>H195+I195</f>
        <v/>
      </c>
      <c r="K195" s="16">
        <f>J195-H195</f>
        <v/>
      </c>
      <c r="L195" s="16">
        <f>SUMIFS(Quota_Groups!$G:$G,Quota_Groups!$B:$B,A195,Quota_Groups!$D:$D,E195)</f>
        <v/>
      </c>
      <c r="M195" s="18">
        <f>MIN(K195,L195)</f>
        <v/>
      </c>
      <c r="N195" s="12">
        <f>IF(K195&lt;=L195,"CAPACITY","QUOTA")</f>
        <v/>
      </c>
      <c r="O195" s="12">
        <f>IF(K195&lt;=0,"RESERVATION_DEFICIT",IF(L195&lt;=0,"QUOTA_DEFICIT",IF(M195&lt;I195*0.5,"READY_WITH_RISK","READY")))</f>
        <v/>
      </c>
      <c r="P195" s="12" t="inlineStr"/>
    </row>
    <row r="196">
      <c r="A196" s="12" t="inlineStr">
        <is>
          <t>West Europe</t>
        </is>
      </c>
      <c r="B196" s="12" t="inlineStr">
        <is>
          <t>EU</t>
        </is>
      </c>
      <c r="C196" s="12" t="inlineStr">
        <is>
          <t>DR</t>
        </is>
      </c>
      <c r="D196" s="12" t="inlineStr">
        <is>
          <t>Standard_D16as_v5</t>
        </is>
      </c>
      <c r="E196" s="12">
        <f>VLOOKUP(D196,SKU_Family_Map!$A:$B,2,FALSE)</f>
        <v/>
      </c>
      <c r="F196" s="12" t="inlineStr">
        <is>
          <t>crg-dr-weu-reg</t>
        </is>
      </c>
      <c r="G196" s="16" t="n">
        <v>16</v>
      </c>
      <c r="H196" s="16" t="n">
        <v>389</v>
      </c>
      <c r="I196" s="16" t="n">
        <v>47</v>
      </c>
      <c r="J196" s="16">
        <f>H196+I196</f>
        <v/>
      </c>
      <c r="K196" s="16">
        <f>J196-H196</f>
        <v/>
      </c>
      <c r="L196" s="16">
        <f>SUMIFS(Quota_Groups!$G:$G,Quota_Groups!$B:$B,A196,Quota_Groups!$D:$D,E196)</f>
        <v/>
      </c>
      <c r="M196" s="18">
        <f>MIN(K196,L196)</f>
        <v/>
      </c>
      <c r="N196" s="12">
        <f>IF(K196&lt;=L196,"CAPACITY","QUOTA")</f>
        <v/>
      </c>
      <c r="O196" s="12">
        <f>IF(K196&lt;=0,"RESERVATION_DEFICIT",IF(L196&lt;=0,"QUOTA_DEFICIT",IF(M196&lt;I196*0.5,"READY_WITH_RISK","READY")))</f>
        <v/>
      </c>
      <c r="P196" s="12" t="inlineStr"/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4" customWidth="1" min="4" max="4"/>
    <col width="18" customWidth="1" min="5" max="5"/>
    <col width="18" customWidth="1" min="6" max="6"/>
    <col width="16" customWidth="1" min="7" max="7"/>
    <col width="14" customWidth="1" min="8" max="8"/>
    <col width="14" customWidth="1" min="9" max="9"/>
    <col width="8" customWidth="1" min="10" max="10"/>
  </cols>
  <sheetData>
    <row r="1">
      <c r="A1" s="5" t="inlineStr">
        <is>
          <t>QUOTA GROUPS  —  ONE pooled group per Region x Family (QUA-002/003/004)</t>
        </is>
      </c>
    </row>
    <row r="2">
      <c r="A2" s="6" t="inlineStr">
        <is>
          <t>Quota plane. ONE governed group per region+family, POOLED across Prod+NonProd+DR (QUA-004); hoarded, distributed on demand (QUA-003).</t>
        </is>
      </c>
    </row>
    <row r="3">
      <c r="A3" s="15" t="inlineStr">
        <is>
          <t>Quota Group</t>
        </is>
      </c>
      <c r="B3" s="15" t="inlineStr">
        <is>
          <t>Region</t>
        </is>
      </c>
      <c r="C3" s="15" t="inlineStr">
        <is>
          <t>Geography</t>
        </is>
      </c>
      <c r="D3" s="15" t="inlineStr">
        <is>
          <t>Quota Family</t>
        </is>
      </c>
      <c r="E3" s="15" t="inlineStr">
        <is>
          <t>Group Limit (pooled)</t>
        </is>
      </c>
      <c r="F3" s="15" t="inlineStr">
        <is>
          <t>Group Used (all envs)</t>
        </is>
      </c>
      <c r="G3" s="15" t="inlineStr">
        <is>
          <t>Group Available</t>
        </is>
      </c>
      <c r="H3" s="15" t="inlineStr">
        <is>
          <t>Hoarded Contrib</t>
        </is>
      </c>
      <c r="I3" s="15" t="inlineStr">
        <is>
          <t>Pending Increase</t>
        </is>
      </c>
      <c r="J3" s="15" t="inlineStr">
        <is>
          <t>Notes</t>
        </is>
      </c>
    </row>
    <row r="4">
      <c r="A4" s="12" t="inlineStr">
        <is>
          <t>qg-wus3-eadsv5</t>
        </is>
      </c>
      <c r="B4" s="12" t="inlineStr">
        <is>
          <t>West US 3</t>
        </is>
      </c>
      <c r="C4" s="12" t="inlineStr">
        <is>
          <t>US</t>
        </is>
      </c>
      <c r="D4" s="12" t="inlineStr">
        <is>
          <t>Eadsv5</t>
        </is>
      </c>
      <c r="E4" s="16" t="n">
        <v>0</v>
      </c>
      <c r="F4" s="16">
        <f>SUMIFS(Capacity_By_SKU!$H:$H,Capacity_By_SKU!$A:$A,B4,Capacity_By_SKU!$E:$E,D4)</f>
        <v/>
      </c>
      <c r="G4" s="19">
        <f>E4-F4</f>
        <v/>
      </c>
      <c r="H4" s="16" t="n">
        <v>0</v>
      </c>
      <c r="I4" s="16" t="n">
        <v>0</v>
      </c>
      <c r="J4" s="12" t="inlineStr"/>
    </row>
    <row r="5">
      <c r="A5" s="12" t="inlineStr">
        <is>
          <t>qg-wus3-eadsv6</t>
        </is>
      </c>
      <c r="B5" s="12" t="inlineStr">
        <is>
          <t>West US 3</t>
        </is>
      </c>
      <c r="C5" s="12" t="inlineStr">
        <is>
          <t>US</t>
        </is>
      </c>
      <c r="D5" s="12" t="inlineStr">
        <is>
          <t>Eadsv6</t>
        </is>
      </c>
      <c r="E5" s="16" t="n">
        <v>0</v>
      </c>
      <c r="F5" s="16">
        <f>SUMIFS(Capacity_By_SKU!$H:$H,Capacity_By_SKU!$A:$A,B5,Capacity_By_SKU!$E:$E,D5)</f>
        <v/>
      </c>
      <c r="G5" s="19">
        <f>E5-F5</f>
        <v/>
      </c>
      <c r="H5" s="16" t="n">
        <v>0</v>
      </c>
      <c r="I5" s="16" t="n">
        <v>0</v>
      </c>
      <c r="J5" s="12" t="inlineStr"/>
    </row>
    <row r="6">
      <c r="A6" s="12" t="inlineStr">
        <is>
          <t>qg-wus3-dadsv5</t>
        </is>
      </c>
      <c r="B6" s="12" t="inlineStr">
        <is>
          <t>West US 3</t>
        </is>
      </c>
      <c r="C6" s="12" t="inlineStr">
        <is>
          <t>US</t>
        </is>
      </c>
      <c r="D6" s="12" t="inlineStr">
        <is>
          <t>Dadsv5</t>
        </is>
      </c>
      <c r="E6" s="16" t="n">
        <v>0</v>
      </c>
      <c r="F6" s="16">
        <f>SUMIFS(Capacity_By_SKU!$H:$H,Capacity_By_SKU!$A:$A,B6,Capacity_By_SKU!$E:$E,D6)</f>
        <v/>
      </c>
      <c r="G6" s="19">
        <f>E6-F6</f>
        <v/>
      </c>
      <c r="H6" s="16" t="n">
        <v>0</v>
      </c>
      <c r="I6" s="16" t="n">
        <v>0</v>
      </c>
      <c r="J6" s="12" t="inlineStr"/>
    </row>
    <row r="7">
      <c r="A7" s="12" t="inlineStr">
        <is>
          <t>qg-wus3-dasv5</t>
        </is>
      </c>
      <c r="B7" s="12" t="inlineStr">
        <is>
          <t>West US 3</t>
        </is>
      </c>
      <c r="C7" s="12" t="inlineStr">
        <is>
          <t>US</t>
        </is>
      </c>
      <c r="D7" s="12" t="inlineStr">
        <is>
          <t>Dasv5</t>
        </is>
      </c>
      <c r="E7" s="16" t="n">
        <v>0</v>
      </c>
      <c r="F7" s="16">
        <f>SUMIFS(Capacity_By_SKU!$H:$H,Capacity_By_SKU!$A:$A,B7,Capacity_By_SKU!$E:$E,D7)</f>
        <v/>
      </c>
      <c r="G7" s="19">
        <f>E7-F7</f>
        <v/>
      </c>
      <c r="H7" s="16" t="n">
        <v>0</v>
      </c>
      <c r="I7" s="16" t="n">
        <v>0</v>
      </c>
      <c r="J7" s="12" t="inlineStr"/>
    </row>
    <row r="8">
      <c r="A8" s="12" t="inlineStr">
        <is>
          <t>qg-cus-eadsv5</t>
        </is>
      </c>
      <c r="B8" s="12" t="inlineStr">
        <is>
          <t>Central US</t>
        </is>
      </c>
      <c r="C8" s="12" t="inlineStr">
        <is>
          <t>US</t>
        </is>
      </c>
      <c r="D8" s="12" t="inlineStr">
        <is>
          <t>Eadsv5</t>
        </is>
      </c>
      <c r="E8" s="16" t="n">
        <v>11505</v>
      </c>
      <c r="F8" s="16">
        <f>SUMIFS(Capacity_By_SKU!$H:$H,Capacity_By_SKU!$A:$A,B8,Capacity_By_SKU!$E:$E,D8)</f>
        <v/>
      </c>
      <c r="G8" s="19">
        <f>E8-F8</f>
        <v/>
      </c>
      <c r="H8" s="16" t="n">
        <v>1150</v>
      </c>
      <c r="I8" s="16" t="n">
        <v>0</v>
      </c>
      <c r="J8" s="12" t="inlineStr"/>
    </row>
    <row r="9">
      <c r="A9" s="12" t="inlineStr">
        <is>
          <t>qg-cus-eadsv6</t>
        </is>
      </c>
      <c r="B9" s="12" t="inlineStr">
        <is>
          <t>Central US</t>
        </is>
      </c>
      <c r="C9" s="12" t="inlineStr">
        <is>
          <t>US</t>
        </is>
      </c>
      <c r="D9" s="12" t="inlineStr">
        <is>
          <t>Eadsv6</t>
        </is>
      </c>
      <c r="E9" s="16" t="n">
        <v>1208</v>
      </c>
      <c r="F9" s="16">
        <f>SUMIFS(Capacity_By_SKU!$H:$H,Capacity_By_SKU!$A:$A,B9,Capacity_By_SKU!$E:$E,D9)</f>
        <v/>
      </c>
      <c r="G9" s="19">
        <f>E9-F9</f>
        <v/>
      </c>
      <c r="H9" s="16" t="n">
        <v>121</v>
      </c>
      <c r="I9" s="16" t="n">
        <v>0</v>
      </c>
      <c r="J9" s="12" t="inlineStr"/>
    </row>
    <row r="10">
      <c r="A10" s="12" t="inlineStr">
        <is>
          <t>qg-cus-dadsv5</t>
        </is>
      </c>
      <c r="B10" s="12" t="inlineStr">
        <is>
          <t>Central US</t>
        </is>
      </c>
      <c r="C10" s="12" t="inlineStr">
        <is>
          <t>US</t>
        </is>
      </c>
      <c r="D10" s="12" t="inlineStr">
        <is>
          <t>Dadsv5</t>
        </is>
      </c>
      <c r="E10" s="16" t="n">
        <v>6199</v>
      </c>
      <c r="F10" s="16">
        <f>SUMIFS(Capacity_By_SKU!$H:$H,Capacity_By_SKU!$A:$A,B10,Capacity_By_SKU!$E:$E,D10)</f>
        <v/>
      </c>
      <c r="G10" s="19">
        <f>E10-F10</f>
        <v/>
      </c>
      <c r="H10" s="16" t="n">
        <v>620</v>
      </c>
      <c r="I10" s="16" t="n">
        <v>0</v>
      </c>
      <c r="J10" s="12" t="inlineStr"/>
    </row>
    <row r="11">
      <c r="A11" s="12" t="inlineStr">
        <is>
          <t>qg-cus-dasv5</t>
        </is>
      </c>
      <c r="B11" s="12" t="inlineStr">
        <is>
          <t>Central US</t>
        </is>
      </c>
      <c r="C11" s="12" t="inlineStr">
        <is>
          <t>US</t>
        </is>
      </c>
      <c r="D11" s="12" t="inlineStr">
        <is>
          <t>Dasv5</t>
        </is>
      </c>
      <c r="E11" s="16" t="n">
        <v>19012</v>
      </c>
      <c r="F11" s="16">
        <f>SUMIFS(Capacity_By_SKU!$H:$H,Capacity_By_SKU!$A:$A,B11,Capacity_By_SKU!$E:$E,D11)</f>
        <v/>
      </c>
      <c r="G11" s="19">
        <f>E11-F11</f>
        <v/>
      </c>
      <c r="H11" s="16" t="n">
        <v>1901</v>
      </c>
      <c r="I11" s="16" t="n">
        <v>0</v>
      </c>
      <c r="J11" s="12" t="inlineStr"/>
    </row>
    <row r="12">
      <c r="A12" s="12" t="inlineStr">
        <is>
          <t>qg-cac-eadsv5</t>
        </is>
      </c>
      <c r="B12" s="12" t="inlineStr">
        <is>
          <t>Canada Central</t>
        </is>
      </c>
      <c r="C12" s="12" t="inlineStr">
        <is>
          <t>US</t>
        </is>
      </c>
      <c r="D12" s="12" t="inlineStr">
        <is>
          <t>Eadsv5</t>
        </is>
      </c>
      <c r="E12" s="16" t="n">
        <v>32818</v>
      </c>
      <c r="F12" s="16">
        <f>SUMIFS(Capacity_By_SKU!$H:$H,Capacity_By_SKU!$A:$A,B12,Capacity_By_SKU!$E:$E,D12)</f>
        <v/>
      </c>
      <c r="G12" s="19">
        <f>E12-F12</f>
        <v/>
      </c>
      <c r="H12" s="16" t="n">
        <v>3282</v>
      </c>
      <c r="I12" s="16" t="n">
        <v>0</v>
      </c>
      <c r="J12" s="12" t="inlineStr">
        <is>
          <t>mock</t>
        </is>
      </c>
    </row>
    <row r="13">
      <c r="A13" s="12" t="inlineStr">
        <is>
          <t>qg-cac-eadsv6</t>
        </is>
      </c>
      <c r="B13" s="12" t="inlineStr">
        <is>
          <t>Canada Central</t>
        </is>
      </c>
      <c r="C13" s="12" t="inlineStr">
        <is>
          <t>US</t>
        </is>
      </c>
      <c r="D13" s="12" t="inlineStr">
        <is>
          <t>Eadsv6</t>
        </is>
      </c>
      <c r="E13" s="16" t="n">
        <v>9304</v>
      </c>
      <c r="F13" s="16">
        <f>SUMIFS(Capacity_By_SKU!$H:$H,Capacity_By_SKU!$A:$A,B13,Capacity_By_SKU!$E:$E,D13)</f>
        <v/>
      </c>
      <c r="G13" s="19">
        <f>E13-F13</f>
        <v/>
      </c>
      <c r="H13" s="16" t="n">
        <v>930</v>
      </c>
      <c r="I13" s="16" t="n">
        <v>0</v>
      </c>
      <c r="J13" s="12" t="inlineStr">
        <is>
          <t>mock</t>
        </is>
      </c>
    </row>
    <row r="14">
      <c r="A14" s="12" t="inlineStr">
        <is>
          <t>qg-cac-dadsv5</t>
        </is>
      </c>
      <c r="B14" s="12" t="inlineStr">
        <is>
          <t>Canada Central</t>
        </is>
      </c>
      <c r="C14" s="12" t="inlineStr">
        <is>
          <t>US</t>
        </is>
      </c>
      <c r="D14" s="12" t="inlineStr">
        <is>
          <t>Dadsv5</t>
        </is>
      </c>
      <c r="E14" s="16" t="n">
        <v>10574</v>
      </c>
      <c r="F14" s="16">
        <f>SUMIFS(Capacity_By_SKU!$H:$H,Capacity_By_SKU!$A:$A,B14,Capacity_By_SKU!$E:$E,D14)</f>
        <v/>
      </c>
      <c r="G14" s="19">
        <f>E14-F14</f>
        <v/>
      </c>
      <c r="H14" s="16" t="n">
        <v>1057</v>
      </c>
      <c r="I14" s="16" t="n">
        <v>0</v>
      </c>
      <c r="J14" s="12" t="inlineStr">
        <is>
          <t>mock</t>
        </is>
      </c>
    </row>
    <row r="15">
      <c r="A15" s="12" t="inlineStr">
        <is>
          <t>qg-cac-dasv5</t>
        </is>
      </c>
      <c r="B15" s="12" t="inlineStr">
        <is>
          <t>Canada Central</t>
        </is>
      </c>
      <c r="C15" s="12" t="inlineStr">
        <is>
          <t>US</t>
        </is>
      </c>
      <c r="D15" s="12" t="inlineStr">
        <is>
          <t>Dasv5</t>
        </is>
      </c>
      <c r="E15" s="16" t="n">
        <v>11567</v>
      </c>
      <c r="F15" s="16">
        <f>SUMIFS(Capacity_By_SKU!$H:$H,Capacity_By_SKU!$A:$A,B15,Capacity_By_SKU!$E:$E,D15)</f>
        <v/>
      </c>
      <c r="G15" s="19">
        <f>E15-F15</f>
        <v/>
      </c>
      <c r="H15" s="16" t="n">
        <v>1157</v>
      </c>
      <c r="I15" s="16" t="n">
        <v>0</v>
      </c>
      <c r="J15" s="12" t="inlineStr">
        <is>
          <t>mock</t>
        </is>
      </c>
    </row>
    <row r="16">
      <c r="A16" s="12" t="inlineStr">
        <is>
          <t>qg-eus2-eadsv5</t>
        </is>
      </c>
      <c r="B16" s="12" t="inlineStr">
        <is>
          <t>East US 2</t>
        </is>
      </c>
      <c r="C16" s="12" t="inlineStr">
        <is>
          <t>US</t>
        </is>
      </c>
      <c r="D16" s="12" t="inlineStr">
        <is>
          <t>Eadsv5</t>
        </is>
      </c>
      <c r="E16" s="16" t="n">
        <v>185410</v>
      </c>
      <c r="F16" s="16">
        <f>SUMIFS(Capacity_By_SKU!$H:$H,Capacity_By_SKU!$A:$A,B16,Capacity_By_SKU!$E:$E,D16)</f>
        <v/>
      </c>
      <c r="G16" s="19">
        <f>E16-F16</f>
        <v/>
      </c>
      <c r="H16" s="16" t="n">
        <v>18541</v>
      </c>
      <c r="I16" s="16" t="n">
        <v>0</v>
      </c>
      <c r="J16" s="12" t="inlineStr"/>
    </row>
    <row r="17">
      <c r="A17" s="12" t="inlineStr">
        <is>
          <t>qg-eus2-eadsv6</t>
        </is>
      </c>
      <c r="B17" s="12" t="inlineStr">
        <is>
          <t>East US 2</t>
        </is>
      </c>
      <c r="C17" s="12" t="inlineStr">
        <is>
          <t>US</t>
        </is>
      </c>
      <c r="D17" s="12" t="inlineStr">
        <is>
          <t>Eadsv6</t>
        </is>
      </c>
      <c r="E17" s="16" t="n">
        <v>54611</v>
      </c>
      <c r="F17" s="16">
        <f>SUMIFS(Capacity_By_SKU!$H:$H,Capacity_By_SKU!$A:$A,B17,Capacity_By_SKU!$E:$E,D17)</f>
        <v/>
      </c>
      <c r="G17" s="19">
        <f>E17-F17</f>
        <v/>
      </c>
      <c r="H17" s="16" t="n">
        <v>5461</v>
      </c>
      <c r="I17" s="16" t="n">
        <v>0</v>
      </c>
      <c r="J17" s="12" t="inlineStr"/>
    </row>
    <row r="18">
      <c r="A18" s="12" t="inlineStr">
        <is>
          <t>qg-eus2-dadsv5</t>
        </is>
      </c>
      <c r="B18" s="12" t="inlineStr">
        <is>
          <t>East US 2</t>
        </is>
      </c>
      <c r="C18" s="12" t="inlineStr">
        <is>
          <t>US</t>
        </is>
      </c>
      <c r="D18" s="12" t="inlineStr">
        <is>
          <t>Dadsv5</t>
        </is>
      </c>
      <c r="E18" s="16" t="n">
        <v>57240</v>
      </c>
      <c r="F18" s="16">
        <f>SUMIFS(Capacity_By_SKU!$H:$H,Capacity_By_SKU!$A:$A,B18,Capacity_By_SKU!$E:$E,D18)</f>
        <v/>
      </c>
      <c r="G18" s="19">
        <f>E18-F18</f>
        <v/>
      </c>
      <c r="H18" s="16" t="n">
        <v>5724</v>
      </c>
      <c r="I18" s="16" t="n">
        <v>0</v>
      </c>
      <c r="J18" s="12" t="inlineStr"/>
    </row>
    <row r="19">
      <c r="A19" s="12" t="inlineStr">
        <is>
          <t>qg-eus2-dasv5</t>
        </is>
      </c>
      <c r="B19" s="12" t="inlineStr">
        <is>
          <t>East US 2</t>
        </is>
      </c>
      <c r="C19" s="12" t="inlineStr">
        <is>
          <t>US</t>
        </is>
      </c>
      <c r="D19" s="12" t="inlineStr">
        <is>
          <t>Dasv5</t>
        </is>
      </c>
      <c r="E19" s="16" t="n">
        <v>50385</v>
      </c>
      <c r="F19" s="16">
        <f>SUMIFS(Capacity_By_SKU!$H:$H,Capacity_By_SKU!$A:$A,B19,Capacity_By_SKU!$E:$E,D19)</f>
        <v/>
      </c>
      <c r="G19" s="19">
        <f>E19-F19</f>
        <v/>
      </c>
      <c r="H19" s="16" t="n">
        <v>5038</v>
      </c>
      <c r="I19" s="16" t="n">
        <v>0</v>
      </c>
      <c r="J19" s="12" t="inlineStr"/>
    </row>
    <row r="20">
      <c r="A20" s="12" t="inlineStr">
        <is>
          <t>qg-chn-eadsv5</t>
        </is>
      </c>
      <c r="B20" s="12" t="inlineStr">
        <is>
          <t>Switzerland North</t>
        </is>
      </c>
      <c r="C20" s="12" t="inlineStr">
        <is>
          <t>EU</t>
        </is>
      </c>
      <c r="D20" s="12" t="inlineStr">
        <is>
          <t>Eadsv5</t>
        </is>
      </c>
      <c r="E20" s="16" t="n">
        <v>0</v>
      </c>
      <c r="F20" s="16">
        <f>SUMIFS(Capacity_By_SKU!$H:$H,Capacity_By_SKU!$A:$A,B20,Capacity_By_SKU!$E:$E,D20)</f>
        <v/>
      </c>
      <c r="G20" s="19">
        <f>E20-F20</f>
        <v/>
      </c>
      <c r="H20" s="16" t="n">
        <v>0</v>
      </c>
      <c r="I20" s="16" t="n">
        <v>0</v>
      </c>
      <c r="J20" s="12" t="inlineStr"/>
    </row>
    <row r="21">
      <c r="A21" s="12" t="inlineStr">
        <is>
          <t>qg-chn-eadsv6</t>
        </is>
      </c>
      <c r="B21" s="12" t="inlineStr">
        <is>
          <t>Switzerland North</t>
        </is>
      </c>
      <c r="C21" s="12" t="inlineStr">
        <is>
          <t>EU</t>
        </is>
      </c>
      <c r="D21" s="12" t="inlineStr">
        <is>
          <t>Eadsv6</t>
        </is>
      </c>
      <c r="E21" s="16" t="n">
        <v>1524</v>
      </c>
      <c r="F21" s="16">
        <f>SUMIFS(Capacity_By_SKU!$H:$H,Capacity_By_SKU!$A:$A,B21,Capacity_By_SKU!$E:$E,D21)</f>
        <v/>
      </c>
      <c r="G21" s="19">
        <f>E21-F21</f>
        <v/>
      </c>
      <c r="H21" s="16" t="n">
        <v>152</v>
      </c>
      <c r="I21" s="16" t="n">
        <v>0</v>
      </c>
      <c r="J21" s="12" t="inlineStr"/>
    </row>
    <row r="22">
      <c r="A22" s="12" t="inlineStr">
        <is>
          <t>qg-chn-dadsv5</t>
        </is>
      </c>
      <c r="B22" s="12" t="inlineStr">
        <is>
          <t>Switzerland North</t>
        </is>
      </c>
      <c r="C22" s="12" t="inlineStr">
        <is>
          <t>EU</t>
        </is>
      </c>
      <c r="D22" s="12" t="inlineStr">
        <is>
          <t>Dadsv5</t>
        </is>
      </c>
      <c r="E22" s="16" t="n">
        <v>0</v>
      </c>
      <c r="F22" s="16">
        <f>SUMIFS(Capacity_By_SKU!$H:$H,Capacity_By_SKU!$A:$A,B22,Capacity_By_SKU!$E:$E,D22)</f>
        <v/>
      </c>
      <c r="G22" s="19">
        <f>E22-F22</f>
        <v/>
      </c>
      <c r="H22" s="16" t="n">
        <v>0</v>
      </c>
      <c r="I22" s="16" t="n">
        <v>0</v>
      </c>
      <c r="J22" s="12" t="inlineStr"/>
    </row>
    <row r="23">
      <c r="A23" s="12" t="inlineStr">
        <is>
          <t>qg-chn-dasv5</t>
        </is>
      </c>
      <c r="B23" s="12" t="inlineStr">
        <is>
          <t>Switzerland North</t>
        </is>
      </c>
      <c r="C23" s="12" t="inlineStr">
        <is>
          <t>EU</t>
        </is>
      </c>
      <c r="D23" s="12" t="inlineStr">
        <is>
          <t>Dasv5</t>
        </is>
      </c>
      <c r="E23" s="16" t="n">
        <v>0</v>
      </c>
      <c r="F23" s="16">
        <f>SUMIFS(Capacity_By_SKU!$H:$H,Capacity_By_SKU!$A:$A,B23,Capacity_By_SKU!$E:$E,D23)</f>
        <v/>
      </c>
      <c r="G23" s="19">
        <f>E23-F23</f>
        <v/>
      </c>
      <c r="H23" s="16" t="n">
        <v>0</v>
      </c>
      <c r="I23" s="16" t="n">
        <v>0</v>
      </c>
      <c r="J23" s="12" t="inlineStr"/>
    </row>
    <row r="24">
      <c r="A24" s="12" t="inlineStr">
        <is>
          <t>qg-sec-eadsv5</t>
        </is>
      </c>
      <c r="B24" s="12" t="inlineStr">
        <is>
          <t>Sweden Central</t>
        </is>
      </c>
      <c r="C24" s="12" t="inlineStr">
        <is>
          <t>EU</t>
        </is>
      </c>
      <c r="D24" s="12" t="inlineStr">
        <is>
          <t>Eadsv5</t>
        </is>
      </c>
      <c r="E24" s="16" t="n">
        <v>386</v>
      </c>
      <c r="F24" s="16">
        <f>SUMIFS(Capacity_By_SKU!$H:$H,Capacity_By_SKU!$A:$A,B24,Capacity_By_SKU!$E:$E,D24)</f>
        <v/>
      </c>
      <c r="G24" s="19">
        <f>E24-F24</f>
        <v/>
      </c>
      <c r="H24" s="16" t="n">
        <v>39</v>
      </c>
      <c r="I24" s="16" t="n">
        <v>0</v>
      </c>
      <c r="J24" s="12" t="inlineStr"/>
    </row>
    <row r="25">
      <c r="A25" s="12" t="inlineStr">
        <is>
          <t>qg-sec-eadsv6</t>
        </is>
      </c>
      <c r="B25" s="12" t="inlineStr">
        <is>
          <t>Sweden Central</t>
        </is>
      </c>
      <c r="C25" s="12" t="inlineStr">
        <is>
          <t>EU</t>
        </is>
      </c>
      <c r="D25" s="12" t="inlineStr">
        <is>
          <t>Eadsv6</t>
        </is>
      </c>
      <c r="E25" s="16" t="n">
        <v>2031</v>
      </c>
      <c r="F25" s="16">
        <f>SUMIFS(Capacity_By_SKU!$H:$H,Capacity_By_SKU!$A:$A,B25,Capacity_By_SKU!$E:$E,D25)</f>
        <v/>
      </c>
      <c r="G25" s="19">
        <f>E25-F25</f>
        <v/>
      </c>
      <c r="H25" s="16" t="n">
        <v>203</v>
      </c>
      <c r="I25" s="16" t="n">
        <v>0</v>
      </c>
      <c r="J25" s="12" t="inlineStr"/>
    </row>
    <row r="26">
      <c r="A26" s="12" t="inlineStr">
        <is>
          <t>qg-sec-dadsv5</t>
        </is>
      </c>
      <c r="B26" s="12" t="inlineStr">
        <is>
          <t>Sweden Central</t>
        </is>
      </c>
      <c r="C26" s="12" t="inlineStr">
        <is>
          <t>EU</t>
        </is>
      </c>
      <c r="D26" s="12" t="inlineStr">
        <is>
          <t>Dadsv5</t>
        </is>
      </c>
      <c r="E26" s="16" t="n">
        <v>0</v>
      </c>
      <c r="F26" s="16">
        <f>SUMIFS(Capacity_By_SKU!$H:$H,Capacity_By_SKU!$A:$A,B26,Capacity_By_SKU!$E:$E,D26)</f>
        <v/>
      </c>
      <c r="G26" s="19">
        <f>E26-F26</f>
        <v/>
      </c>
      <c r="H26" s="16" t="n">
        <v>0</v>
      </c>
      <c r="I26" s="16" t="n">
        <v>0</v>
      </c>
      <c r="J26" s="12" t="inlineStr"/>
    </row>
    <row r="27">
      <c r="A27" s="12" t="inlineStr">
        <is>
          <t>qg-sec-dasv5</t>
        </is>
      </c>
      <c r="B27" s="12" t="inlineStr">
        <is>
          <t>Sweden Central</t>
        </is>
      </c>
      <c r="C27" s="12" t="inlineStr">
        <is>
          <t>EU</t>
        </is>
      </c>
      <c r="D27" s="12" t="inlineStr">
        <is>
          <t>Dasv5</t>
        </is>
      </c>
      <c r="E27" s="16" t="n">
        <v>0</v>
      </c>
      <c r="F27" s="16">
        <f>SUMIFS(Capacity_By_SKU!$H:$H,Capacity_By_SKU!$A:$A,B27,Capacity_By_SKU!$E:$E,D27)</f>
        <v/>
      </c>
      <c r="G27" s="19">
        <f>E27-F27</f>
        <v/>
      </c>
      <c r="H27" s="16" t="n">
        <v>0</v>
      </c>
      <c r="I27" s="16" t="n">
        <v>0</v>
      </c>
      <c r="J27" s="12" t="inlineStr"/>
    </row>
    <row r="28">
      <c r="A28" s="12" t="inlineStr">
        <is>
          <t>qg-neu-eadsv5</t>
        </is>
      </c>
      <c r="B28" s="12" t="inlineStr">
        <is>
          <t>North Europe</t>
        </is>
      </c>
      <c r="C28" s="12" t="inlineStr">
        <is>
          <t>EU</t>
        </is>
      </c>
      <c r="D28" s="12" t="inlineStr">
        <is>
          <t>Eadsv5</t>
        </is>
      </c>
      <c r="E28" s="16" t="n">
        <v>4983</v>
      </c>
      <c r="F28" s="16">
        <f>SUMIFS(Capacity_By_SKU!$H:$H,Capacity_By_SKU!$A:$A,B28,Capacity_By_SKU!$E:$E,D28)</f>
        <v/>
      </c>
      <c r="G28" s="19">
        <f>E28-F28</f>
        <v/>
      </c>
      <c r="H28" s="16" t="n">
        <v>498</v>
      </c>
      <c r="I28" s="16" t="n">
        <v>0</v>
      </c>
      <c r="J28" s="12" t="inlineStr"/>
    </row>
    <row r="29">
      <c r="A29" s="12" t="inlineStr">
        <is>
          <t>qg-neu-eadsv6</t>
        </is>
      </c>
      <c r="B29" s="12" t="inlineStr">
        <is>
          <t>North Europe</t>
        </is>
      </c>
      <c r="C29" s="12" t="inlineStr">
        <is>
          <t>EU</t>
        </is>
      </c>
      <c r="D29" s="12" t="inlineStr">
        <is>
          <t>Eadsv6</t>
        </is>
      </c>
      <c r="E29" s="16" t="n">
        <v>1030</v>
      </c>
      <c r="F29" s="16">
        <f>SUMIFS(Capacity_By_SKU!$H:$H,Capacity_By_SKU!$A:$A,B29,Capacity_By_SKU!$E:$E,D29)</f>
        <v/>
      </c>
      <c r="G29" s="19">
        <f>E29-F29</f>
        <v/>
      </c>
      <c r="H29" s="16" t="n">
        <v>103</v>
      </c>
      <c r="I29" s="16" t="n">
        <v>0</v>
      </c>
      <c r="J29" s="12" t="inlineStr"/>
    </row>
    <row r="30">
      <c r="A30" s="12" t="inlineStr">
        <is>
          <t>qg-neu-dadsv5</t>
        </is>
      </c>
      <c r="B30" s="12" t="inlineStr">
        <is>
          <t>North Europe</t>
        </is>
      </c>
      <c r="C30" s="12" t="inlineStr">
        <is>
          <t>EU</t>
        </is>
      </c>
      <c r="D30" s="12" t="inlineStr">
        <is>
          <t>Dadsv5</t>
        </is>
      </c>
      <c r="E30" s="16" t="n">
        <v>592</v>
      </c>
      <c r="F30" s="16">
        <f>SUMIFS(Capacity_By_SKU!$H:$H,Capacity_By_SKU!$A:$A,B30,Capacity_By_SKU!$E:$E,D30)</f>
        <v/>
      </c>
      <c r="G30" s="19">
        <f>E30-F30</f>
        <v/>
      </c>
      <c r="H30" s="16" t="n">
        <v>59</v>
      </c>
      <c r="I30" s="16" t="n">
        <v>0</v>
      </c>
      <c r="J30" s="12" t="inlineStr"/>
    </row>
    <row r="31">
      <c r="A31" s="12" t="inlineStr">
        <is>
          <t>qg-neu-dasv5</t>
        </is>
      </c>
      <c r="B31" s="12" t="inlineStr">
        <is>
          <t>North Europe</t>
        </is>
      </c>
      <c r="C31" s="12" t="inlineStr">
        <is>
          <t>EU</t>
        </is>
      </c>
      <c r="D31" s="12" t="inlineStr">
        <is>
          <t>Dasv5</t>
        </is>
      </c>
      <c r="E31" s="16" t="n">
        <v>5933</v>
      </c>
      <c r="F31" s="16">
        <f>SUMIFS(Capacity_By_SKU!$H:$H,Capacity_By_SKU!$A:$A,B31,Capacity_By_SKU!$E:$E,D31)</f>
        <v/>
      </c>
      <c r="G31" s="19">
        <f>E31-F31</f>
        <v/>
      </c>
      <c r="H31" s="16" t="n">
        <v>593</v>
      </c>
      <c r="I31" s="16" t="n">
        <v>0</v>
      </c>
      <c r="J31" s="12" t="inlineStr"/>
    </row>
    <row r="32">
      <c r="A32" s="12" t="inlineStr">
        <is>
          <t>qg-weu-eadsv5</t>
        </is>
      </c>
      <c r="B32" s="12" t="inlineStr">
        <is>
          <t>West Europe</t>
        </is>
      </c>
      <c r="C32" s="12" t="inlineStr">
        <is>
          <t>EU</t>
        </is>
      </c>
      <c r="D32" s="12" t="inlineStr">
        <is>
          <t>Eadsv5</t>
        </is>
      </c>
      <c r="E32" s="16" t="n">
        <v>93625</v>
      </c>
      <c r="F32" s="16">
        <f>SUMIFS(Capacity_By_SKU!$H:$H,Capacity_By_SKU!$A:$A,B32,Capacity_By_SKU!$E:$E,D32)</f>
        <v/>
      </c>
      <c r="G32" s="19">
        <f>E32-F32</f>
        <v/>
      </c>
      <c r="H32" s="16" t="n">
        <v>9362</v>
      </c>
      <c r="I32" s="16" t="n">
        <v>0</v>
      </c>
      <c r="J32" s="12" t="inlineStr"/>
    </row>
    <row r="33">
      <c r="A33" s="12" t="inlineStr">
        <is>
          <t>qg-weu-eadsv6</t>
        </is>
      </c>
      <c r="B33" s="12" t="inlineStr">
        <is>
          <t>West Europe</t>
        </is>
      </c>
      <c r="C33" s="12" t="inlineStr">
        <is>
          <t>EU</t>
        </is>
      </c>
      <c r="D33" s="12" t="inlineStr">
        <is>
          <t>Eadsv6</t>
        </is>
      </c>
      <c r="E33" s="16" t="n">
        <v>19651</v>
      </c>
      <c r="F33" s="16">
        <f>SUMIFS(Capacity_By_SKU!$H:$H,Capacity_By_SKU!$A:$A,B33,Capacity_By_SKU!$E:$E,D33)</f>
        <v/>
      </c>
      <c r="G33" s="19">
        <f>E33-F33</f>
        <v/>
      </c>
      <c r="H33" s="16" t="n">
        <v>1965</v>
      </c>
      <c r="I33" s="16" t="n">
        <v>0</v>
      </c>
      <c r="J33" s="12" t="inlineStr"/>
    </row>
    <row r="34">
      <c r="A34" s="12" t="inlineStr">
        <is>
          <t>qg-weu-dadsv5</t>
        </is>
      </c>
      <c r="B34" s="12" t="inlineStr">
        <is>
          <t>West Europe</t>
        </is>
      </c>
      <c r="C34" s="12" t="inlineStr">
        <is>
          <t>EU</t>
        </is>
      </c>
      <c r="D34" s="12" t="inlineStr">
        <is>
          <t>Dadsv5</t>
        </is>
      </c>
      <c r="E34" s="16" t="n">
        <v>22260</v>
      </c>
      <c r="F34" s="16">
        <f>SUMIFS(Capacity_By_SKU!$H:$H,Capacity_By_SKU!$A:$A,B34,Capacity_By_SKU!$E:$E,D34)</f>
        <v/>
      </c>
      <c r="G34" s="19">
        <f>E34-F34</f>
        <v/>
      </c>
      <c r="H34" s="16" t="n">
        <v>2226</v>
      </c>
      <c r="I34" s="16" t="n">
        <v>0</v>
      </c>
      <c r="J34" s="12" t="inlineStr"/>
    </row>
    <row r="35">
      <c r="A35" s="12" t="inlineStr">
        <is>
          <t>qg-weu-dasv5</t>
        </is>
      </c>
      <c r="B35" s="12" t="inlineStr">
        <is>
          <t>West Europe</t>
        </is>
      </c>
      <c r="C35" s="12" t="inlineStr">
        <is>
          <t>EU</t>
        </is>
      </c>
      <c r="D35" s="12" t="inlineStr">
        <is>
          <t>Dasv5</t>
        </is>
      </c>
      <c r="E35" s="16" t="n">
        <v>15048</v>
      </c>
      <c r="F35" s="16">
        <f>SUMIFS(Capacity_By_SKU!$H:$H,Capacity_By_SKU!$A:$A,B35,Capacity_By_SKU!$E:$E,D35)</f>
        <v/>
      </c>
      <c r="G35" s="19">
        <f>E35-F35</f>
        <v/>
      </c>
      <c r="H35" s="16" t="n">
        <v>1505</v>
      </c>
      <c r="I35" s="16" t="n">
        <v>0</v>
      </c>
      <c r="J35" s="12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1" customWidth="1" min="4" max="4"/>
    <col width="13" customWidth="1" min="5" max="5"/>
    <col width="7" customWidth="1" min="6" max="6"/>
    <col width="11" customWidth="1" min="7" max="7"/>
    <col width="20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7" customWidth="1" min="14" max="14"/>
    <col width="10" customWidth="1" min="15" max="15"/>
    <col width="10" customWidth="1" min="17" max="17"/>
    <col width="16" customWidth="1" min="18" max="18"/>
  </cols>
  <sheetData>
    <row r="1">
      <c r="A1" s="5" t="inlineStr">
        <is>
          <t>SCORE_PROD  —  SKU-grain placement score (Production)</t>
        </is>
      </c>
      <c r="Q1" s="20" t="inlineStr">
        <is>
          <t>TOP PICK</t>
        </is>
      </c>
    </row>
    <row r="2">
      <c r="A2" s="6" t="inlineStr">
        <is>
          <t>Meets-All = 1 only when EVERY active SKU line has GROUP AVAIL ≥ Line Cores. Alpha=MIN(1−cores/GAVAIL), Beta=MIN(quota-avail/quota-limit), Eps=MIN(res-free/res) across all active lines.</t>
        </is>
      </c>
      <c r="Q2" s="14" t="inlineStr">
        <is>
          <t>Region</t>
        </is>
      </c>
      <c r="R2" s="21">
        <f>IFERROR(INDEX($A$4:$A$11,MATCH(1,$N$4:$N$11,0)),"NONE ELIGIBLE")</f>
        <v/>
      </c>
    </row>
    <row r="3">
      <c r="A3" s="15" t="inlineStr">
        <is>
          <t>Region</t>
        </is>
      </c>
      <c r="B3" s="15" t="inlineStr">
        <is>
          <t>Geo</t>
        </is>
      </c>
      <c r="C3" s="15" t="inlineStr">
        <is>
          <t>Env</t>
        </is>
      </c>
      <c r="D3" s="15" t="inlineStr">
        <is>
          <t>Active Lines</t>
        </is>
      </c>
      <c r="E3" s="15" t="inlineStr">
        <is>
          <t>Total Req Cores</t>
        </is>
      </c>
      <c r="F3" s="15" t="inlineStr">
        <is>
          <t>InGeo</t>
        </is>
      </c>
      <c r="G3" s="15" t="inlineStr">
        <is>
          <t>Meets-All</t>
        </is>
      </c>
      <c r="H3" s="15" t="inlineStr">
        <is>
          <t>Readiness (RDY-002)</t>
        </is>
      </c>
      <c r="I3" s="15" t="inlineStr">
        <is>
          <t>Eligible</t>
        </is>
      </c>
      <c r="J3" s="15" t="inlineStr">
        <is>
          <t>alpha_c</t>
        </is>
      </c>
      <c r="K3" s="15" t="inlineStr">
        <is>
          <t>beta_c</t>
        </is>
      </c>
      <c r="L3" s="15" t="inlineStr">
        <is>
          <t>eps_c</t>
        </is>
      </c>
      <c r="M3" s="15" t="inlineStr">
        <is>
          <t>PS</t>
        </is>
      </c>
      <c r="N3" s="15" t="inlineStr">
        <is>
          <t>Rank</t>
        </is>
      </c>
      <c r="O3" s="15" t="inlineStr">
        <is>
          <t>Binding</t>
        </is>
      </c>
      <c r="Q3" s="14" t="inlineStr">
        <is>
          <t>PS</t>
        </is>
      </c>
      <c r="R3" s="21">
        <f>IFERROR(INDEX($M$4:$M$11,MATCH(1,$N$4:$N$11,0)),"")</f>
        <v/>
      </c>
    </row>
    <row r="4">
      <c r="A4" s="12" t="inlineStr">
        <is>
          <t>West US 3</t>
        </is>
      </c>
      <c r="B4" s="16" t="inlineStr">
        <is>
          <t>US</t>
        </is>
      </c>
      <c r="C4" s="16" t="inlineStr">
        <is>
          <t>Prod</t>
        </is>
      </c>
      <c r="D4" s="16">
        <f>Request!$B$17</f>
        <v/>
      </c>
      <c r="E4" s="16">
        <f>Request!$B$18</f>
        <v/>
      </c>
      <c r="F4" s="16">
        <f>IF(B4=Request!$B$4,1,0)</f>
        <v/>
      </c>
      <c r="G4" s="18">
        <f>IF(Request!$B$17=0,0,MIN(IF(OR(Request!$B$8="",Request!$C$8=""),1,IF(MIN(SUMIFS(Capacity_By_SKU!$K:$K,Capacity_By_SKU!$A:$A,$A4,Capacity_By_SKU!$C:$C,"Prod",Capacity_By_SKU!$D:$D,Request!$B$8),SUMIFS(Quota_Groups!$G:$G,Quota_Groups!$B:$B,$A4,Quota_Groups!$D:$D,IFERROR(VLOOKUP(Request!$B$8,SKU_Family_Map!$A:$B,2,FALSE),"")))&gt;=Request!$E$8,1,0)),IF(OR(Request!$B$9="",Request!$C$9=""),1,IF(MIN(SUMIFS(Capacity_By_SKU!$K:$K,Capacity_By_SKU!$A:$A,$A4,Capacity_By_SKU!$C:$C,"Prod",Capacity_By_SKU!$D:$D,Request!$B$9),SUMIFS(Quota_Groups!$G:$G,Quota_Groups!$B:$B,$A4,Quota_Groups!$D:$D,IFERROR(VLOOKUP(Request!$B$9,SKU_Family_Map!$A:$B,2,FALSE),"")))&gt;=Request!$E$9,1,0)),IF(OR(Request!$B$10="",Request!$C$10=""),1,IF(MIN(SUMIFS(Capacity_By_SKU!$K:$K,Capacity_By_SKU!$A:$A,$A4,Capacity_By_SKU!$C:$C,"Prod",Capacity_By_SKU!$D:$D,Request!$B$10),SUMIFS(Quota_Groups!$G:$G,Quota_Groups!$B:$B,$A4,Quota_Groups!$D:$D,IFERROR(VLOOKUP(Request!$B$10,SKU_Family_Map!$A:$B,2,FALSE),"")))&gt;=Request!$E$10,1,0)),IF(OR(Request!$B$11="",Request!$C$11=""),1,IF(MIN(SUMIFS(Capacity_By_SKU!$K:$K,Capacity_By_SKU!$A:$A,$A4,Capacity_By_SKU!$C:$C,"Prod",Capacity_By_SKU!$D:$D,Request!$B$11),SUMIFS(Quota_Groups!$G:$G,Quota_Groups!$B:$B,$A4,Quota_Groups!$D:$D,IFERROR(VLOOKUP(Request!$B$11,SKU_Family_Map!$A:$B,2,FALSE),"")))&gt;=Request!$E$11,1,0)),IF(OR(Request!$B$12="",Request!$C$12=""),1,IF(MIN(SUMIFS(Capacity_By_SKU!$K:$K,Capacity_By_SKU!$A:$A,$A4,Capacity_By_SKU!$C:$C,"Prod",Capacity_By_SKU!$D:$D,Request!$B$12),SUMIFS(Quota_Groups!$G:$G,Quota_Groups!$B:$B,$A4,Quota_Groups!$D:$D,IFERROR(VLOOKUP(Request!$B$12,SKU_Family_Map!$A:$B,2,FALSE),"")))&gt;=Request!$E$12,1,0)),IF(OR(Request!$B$13="",Request!$C$13=""),1,IF(MIN(SUMIFS(Capacity_By_SKU!$K:$K,Capacity_By_SKU!$A:$A,$A4,Capacity_By_SKU!$C:$C,"Prod",Capacity_By_SKU!$D:$D,Request!$B$13),SUMIFS(Quota_Groups!$G:$G,Quota_Groups!$B:$B,$A4,Quota_Groups!$D:$D,IFERROR(VLOOKUP(Request!$B$13,SKU_Family_Map!$A:$B,2,FALSE),"")))&gt;=Request!$E$13,1,0)),IF(OR(Request!$B$14="",Request!$C$14=""),1,IF(MIN(SUMIFS(Capacity_By_SKU!$K:$K,Capacity_By_SKU!$A:$A,$A4,Capacity_By_SKU!$C:$C,"Prod",Capacity_By_SKU!$D:$D,Request!$B$14),SUMIFS(Quota_Groups!$G:$G,Quota_Groups!$B:$B,$A4,Quota_Groups!$D:$D,IFERROR(VLOOKUP(Request!$B$14,SKU_Family_Map!$A:$B,2,FALSE),"")))&gt;=Request!$E$14,1,0)),IF(OR(Request!$B$15="",Request!$C$15=""),1,IF(MIN(SUMIFS(Capacity_By_SKU!$K:$K,Capacity_By_SKU!$A:$A,$A4,Capacity_By_SKU!$C:$C,"Prod",Capacity_By_SKU!$D:$D,Request!$B$15),SUMIFS(Quota_Groups!$G:$G,Quota_Groups!$B:$B,$A4,Quota_Groups!$D:$D,IFERROR(VLOOKUP(Request!$B$15,SKU_Family_Map!$A:$B,2,FALSE),"")))&gt;=Request!$E$15,1,0))))</f>
        <v/>
      </c>
      <c r="H4" s="12">
        <f>IF(Request!$B$17=0,"NO_REQUEST",IF(SUM(IF(AND(Request!$B$8&lt;&gt;"",Request!$C$8&lt;&gt;"",SUMIFS(Capacity_By_SKU!$K:$K,Capacity_By_SKU!$A:$A,$A4,Capacity_By_SKU!$C:$C,"Prod",Capacity_By_SKU!$D:$D,Request!$B$8)&lt;=0),1,0),IF(AND(Request!$B$9&lt;&gt;"",Request!$C$9&lt;&gt;"",SUMIFS(Capacity_By_SKU!$K:$K,Capacity_By_SKU!$A:$A,$A4,Capacity_By_SKU!$C:$C,"Prod",Capacity_By_SKU!$D:$D,Request!$B$9)&lt;=0),1,0),IF(AND(Request!$B$10&lt;&gt;"",Request!$C$10&lt;&gt;"",SUMIFS(Capacity_By_SKU!$K:$K,Capacity_By_SKU!$A:$A,$A4,Capacity_By_SKU!$C:$C,"Prod",Capacity_By_SKU!$D:$D,Request!$B$10)&lt;=0),1,0),IF(AND(Request!$B$11&lt;&gt;"",Request!$C$11&lt;&gt;"",SUMIFS(Capacity_By_SKU!$K:$K,Capacity_By_SKU!$A:$A,$A4,Capacity_By_SKU!$C:$C,"Prod",Capacity_By_SKU!$D:$D,Request!$B$11)&lt;=0),1,0),IF(AND(Request!$B$12&lt;&gt;"",Request!$C$12&lt;&gt;"",SUMIFS(Capacity_By_SKU!$K:$K,Capacity_By_SKU!$A:$A,$A4,Capacity_By_SKU!$C:$C,"Prod",Capacity_By_SKU!$D:$D,Request!$B$12)&lt;=0),1,0),IF(AND(Request!$B$13&lt;&gt;"",Request!$C$13&lt;&gt;"",SUMIFS(Capacity_By_SKU!$K:$K,Capacity_By_SKU!$A:$A,$A4,Capacity_By_SKU!$C:$C,"Prod",Capacity_By_SKU!$D:$D,Request!$B$13)&lt;=0),1,0),IF(AND(Request!$B$14&lt;&gt;"",Request!$C$14&lt;&gt;"",SUMIFS(Capacity_By_SKU!$K:$K,Capacity_By_SKU!$A:$A,$A4,Capacity_By_SKU!$C:$C,"Prod",Capacity_By_SKU!$D:$D,Request!$B$14)&lt;=0),1,0),IF(AND(Request!$B$15&lt;&gt;"",Request!$C$15&lt;&gt;"",SUMIFS(Capacity_By_SKU!$K:$K,Capacity_By_SKU!$A:$A,$A4,Capacity_By_SKU!$C:$C,"Prod",Capacity_By_SKU!$D:$D,Request!$B$15)&lt;=0),1,0))&gt;0,"RESERVATION_DEFICIT",IF(SUM(IF(AND(Request!$B$8&lt;&gt;"",Request!$C$8&lt;&gt;"",SUMIFS(Quota_Groups!$G:$G,Quota_Groups!$B:$B,$A4,Quota_Groups!$D:$D,IFERROR(VLOOKUP(Request!$B$8,SKU_Family_Map!$A:$B,2,FALSE),""))&lt;=0),1,0),IF(AND(Request!$B$9&lt;&gt;"",Request!$C$9&lt;&gt;"",SUMIFS(Quota_Groups!$G:$G,Quota_Groups!$B:$B,$A4,Quota_Groups!$D:$D,IFERROR(VLOOKUP(Request!$B$9,SKU_Family_Map!$A:$B,2,FALSE),""))&lt;=0),1,0),IF(AND(Request!$B$10&lt;&gt;"",Request!$C$10&lt;&gt;"",SUMIFS(Quota_Groups!$G:$G,Quota_Groups!$B:$B,$A4,Quota_Groups!$D:$D,IFERROR(VLOOKUP(Request!$B$10,SKU_Family_Map!$A:$B,2,FALSE),""))&lt;=0),1,0),IF(AND(Request!$B$11&lt;&gt;"",Request!$C$11&lt;&gt;"",SUMIFS(Quota_Groups!$G:$G,Quota_Groups!$B:$B,$A4,Quota_Groups!$D:$D,IFERROR(VLOOKUP(Request!$B$11,SKU_Family_Map!$A:$B,2,FALSE),""))&lt;=0),1,0),IF(AND(Request!$B$12&lt;&gt;"",Request!$C$12&lt;&gt;"",SUMIFS(Quota_Groups!$G:$G,Quota_Groups!$B:$B,$A4,Quota_Groups!$D:$D,IFERROR(VLOOKUP(Request!$B$12,SKU_Family_Map!$A:$B,2,FALSE),""))&lt;=0),1,0),IF(AND(Request!$B$13&lt;&gt;"",Request!$C$13&lt;&gt;"",SUMIFS(Quota_Groups!$G:$G,Quota_Groups!$B:$B,$A4,Quota_Groups!$D:$D,IFERROR(VLOOKUP(Request!$B$13,SKU_Family_Map!$A:$B,2,FALSE),""))&lt;=0),1,0),IF(AND(Request!$B$14&lt;&gt;"",Request!$C$14&lt;&gt;"",SUMIFS(Quota_Groups!$G:$G,Quota_Groups!$B:$B,$A4,Quota_Groups!$D:$D,IFERROR(VLOOKUP(Request!$B$14,SKU_Family_Map!$A:$B,2,FALSE),""))&lt;=0),1,0),IF(AND(Request!$B$15&lt;&gt;"",Request!$C$15&lt;&gt;"",SUMIFS(Quota_Groups!$G:$G,Quota_Groups!$B:$B,$A4,Quota_Groups!$D:$D,IFERROR(VLOOKUP(Request!$B$15,SKU_Family_Map!$A:$B,2,FALSE),""))&lt;=0),1,0))&gt;0,"QUOTA_DEFICIT",IF(G4=0,"CAPACITY_DEFICIT",IF(MIN(IF(OR(Request!$B$8="",Request!$C$8=""),1,IFERROR(1-Request!$E$8/MIN(SUMIFS(Capacity_By_SKU!$K:$K,Capacity_By_SKU!$A:$A,$A4,Capacity_By_SKU!$C:$C,"Prod",Capacity_By_SKU!$D:$D,Request!$B$8),SUMIFS(Quota_Groups!$G:$G,Quota_Groups!$B:$B,$A4,Quota_Groups!$D:$D,IFERROR(VLOOKUP(Request!$B$8,SKU_Family_Map!$A:$B,2,FALSE),""))),0)),IF(OR(Request!$B$9="",Request!$C$9=""),1,IFERROR(1-Request!$E$9/MIN(SUMIFS(Capacity_By_SKU!$K:$K,Capacity_By_SKU!$A:$A,$A4,Capacity_By_SKU!$C:$C,"Prod",Capacity_By_SKU!$D:$D,Request!$B$9),SUMIFS(Quota_Groups!$G:$G,Quota_Groups!$B:$B,$A4,Quota_Groups!$D:$D,IFERROR(VLOOKUP(Request!$B$9,SKU_Family_Map!$A:$B,2,FALSE),""))),0)),IF(OR(Request!$B$10="",Request!$C$10=""),1,IFERROR(1-Request!$E$10/MIN(SUMIFS(Capacity_By_SKU!$K:$K,Capacity_By_SKU!$A:$A,$A4,Capacity_By_SKU!$C:$C,"Prod",Capacity_By_SKU!$D:$D,Request!$B$10),SUMIFS(Quota_Groups!$G:$G,Quota_Groups!$B:$B,$A4,Quota_Groups!$D:$D,IFERROR(VLOOKUP(Request!$B$10,SKU_Family_Map!$A:$B,2,FALSE),""))),0)),IF(OR(Request!$B$11="",Request!$C$11=""),1,IFERROR(1-Request!$E$11/MIN(SUMIFS(Capacity_By_SKU!$K:$K,Capacity_By_SKU!$A:$A,$A4,Capacity_By_SKU!$C:$C,"Prod",Capacity_By_SKU!$D:$D,Request!$B$11),SUMIFS(Quota_Groups!$G:$G,Quota_Groups!$B:$B,$A4,Quota_Groups!$D:$D,IFERROR(VLOOKUP(Request!$B$11,SKU_Family_Map!$A:$B,2,FALSE),""))),0)),IF(OR(Request!$B$12="",Request!$C$12=""),1,IFERROR(1-Request!$E$12/MIN(SUMIFS(Capacity_By_SKU!$K:$K,Capacity_By_SKU!$A:$A,$A4,Capacity_By_SKU!$C:$C,"Prod",Capacity_By_SKU!$D:$D,Request!$B$12),SUMIFS(Quota_Groups!$G:$G,Quota_Groups!$B:$B,$A4,Quota_Groups!$D:$D,IFERROR(VLOOKUP(Request!$B$12,SKU_Family_Map!$A:$B,2,FALSE),""))),0)),IF(OR(Request!$B$13="",Request!$C$13=""),1,IFERROR(1-Request!$E$13/MIN(SUMIFS(Capacity_By_SKU!$K:$K,Capacity_By_SKU!$A:$A,$A4,Capacity_By_SKU!$C:$C,"Prod",Capacity_By_SKU!$D:$D,Request!$B$13),SUMIFS(Quota_Groups!$G:$G,Quota_Groups!$B:$B,$A4,Quota_Groups!$D:$D,IFERROR(VLOOKUP(Request!$B$13,SKU_Family_Map!$A:$B,2,FALSE),""))),0)),IF(OR(Request!$B$14="",Request!$C$14=""),1,IFERROR(1-Request!$E$14/MIN(SUMIFS(Capacity_By_SKU!$K:$K,Capacity_By_SKU!$A:$A,$A4,Capacity_By_SKU!$C:$C,"Prod",Capacity_By_SKU!$D:$D,Request!$B$14),SUMIFS(Quota_Groups!$G:$G,Quota_Groups!$B:$B,$A4,Quota_Groups!$D:$D,IFERROR(VLOOKUP(Request!$B$14,SKU_Family_Map!$A:$B,2,FALSE),""))),0)),IF(OR(Request!$B$15="",Request!$C$15=""),1,IFERROR(1-Request!$E$15/MIN(SUMIFS(Capacity_By_SKU!$K:$K,Capacity_By_SKU!$A:$A,$A4,Capacity_By_SKU!$C:$C,"Prod",Capacity_By_SKU!$D:$D,Request!$B$15),SUMIFS(Quota_Groups!$G:$G,Quota_Groups!$B:$B,$A4,Quota_Groups!$D:$D,IFERROR(VLOOKUP(Request!$B$15,SKU_Family_Map!$A:$B,2,FALSE),""))),0)))&lt;Policy!$B$10,"READY_WITH_RISK","READY")))))</f>
        <v/>
      </c>
      <c r="I4" s="16">
        <f>IF(AND(F4=1,G4=1,OR(H4="READY",H4="READY_WITH_RISK")),1,0)</f>
        <v/>
      </c>
      <c r="J4" s="16">
        <f>IF(I4=1,MAX(0,MIN(IF(OR(Request!$B$8="",Request!$C$8=""),1,IFERROR(1-Request!$E$8/MIN(SUMIFS(Capacity_By_SKU!$K:$K,Capacity_By_SKU!$A:$A,$A4,Capacity_By_SKU!$C:$C,"Prod",Capacity_By_SKU!$D:$D,Request!$B$8),SUMIFS(Quota_Groups!$G:$G,Quota_Groups!$B:$B,$A4,Quota_Groups!$D:$D,IFERROR(VLOOKUP(Request!$B$8,SKU_Family_Map!$A:$B,2,FALSE),""))),0)),IF(OR(Request!$B$9="",Request!$C$9=""),1,IFERROR(1-Request!$E$9/MIN(SUMIFS(Capacity_By_SKU!$K:$K,Capacity_By_SKU!$A:$A,$A4,Capacity_By_SKU!$C:$C,"Prod",Capacity_By_SKU!$D:$D,Request!$B$9),SUMIFS(Quota_Groups!$G:$G,Quota_Groups!$B:$B,$A4,Quota_Groups!$D:$D,IFERROR(VLOOKUP(Request!$B$9,SKU_Family_Map!$A:$B,2,FALSE),""))),0)),IF(OR(Request!$B$10="",Request!$C$10=""),1,IFERROR(1-Request!$E$10/MIN(SUMIFS(Capacity_By_SKU!$K:$K,Capacity_By_SKU!$A:$A,$A4,Capacity_By_SKU!$C:$C,"Prod",Capacity_By_SKU!$D:$D,Request!$B$10),SUMIFS(Quota_Groups!$G:$G,Quota_Groups!$B:$B,$A4,Quota_Groups!$D:$D,IFERROR(VLOOKUP(Request!$B$10,SKU_Family_Map!$A:$B,2,FALSE),""))),0)),IF(OR(Request!$B$11="",Request!$C$11=""),1,IFERROR(1-Request!$E$11/MIN(SUMIFS(Capacity_By_SKU!$K:$K,Capacity_By_SKU!$A:$A,$A4,Capacity_By_SKU!$C:$C,"Prod",Capacity_By_SKU!$D:$D,Request!$B$11),SUMIFS(Quota_Groups!$G:$G,Quota_Groups!$B:$B,$A4,Quota_Groups!$D:$D,IFERROR(VLOOKUP(Request!$B$11,SKU_Family_Map!$A:$B,2,FALSE),""))),0)),IF(OR(Request!$B$12="",Request!$C$12=""),1,IFERROR(1-Request!$E$12/MIN(SUMIFS(Capacity_By_SKU!$K:$K,Capacity_By_SKU!$A:$A,$A4,Capacity_By_SKU!$C:$C,"Prod",Capacity_By_SKU!$D:$D,Request!$B$12),SUMIFS(Quota_Groups!$G:$G,Quota_Groups!$B:$B,$A4,Quota_Groups!$D:$D,IFERROR(VLOOKUP(Request!$B$12,SKU_Family_Map!$A:$B,2,FALSE),""))),0)),IF(OR(Request!$B$13="",Request!$C$13=""),1,IFERROR(1-Request!$E$13/MIN(SUMIFS(Capacity_By_SKU!$K:$K,Capacity_By_SKU!$A:$A,$A4,Capacity_By_SKU!$C:$C,"Prod",Capacity_By_SKU!$D:$D,Request!$B$13),SUMIFS(Quota_Groups!$G:$G,Quota_Groups!$B:$B,$A4,Quota_Groups!$D:$D,IFERROR(VLOOKUP(Request!$B$13,SKU_Family_Map!$A:$B,2,FALSE),""))),0)),IF(OR(Request!$B$14="",Request!$C$14=""),1,IFERROR(1-Request!$E$14/MIN(SUMIFS(Capacity_By_SKU!$K:$K,Capacity_By_SKU!$A:$A,$A4,Capacity_By_SKU!$C:$C,"Prod",Capacity_By_SKU!$D:$D,Request!$B$14),SUMIFS(Quota_Groups!$G:$G,Quota_Groups!$B:$B,$A4,Quota_Groups!$D:$D,IFERROR(VLOOKUP(Request!$B$14,SKU_Family_Map!$A:$B,2,FALSE),""))),0)),IF(OR(Request!$B$15="",Request!$C$15=""),1,IFERROR(1-Request!$E$15/MIN(SUMIFS(Capacity_By_SKU!$K:$K,Capacity_By_SKU!$A:$A,$A4,Capacity_By_SKU!$C:$C,"Prod",Capacity_By_SKU!$D:$D,Request!$B$15),SUMIFS(Quota_Groups!$G:$G,Quota_Groups!$B:$B,$A4,Quota_Groups!$D:$D,IFERROR(VLOOKUP(Request!$B$15,SKU_Family_Map!$A:$B,2,FALSE),""))),0)))),0)</f>
        <v/>
      </c>
      <c r="K4" s="16">
        <f>IF(I4=1,MAX(0,MIN(IF(OR(Request!$B$8="",Request!$C$8=""),1,IFERROR(SUMIFS(Quota_Groups!$G:$G,Quota_Groups!$B:$B,$A4,Quota_Groups!$D:$D,IFERROR(VLOOKUP(Request!$B$8,SKU_Family_Map!$A:$B,2,FALSE),""))/MAX(SUMIFS(Quota_Groups!$E:$E,Quota_Groups!$B:$B,$A4,Quota_Groups!$D:$D,IFERROR(VLOOKUP(Request!$B$8,SKU_Family_Map!$A:$B,2,FALSE),"")),1),0)),IF(OR(Request!$B$9="",Request!$C$9=""),1,IFERROR(SUMIFS(Quota_Groups!$G:$G,Quota_Groups!$B:$B,$A4,Quota_Groups!$D:$D,IFERROR(VLOOKUP(Request!$B$9,SKU_Family_Map!$A:$B,2,FALSE),""))/MAX(SUMIFS(Quota_Groups!$E:$E,Quota_Groups!$B:$B,$A4,Quota_Groups!$D:$D,IFERROR(VLOOKUP(Request!$B$9,SKU_Family_Map!$A:$B,2,FALSE),"")),1),0)),IF(OR(Request!$B$10="",Request!$C$10=""),1,IFERROR(SUMIFS(Quota_Groups!$G:$G,Quota_Groups!$B:$B,$A4,Quota_Groups!$D:$D,IFERROR(VLOOKUP(Request!$B$10,SKU_Family_Map!$A:$B,2,FALSE),""))/MAX(SUMIFS(Quota_Groups!$E:$E,Quota_Groups!$B:$B,$A4,Quota_Groups!$D:$D,IFERROR(VLOOKUP(Request!$B$10,SKU_Family_Map!$A:$B,2,FALSE),"")),1),0)),IF(OR(Request!$B$11="",Request!$C$11=""),1,IFERROR(SUMIFS(Quota_Groups!$G:$G,Quota_Groups!$B:$B,$A4,Quota_Groups!$D:$D,IFERROR(VLOOKUP(Request!$B$11,SKU_Family_Map!$A:$B,2,FALSE),""))/MAX(SUMIFS(Quota_Groups!$E:$E,Quota_Groups!$B:$B,$A4,Quota_Groups!$D:$D,IFERROR(VLOOKUP(Request!$B$11,SKU_Family_Map!$A:$B,2,FALSE),"")),1),0)),IF(OR(Request!$B$12="",Request!$C$12=""),1,IFERROR(SUMIFS(Quota_Groups!$G:$G,Quota_Groups!$B:$B,$A4,Quota_Groups!$D:$D,IFERROR(VLOOKUP(Request!$B$12,SKU_Family_Map!$A:$B,2,FALSE),""))/MAX(SUMIFS(Quota_Groups!$E:$E,Quota_Groups!$B:$B,$A4,Quota_Groups!$D:$D,IFERROR(VLOOKUP(Request!$B$12,SKU_Family_Map!$A:$B,2,FALSE),"")),1),0)),IF(OR(Request!$B$13="",Request!$C$13=""),1,IFERROR(SUMIFS(Quota_Groups!$G:$G,Quota_Groups!$B:$B,$A4,Quota_Groups!$D:$D,IFERROR(VLOOKUP(Request!$B$13,SKU_Family_Map!$A:$B,2,FALSE),""))/MAX(SUMIFS(Quota_Groups!$E:$E,Quota_Groups!$B:$B,$A4,Quota_Groups!$D:$D,IFERROR(VLOOKUP(Request!$B$13,SKU_Family_Map!$A:$B,2,FALSE),"")),1),0)),IF(OR(Request!$B$14="",Request!$C$14=""),1,IFERROR(SUMIFS(Quota_Groups!$G:$G,Quota_Groups!$B:$B,$A4,Quota_Groups!$D:$D,IFERROR(VLOOKUP(Request!$B$14,SKU_Family_Map!$A:$B,2,FALSE),""))/MAX(SUMIFS(Quota_Groups!$E:$E,Quota_Groups!$B:$B,$A4,Quota_Groups!$D:$D,IFERROR(VLOOKUP(Request!$B$14,SKU_Family_Map!$A:$B,2,FALSE),"")),1),0)),IF(OR(Request!$B$15="",Request!$C$15=""),1,IFERROR(SUMIFS(Quota_Groups!$G:$G,Quota_Groups!$B:$B,$A4,Quota_Groups!$D:$D,IFERROR(VLOOKUP(Request!$B$15,SKU_Family_Map!$A:$B,2,FALSE),""))/MAX(SUMIFS(Quota_Groups!$E:$E,Quota_Groups!$B:$B,$A4,Quota_Groups!$D:$D,IFERROR(VLOOKUP(Request!$B$15,SKU_Family_Map!$A:$B,2,FALSE),"")),1),0)))),0)</f>
        <v/>
      </c>
      <c r="L4" s="16">
        <f>IF(I4=1,MAX(0,MIN(IF(OR(Request!$B$8="",Request!$C$8=""),1,IFERROR(SUMIFS(Capacity_By_SKU!$K:$K,Capacity_By_SKU!$A:$A,$A4,Capacity_By_SKU!$C:$C,"Prod",Capacity_By_SKU!$D:$D,Request!$B$8)/MAX(SUMIFS(Capacity_By_SKU!$J:$J,Capacity_By_SKU!$A:$A,$A4,Capacity_By_SKU!$C:$C,"Prod",Capacity_By_SKU!$D:$D,Request!$B$8),1),0)),IF(OR(Request!$B$9="",Request!$C$9=""),1,IFERROR(SUMIFS(Capacity_By_SKU!$K:$K,Capacity_By_SKU!$A:$A,$A4,Capacity_By_SKU!$C:$C,"Prod",Capacity_By_SKU!$D:$D,Request!$B$9)/MAX(SUMIFS(Capacity_By_SKU!$J:$J,Capacity_By_SKU!$A:$A,$A4,Capacity_By_SKU!$C:$C,"Prod",Capacity_By_SKU!$D:$D,Request!$B$9),1),0)),IF(OR(Request!$B$10="",Request!$C$10=""),1,IFERROR(SUMIFS(Capacity_By_SKU!$K:$K,Capacity_By_SKU!$A:$A,$A4,Capacity_By_SKU!$C:$C,"Prod",Capacity_By_SKU!$D:$D,Request!$B$10)/MAX(SUMIFS(Capacity_By_SKU!$J:$J,Capacity_By_SKU!$A:$A,$A4,Capacity_By_SKU!$C:$C,"Prod",Capacity_By_SKU!$D:$D,Request!$B$10),1),0)),IF(OR(Request!$B$11="",Request!$C$11=""),1,IFERROR(SUMIFS(Capacity_By_SKU!$K:$K,Capacity_By_SKU!$A:$A,$A4,Capacity_By_SKU!$C:$C,"Prod",Capacity_By_SKU!$D:$D,Request!$B$11)/MAX(SUMIFS(Capacity_By_SKU!$J:$J,Capacity_By_SKU!$A:$A,$A4,Capacity_By_SKU!$C:$C,"Prod",Capacity_By_SKU!$D:$D,Request!$B$11),1),0)),IF(OR(Request!$B$12="",Request!$C$12=""),1,IFERROR(SUMIFS(Capacity_By_SKU!$K:$K,Capacity_By_SKU!$A:$A,$A4,Capacity_By_SKU!$C:$C,"Prod",Capacity_By_SKU!$D:$D,Request!$B$12)/MAX(SUMIFS(Capacity_By_SKU!$J:$J,Capacity_By_SKU!$A:$A,$A4,Capacity_By_SKU!$C:$C,"Prod",Capacity_By_SKU!$D:$D,Request!$B$12),1),0)),IF(OR(Request!$B$13="",Request!$C$13=""),1,IFERROR(SUMIFS(Capacity_By_SKU!$K:$K,Capacity_By_SKU!$A:$A,$A4,Capacity_By_SKU!$C:$C,"Prod",Capacity_By_SKU!$D:$D,Request!$B$13)/MAX(SUMIFS(Capacity_By_SKU!$J:$J,Capacity_By_SKU!$A:$A,$A4,Capacity_By_SKU!$C:$C,"Prod",Capacity_By_SKU!$D:$D,Request!$B$13),1),0)),IF(OR(Request!$B$14="",Request!$C$14=""),1,IFERROR(SUMIFS(Capacity_By_SKU!$K:$K,Capacity_By_SKU!$A:$A,$A4,Capacity_By_SKU!$C:$C,"Prod",Capacity_By_SKU!$D:$D,Request!$B$14)/MAX(SUMIFS(Capacity_By_SKU!$J:$J,Capacity_By_SKU!$A:$A,$A4,Capacity_By_SKU!$C:$C,"Prod",Capacity_By_SKU!$D:$D,Request!$B$14),1),0)),IF(OR(Request!$B$15="",Request!$C$15=""),1,IFERROR(SUMIFS(Capacity_By_SKU!$K:$K,Capacity_By_SKU!$A:$A,$A4,Capacity_By_SKU!$C:$C,"Prod",Capacity_By_SKU!$D:$D,Request!$B$15)/MAX(SUMIFS(Capacity_By_SKU!$J:$J,Capacity_By_SKU!$A:$A,$A4,Capacity_By_SKU!$C:$C,"Prod",Capacity_By_SKU!$D:$D,Request!$B$15),1),0)))),0)</f>
        <v/>
      </c>
      <c r="M4" s="22">
        <f>IF(I4=1,ROUND(Policy!$B$4*J4+Policy!$B$5*K4+Policy!$B$6*L4,4),"")</f>
        <v/>
      </c>
      <c r="N4" s="16">
        <f>IF(I4=1,SUMPRODUCT(($I$4:$I$11=1)*($M$4:$M$11&gt;M4))+1,"")</f>
        <v/>
      </c>
      <c r="O4" s="16">
        <f>IF(I4=0,"N/A",IF(MIN(IF(OR(Request!$B$8="",Request!$C$8=""),1,IFERROR(SUMIFS(Capacity_By_SKU!$K:$K,Capacity_By_SKU!$A:$A,$A4,Capacity_By_SKU!$C:$C,"Prod",Capacity_By_SKU!$D:$D,Request!$B$8)/MAX(SUMIFS(Capacity_By_SKU!$J:$J,Capacity_By_SKU!$A:$A,$A4,Capacity_By_SKU!$C:$C,"Prod",Capacity_By_SKU!$D:$D,Request!$B$8),1),0)),IF(OR(Request!$B$9="",Request!$C$9=""),1,IFERROR(SUMIFS(Capacity_By_SKU!$K:$K,Capacity_By_SKU!$A:$A,$A4,Capacity_By_SKU!$C:$C,"Prod",Capacity_By_SKU!$D:$D,Request!$B$9)/MAX(SUMIFS(Capacity_By_SKU!$J:$J,Capacity_By_SKU!$A:$A,$A4,Capacity_By_SKU!$C:$C,"Prod",Capacity_By_SKU!$D:$D,Request!$B$9),1),0)),IF(OR(Request!$B$10="",Request!$C$10=""),1,IFERROR(SUMIFS(Capacity_By_SKU!$K:$K,Capacity_By_SKU!$A:$A,$A4,Capacity_By_SKU!$C:$C,"Prod",Capacity_By_SKU!$D:$D,Request!$B$10)/MAX(SUMIFS(Capacity_By_SKU!$J:$J,Capacity_By_SKU!$A:$A,$A4,Capacity_By_SKU!$C:$C,"Prod",Capacity_By_SKU!$D:$D,Request!$B$10),1),0)),IF(OR(Request!$B$11="",Request!$C$11=""),1,IFERROR(SUMIFS(Capacity_By_SKU!$K:$K,Capacity_By_SKU!$A:$A,$A4,Capacity_By_SKU!$C:$C,"Prod",Capacity_By_SKU!$D:$D,Request!$B$11)/MAX(SUMIFS(Capacity_By_SKU!$J:$J,Capacity_By_SKU!$A:$A,$A4,Capacity_By_SKU!$C:$C,"Prod",Capacity_By_SKU!$D:$D,Request!$B$11),1),0)),IF(OR(Request!$B$12="",Request!$C$12=""),1,IFERROR(SUMIFS(Capacity_By_SKU!$K:$K,Capacity_By_SKU!$A:$A,$A4,Capacity_By_SKU!$C:$C,"Prod",Capacity_By_SKU!$D:$D,Request!$B$12)/MAX(SUMIFS(Capacity_By_SKU!$J:$J,Capacity_By_SKU!$A:$A,$A4,Capacity_By_SKU!$C:$C,"Prod",Capacity_By_SKU!$D:$D,Request!$B$12),1),0)),IF(OR(Request!$B$13="",Request!$C$13=""),1,IFERROR(SUMIFS(Capacity_By_SKU!$K:$K,Capacity_By_SKU!$A:$A,$A4,Capacity_By_SKU!$C:$C,"Prod",Capacity_By_SKU!$D:$D,Request!$B$13)/MAX(SUMIFS(Capacity_By_SKU!$J:$J,Capacity_By_SKU!$A:$A,$A4,Capacity_By_SKU!$C:$C,"Prod",Capacity_By_SKU!$D:$D,Request!$B$13),1),0)),IF(OR(Request!$B$14="",Request!$C$14=""),1,IFERROR(SUMIFS(Capacity_By_SKU!$K:$K,Capacity_By_SKU!$A:$A,$A4,Capacity_By_SKU!$C:$C,"Prod",Capacity_By_SKU!$D:$D,Request!$B$14)/MAX(SUMIFS(Capacity_By_SKU!$J:$J,Capacity_By_SKU!$A:$A,$A4,Capacity_By_SKU!$C:$C,"Prod",Capacity_By_SKU!$D:$D,Request!$B$14),1),0)),IF(OR(Request!$B$15="",Request!$C$15=""),1,IFERROR(SUMIFS(Capacity_By_SKU!$K:$K,Capacity_By_SKU!$A:$A,$A4,Capacity_By_SKU!$C:$C,"Prod",Capacity_By_SKU!$D:$D,Request!$B$15)/MAX(SUMIFS(Capacity_By_SKU!$J:$J,Capacity_By_SKU!$A:$A,$A4,Capacity_By_SKU!$C:$C,"Prod",Capacity_By_SKU!$D:$D,Request!$B$15),1),0)))&lt;=MIN(IF(OR(Request!$B$8="",Request!$C$8=""),1,IFERROR(SUMIFS(Quota_Groups!$G:$G,Quota_Groups!$B:$B,$A4,Quota_Groups!$D:$D,IFERROR(VLOOKUP(Request!$B$8,SKU_Family_Map!$A:$B,2,FALSE),""))/MAX(SUMIFS(Quota_Groups!$E:$E,Quota_Groups!$B:$B,$A4,Quota_Groups!$D:$D,IFERROR(VLOOKUP(Request!$B$8,SKU_Family_Map!$A:$B,2,FALSE),"")),1),0)),IF(OR(Request!$B$9="",Request!$C$9=""),1,IFERROR(SUMIFS(Quota_Groups!$G:$G,Quota_Groups!$B:$B,$A4,Quota_Groups!$D:$D,IFERROR(VLOOKUP(Request!$B$9,SKU_Family_Map!$A:$B,2,FALSE),""))/MAX(SUMIFS(Quota_Groups!$E:$E,Quota_Groups!$B:$B,$A4,Quota_Groups!$D:$D,IFERROR(VLOOKUP(Request!$B$9,SKU_Family_Map!$A:$B,2,FALSE),"")),1),0)),IF(OR(Request!$B$10="",Request!$C$10=""),1,IFERROR(SUMIFS(Quota_Groups!$G:$G,Quota_Groups!$B:$B,$A4,Quota_Groups!$D:$D,IFERROR(VLOOKUP(Request!$B$10,SKU_Family_Map!$A:$B,2,FALSE),""))/MAX(SUMIFS(Quota_Groups!$E:$E,Quota_Groups!$B:$B,$A4,Quota_Groups!$D:$D,IFERROR(VLOOKUP(Request!$B$10,SKU_Family_Map!$A:$B,2,FALSE),"")),1),0)),IF(OR(Request!$B$11="",Request!$C$11=""),1,IFERROR(SUMIFS(Quota_Groups!$G:$G,Quota_Groups!$B:$B,$A4,Quota_Groups!$D:$D,IFERROR(VLOOKUP(Request!$B$11,SKU_Family_Map!$A:$B,2,FALSE),""))/MAX(SUMIFS(Quota_Groups!$E:$E,Quota_Groups!$B:$B,$A4,Quota_Groups!$D:$D,IFERROR(VLOOKUP(Request!$B$11,SKU_Family_Map!$A:$B,2,FALSE),"")),1),0)),IF(OR(Request!$B$12="",Request!$C$12=""),1,IFERROR(SUMIFS(Quota_Groups!$G:$G,Quota_Groups!$B:$B,$A4,Quota_Groups!$D:$D,IFERROR(VLOOKUP(Request!$B$12,SKU_Family_Map!$A:$B,2,FALSE),""))/MAX(SUMIFS(Quota_Groups!$E:$E,Quota_Groups!$B:$B,$A4,Quota_Groups!$D:$D,IFERROR(VLOOKUP(Request!$B$12,SKU_Family_Map!$A:$B,2,FALSE),"")),1),0)),IF(OR(Request!$B$13="",Request!$C$13=""),1,IFERROR(SUMIFS(Quota_Groups!$G:$G,Quota_Groups!$B:$B,$A4,Quota_Groups!$D:$D,IFERROR(VLOOKUP(Request!$B$13,SKU_Family_Map!$A:$B,2,FALSE),""))/MAX(SUMIFS(Quota_Groups!$E:$E,Quota_Groups!$B:$B,$A4,Quota_Groups!$D:$D,IFERROR(VLOOKUP(Request!$B$13,SKU_Family_Map!$A:$B,2,FALSE),"")),1),0)),IF(OR(Request!$B$14="",Request!$C$14=""),1,IFERROR(SUMIFS(Quota_Groups!$G:$G,Quota_Groups!$B:$B,$A4,Quota_Groups!$D:$D,IFERROR(VLOOKUP(Request!$B$14,SKU_Family_Map!$A:$B,2,FALSE),""))/MAX(SUMIFS(Quota_Groups!$E:$E,Quota_Groups!$B:$B,$A4,Quota_Groups!$D:$D,IFERROR(VLOOKUP(Request!$B$14,SKU_Family_Map!$A:$B,2,FALSE),"")),1),0)),IF(OR(Request!$B$15="",Request!$C$15=""),1,IFERROR(SUMIFS(Quota_Groups!$G:$G,Quota_Groups!$B:$B,$A4,Quota_Groups!$D:$D,IFERROR(VLOOKUP(Request!$B$15,SKU_Family_Map!$A:$B,2,FALSE),""))/MAX(SUMIFS(Quota_Groups!$E:$E,Quota_Groups!$B:$B,$A4,Quota_Groups!$D:$D,IFERROR(VLOOKUP(Request!$B$15,SKU_Family_Map!$A:$B,2,FALSE),"")),1),0))),"CAPACITY","QUOTA"))</f>
        <v/>
      </c>
      <c r="Q4" s="14" t="inlineStr">
        <is>
          <t>Readiness</t>
        </is>
      </c>
      <c r="R4" s="21">
        <f>IFERROR(INDEX($H$4:$H$11,MATCH(1,$N$4:$N$11,0)),"")</f>
        <v/>
      </c>
    </row>
    <row r="5">
      <c r="A5" s="12" t="inlineStr">
        <is>
          <t>Central US</t>
        </is>
      </c>
      <c r="B5" s="16" t="inlineStr">
        <is>
          <t>US</t>
        </is>
      </c>
      <c r="C5" s="16" t="inlineStr">
        <is>
          <t>Prod</t>
        </is>
      </c>
      <c r="D5" s="16">
        <f>Request!$B$17</f>
        <v/>
      </c>
      <c r="E5" s="16">
        <f>Request!$B$18</f>
        <v/>
      </c>
      <c r="F5" s="16">
        <f>IF(B5=Request!$B$4,1,0)</f>
        <v/>
      </c>
      <c r="G5" s="18">
        <f>IF(Request!$B$17=0,0,MIN(IF(OR(Request!$B$8="",Request!$C$8=""),1,IF(MIN(SUMIFS(Capacity_By_SKU!$K:$K,Capacity_By_SKU!$A:$A,$A5,Capacity_By_SKU!$C:$C,"Prod",Capacity_By_SKU!$D:$D,Request!$B$8),SUMIFS(Quota_Groups!$G:$G,Quota_Groups!$B:$B,$A5,Quota_Groups!$D:$D,IFERROR(VLOOKUP(Request!$B$8,SKU_Family_Map!$A:$B,2,FALSE),"")))&gt;=Request!$E$8,1,0)),IF(OR(Request!$B$9="",Request!$C$9=""),1,IF(MIN(SUMIFS(Capacity_By_SKU!$K:$K,Capacity_By_SKU!$A:$A,$A5,Capacity_By_SKU!$C:$C,"Prod",Capacity_By_SKU!$D:$D,Request!$B$9),SUMIFS(Quota_Groups!$G:$G,Quota_Groups!$B:$B,$A5,Quota_Groups!$D:$D,IFERROR(VLOOKUP(Request!$B$9,SKU_Family_Map!$A:$B,2,FALSE),"")))&gt;=Request!$E$9,1,0)),IF(OR(Request!$B$10="",Request!$C$10=""),1,IF(MIN(SUMIFS(Capacity_By_SKU!$K:$K,Capacity_By_SKU!$A:$A,$A5,Capacity_By_SKU!$C:$C,"Prod",Capacity_By_SKU!$D:$D,Request!$B$10),SUMIFS(Quota_Groups!$G:$G,Quota_Groups!$B:$B,$A5,Quota_Groups!$D:$D,IFERROR(VLOOKUP(Request!$B$10,SKU_Family_Map!$A:$B,2,FALSE),"")))&gt;=Request!$E$10,1,0)),IF(OR(Request!$B$11="",Request!$C$11=""),1,IF(MIN(SUMIFS(Capacity_By_SKU!$K:$K,Capacity_By_SKU!$A:$A,$A5,Capacity_By_SKU!$C:$C,"Prod",Capacity_By_SKU!$D:$D,Request!$B$11),SUMIFS(Quota_Groups!$G:$G,Quota_Groups!$B:$B,$A5,Quota_Groups!$D:$D,IFERROR(VLOOKUP(Request!$B$11,SKU_Family_Map!$A:$B,2,FALSE),"")))&gt;=Request!$E$11,1,0)),IF(OR(Request!$B$12="",Request!$C$12=""),1,IF(MIN(SUMIFS(Capacity_By_SKU!$K:$K,Capacity_By_SKU!$A:$A,$A5,Capacity_By_SKU!$C:$C,"Prod",Capacity_By_SKU!$D:$D,Request!$B$12),SUMIFS(Quota_Groups!$G:$G,Quota_Groups!$B:$B,$A5,Quota_Groups!$D:$D,IFERROR(VLOOKUP(Request!$B$12,SKU_Family_Map!$A:$B,2,FALSE),"")))&gt;=Request!$E$12,1,0)),IF(OR(Request!$B$13="",Request!$C$13=""),1,IF(MIN(SUMIFS(Capacity_By_SKU!$K:$K,Capacity_By_SKU!$A:$A,$A5,Capacity_By_SKU!$C:$C,"Prod",Capacity_By_SKU!$D:$D,Request!$B$13),SUMIFS(Quota_Groups!$G:$G,Quota_Groups!$B:$B,$A5,Quota_Groups!$D:$D,IFERROR(VLOOKUP(Request!$B$13,SKU_Family_Map!$A:$B,2,FALSE),"")))&gt;=Request!$E$13,1,0)),IF(OR(Request!$B$14="",Request!$C$14=""),1,IF(MIN(SUMIFS(Capacity_By_SKU!$K:$K,Capacity_By_SKU!$A:$A,$A5,Capacity_By_SKU!$C:$C,"Prod",Capacity_By_SKU!$D:$D,Request!$B$14),SUMIFS(Quota_Groups!$G:$G,Quota_Groups!$B:$B,$A5,Quota_Groups!$D:$D,IFERROR(VLOOKUP(Request!$B$14,SKU_Family_Map!$A:$B,2,FALSE),"")))&gt;=Request!$E$14,1,0)),IF(OR(Request!$B$15="",Request!$C$15=""),1,IF(MIN(SUMIFS(Capacity_By_SKU!$K:$K,Capacity_By_SKU!$A:$A,$A5,Capacity_By_SKU!$C:$C,"Prod",Capacity_By_SKU!$D:$D,Request!$B$15),SUMIFS(Quota_Groups!$G:$G,Quota_Groups!$B:$B,$A5,Quota_Groups!$D:$D,IFERROR(VLOOKUP(Request!$B$15,SKU_Family_Map!$A:$B,2,FALSE),"")))&gt;=Request!$E$15,1,0))))</f>
        <v/>
      </c>
      <c r="H5" s="12">
        <f>IF(Request!$B$17=0,"NO_REQUEST",IF(SUM(IF(AND(Request!$B$8&lt;&gt;"",Request!$C$8&lt;&gt;"",SUMIFS(Capacity_By_SKU!$K:$K,Capacity_By_SKU!$A:$A,$A5,Capacity_By_SKU!$C:$C,"Prod",Capacity_By_SKU!$D:$D,Request!$B$8)&lt;=0),1,0),IF(AND(Request!$B$9&lt;&gt;"",Request!$C$9&lt;&gt;"",SUMIFS(Capacity_By_SKU!$K:$K,Capacity_By_SKU!$A:$A,$A5,Capacity_By_SKU!$C:$C,"Prod",Capacity_By_SKU!$D:$D,Request!$B$9)&lt;=0),1,0),IF(AND(Request!$B$10&lt;&gt;"",Request!$C$10&lt;&gt;"",SUMIFS(Capacity_By_SKU!$K:$K,Capacity_By_SKU!$A:$A,$A5,Capacity_By_SKU!$C:$C,"Prod",Capacity_By_SKU!$D:$D,Request!$B$10)&lt;=0),1,0),IF(AND(Request!$B$11&lt;&gt;"",Request!$C$11&lt;&gt;"",SUMIFS(Capacity_By_SKU!$K:$K,Capacity_By_SKU!$A:$A,$A5,Capacity_By_SKU!$C:$C,"Prod",Capacity_By_SKU!$D:$D,Request!$B$11)&lt;=0),1,0),IF(AND(Request!$B$12&lt;&gt;"",Request!$C$12&lt;&gt;"",SUMIFS(Capacity_By_SKU!$K:$K,Capacity_By_SKU!$A:$A,$A5,Capacity_By_SKU!$C:$C,"Prod",Capacity_By_SKU!$D:$D,Request!$B$12)&lt;=0),1,0),IF(AND(Request!$B$13&lt;&gt;"",Request!$C$13&lt;&gt;"",SUMIFS(Capacity_By_SKU!$K:$K,Capacity_By_SKU!$A:$A,$A5,Capacity_By_SKU!$C:$C,"Prod",Capacity_By_SKU!$D:$D,Request!$B$13)&lt;=0),1,0),IF(AND(Request!$B$14&lt;&gt;"",Request!$C$14&lt;&gt;"",SUMIFS(Capacity_By_SKU!$K:$K,Capacity_By_SKU!$A:$A,$A5,Capacity_By_SKU!$C:$C,"Prod",Capacity_By_SKU!$D:$D,Request!$B$14)&lt;=0),1,0),IF(AND(Request!$B$15&lt;&gt;"",Request!$C$15&lt;&gt;"",SUMIFS(Capacity_By_SKU!$K:$K,Capacity_By_SKU!$A:$A,$A5,Capacity_By_SKU!$C:$C,"Prod",Capacity_By_SKU!$D:$D,Request!$B$15)&lt;=0),1,0))&gt;0,"RESERVATION_DEFICIT",IF(SUM(IF(AND(Request!$B$8&lt;&gt;"",Request!$C$8&lt;&gt;"",SUMIFS(Quota_Groups!$G:$G,Quota_Groups!$B:$B,$A5,Quota_Groups!$D:$D,IFERROR(VLOOKUP(Request!$B$8,SKU_Family_Map!$A:$B,2,FALSE),""))&lt;=0),1,0),IF(AND(Request!$B$9&lt;&gt;"",Request!$C$9&lt;&gt;"",SUMIFS(Quota_Groups!$G:$G,Quota_Groups!$B:$B,$A5,Quota_Groups!$D:$D,IFERROR(VLOOKUP(Request!$B$9,SKU_Family_Map!$A:$B,2,FALSE),""))&lt;=0),1,0),IF(AND(Request!$B$10&lt;&gt;"",Request!$C$10&lt;&gt;"",SUMIFS(Quota_Groups!$G:$G,Quota_Groups!$B:$B,$A5,Quota_Groups!$D:$D,IFERROR(VLOOKUP(Request!$B$10,SKU_Family_Map!$A:$B,2,FALSE),""))&lt;=0),1,0),IF(AND(Request!$B$11&lt;&gt;"",Request!$C$11&lt;&gt;"",SUMIFS(Quota_Groups!$G:$G,Quota_Groups!$B:$B,$A5,Quota_Groups!$D:$D,IFERROR(VLOOKUP(Request!$B$11,SKU_Family_Map!$A:$B,2,FALSE),""))&lt;=0),1,0),IF(AND(Request!$B$12&lt;&gt;"",Request!$C$12&lt;&gt;"",SUMIFS(Quota_Groups!$G:$G,Quota_Groups!$B:$B,$A5,Quota_Groups!$D:$D,IFERROR(VLOOKUP(Request!$B$12,SKU_Family_Map!$A:$B,2,FALSE),""))&lt;=0),1,0),IF(AND(Request!$B$13&lt;&gt;"",Request!$C$13&lt;&gt;"",SUMIFS(Quota_Groups!$G:$G,Quota_Groups!$B:$B,$A5,Quota_Groups!$D:$D,IFERROR(VLOOKUP(Request!$B$13,SKU_Family_Map!$A:$B,2,FALSE),""))&lt;=0),1,0),IF(AND(Request!$B$14&lt;&gt;"",Request!$C$14&lt;&gt;"",SUMIFS(Quota_Groups!$G:$G,Quota_Groups!$B:$B,$A5,Quota_Groups!$D:$D,IFERROR(VLOOKUP(Request!$B$14,SKU_Family_Map!$A:$B,2,FALSE),""))&lt;=0),1,0),IF(AND(Request!$B$15&lt;&gt;"",Request!$C$15&lt;&gt;"",SUMIFS(Quota_Groups!$G:$G,Quota_Groups!$B:$B,$A5,Quota_Groups!$D:$D,IFERROR(VLOOKUP(Request!$B$15,SKU_Family_Map!$A:$B,2,FALSE),""))&lt;=0),1,0))&gt;0,"QUOTA_DEFICIT",IF(G5=0,"CAPACITY_DEFICIT",IF(MIN(IF(OR(Request!$B$8="",Request!$C$8=""),1,IFERROR(1-Request!$E$8/MIN(SUMIFS(Capacity_By_SKU!$K:$K,Capacity_By_SKU!$A:$A,$A5,Capacity_By_SKU!$C:$C,"Prod",Capacity_By_SKU!$D:$D,Request!$B$8),SUMIFS(Quota_Groups!$G:$G,Quota_Groups!$B:$B,$A5,Quota_Groups!$D:$D,IFERROR(VLOOKUP(Request!$B$8,SKU_Family_Map!$A:$B,2,FALSE),""))),0)),IF(OR(Request!$B$9="",Request!$C$9=""),1,IFERROR(1-Request!$E$9/MIN(SUMIFS(Capacity_By_SKU!$K:$K,Capacity_By_SKU!$A:$A,$A5,Capacity_By_SKU!$C:$C,"Prod",Capacity_By_SKU!$D:$D,Request!$B$9),SUMIFS(Quota_Groups!$G:$G,Quota_Groups!$B:$B,$A5,Quota_Groups!$D:$D,IFERROR(VLOOKUP(Request!$B$9,SKU_Family_Map!$A:$B,2,FALSE),""))),0)),IF(OR(Request!$B$10="",Request!$C$10=""),1,IFERROR(1-Request!$E$10/MIN(SUMIFS(Capacity_By_SKU!$K:$K,Capacity_By_SKU!$A:$A,$A5,Capacity_By_SKU!$C:$C,"Prod",Capacity_By_SKU!$D:$D,Request!$B$10),SUMIFS(Quota_Groups!$G:$G,Quota_Groups!$B:$B,$A5,Quota_Groups!$D:$D,IFERROR(VLOOKUP(Request!$B$10,SKU_Family_Map!$A:$B,2,FALSE),""))),0)),IF(OR(Request!$B$11="",Request!$C$11=""),1,IFERROR(1-Request!$E$11/MIN(SUMIFS(Capacity_By_SKU!$K:$K,Capacity_By_SKU!$A:$A,$A5,Capacity_By_SKU!$C:$C,"Prod",Capacity_By_SKU!$D:$D,Request!$B$11),SUMIFS(Quota_Groups!$G:$G,Quota_Groups!$B:$B,$A5,Quota_Groups!$D:$D,IFERROR(VLOOKUP(Request!$B$11,SKU_Family_Map!$A:$B,2,FALSE),""))),0)),IF(OR(Request!$B$12="",Request!$C$12=""),1,IFERROR(1-Request!$E$12/MIN(SUMIFS(Capacity_By_SKU!$K:$K,Capacity_By_SKU!$A:$A,$A5,Capacity_By_SKU!$C:$C,"Prod",Capacity_By_SKU!$D:$D,Request!$B$12),SUMIFS(Quota_Groups!$G:$G,Quota_Groups!$B:$B,$A5,Quota_Groups!$D:$D,IFERROR(VLOOKUP(Request!$B$12,SKU_Family_Map!$A:$B,2,FALSE),""))),0)),IF(OR(Request!$B$13="",Request!$C$13=""),1,IFERROR(1-Request!$E$13/MIN(SUMIFS(Capacity_By_SKU!$K:$K,Capacity_By_SKU!$A:$A,$A5,Capacity_By_SKU!$C:$C,"Prod",Capacity_By_SKU!$D:$D,Request!$B$13),SUMIFS(Quota_Groups!$G:$G,Quota_Groups!$B:$B,$A5,Quota_Groups!$D:$D,IFERROR(VLOOKUP(Request!$B$13,SKU_Family_Map!$A:$B,2,FALSE),""))),0)),IF(OR(Request!$B$14="",Request!$C$14=""),1,IFERROR(1-Request!$E$14/MIN(SUMIFS(Capacity_By_SKU!$K:$K,Capacity_By_SKU!$A:$A,$A5,Capacity_By_SKU!$C:$C,"Prod",Capacity_By_SKU!$D:$D,Request!$B$14),SUMIFS(Quota_Groups!$G:$G,Quota_Groups!$B:$B,$A5,Quota_Groups!$D:$D,IFERROR(VLOOKUP(Request!$B$14,SKU_Family_Map!$A:$B,2,FALSE),""))),0)),IF(OR(Request!$B$15="",Request!$C$15=""),1,IFERROR(1-Request!$E$15/MIN(SUMIFS(Capacity_By_SKU!$K:$K,Capacity_By_SKU!$A:$A,$A5,Capacity_By_SKU!$C:$C,"Prod",Capacity_By_SKU!$D:$D,Request!$B$15),SUMIFS(Quota_Groups!$G:$G,Quota_Groups!$B:$B,$A5,Quota_Groups!$D:$D,IFERROR(VLOOKUP(Request!$B$15,SKU_Family_Map!$A:$B,2,FALSE),""))),0)))&lt;Policy!$B$10,"READY_WITH_RISK","READY")))))</f>
        <v/>
      </c>
      <c r="I5" s="16">
        <f>IF(AND(F5=1,G5=1,OR(H5="READY",H5="READY_WITH_RISK")),1,0)</f>
        <v/>
      </c>
      <c r="J5" s="16">
        <f>IF(I5=1,MAX(0,MIN(IF(OR(Request!$B$8="",Request!$C$8=""),1,IFERROR(1-Request!$E$8/MIN(SUMIFS(Capacity_By_SKU!$K:$K,Capacity_By_SKU!$A:$A,$A5,Capacity_By_SKU!$C:$C,"Prod",Capacity_By_SKU!$D:$D,Request!$B$8),SUMIFS(Quota_Groups!$G:$G,Quota_Groups!$B:$B,$A5,Quota_Groups!$D:$D,IFERROR(VLOOKUP(Request!$B$8,SKU_Family_Map!$A:$B,2,FALSE),""))),0)),IF(OR(Request!$B$9="",Request!$C$9=""),1,IFERROR(1-Request!$E$9/MIN(SUMIFS(Capacity_By_SKU!$K:$K,Capacity_By_SKU!$A:$A,$A5,Capacity_By_SKU!$C:$C,"Prod",Capacity_By_SKU!$D:$D,Request!$B$9),SUMIFS(Quota_Groups!$G:$G,Quota_Groups!$B:$B,$A5,Quota_Groups!$D:$D,IFERROR(VLOOKUP(Request!$B$9,SKU_Family_Map!$A:$B,2,FALSE),""))),0)),IF(OR(Request!$B$10="",Request!$C$10=""),1,IFERROR(1-Request!$E$10/MIN(SUMIFS(Capacity_By_SKU!$K:$K,Capacity_By_SKU!$A:$A,$A5,Capacity_By_SKU!$C:$C,"Prod",Capacity_By_SKU!$D:$D,Request!$B$10),SUMIFS(Quota_Groups!$G:$G,Quota_Groups!$B:$B,$A5,Quota_Groups!$D:$D,IFERROR(VLOOKUP(Request!$B$10,SKU_Family_Map!$A:$B,2,FALSE),""))),0)),IF(OR(Request!$B$11="",Request!$C$11=""),1,IFERROR(1-Request!$E$11/MIN(SUMIFS(Capacity_By_SKU!$K:$K,Capacity_By_SKU!$A:$A,$A5,Capacity_By_SKU!$C:$C,"Prod",Capacity_By_SKU!$D:$D,Request!$B$11),SUMIFS(Quota_Groups!$G:$G,Quota_Groups!$B:$B,$A5,Quota_Groups!$D:$D,IFERROR(VLOOKUP(Request!$B$11,SKU_Family_Map!$A:$B,2,FALSE),""))),0)),IF(OR(Request!$B$12="",Request!$C$12=""),1,IFERROR(1-Request!$E$12/MIN(SUMIFS(Capacity_By_SKU!$K:$K,Capacity_By_SKU!$A:$A,$A5,Capacity_By_SKU!$C:$C,"Prod",Capacity_By_SKU!$D:$D,Request!$B$12),SUMIFS(Quota_Groups!$G:$G,Quota_Groups!$B:$B,$A5,Quota_Groups!$D:$D,IFERROR(VLOOKUP(Request!$B$12,SKU_Family_Map!$A:$B,2,FALSE),""))),0)),IF(OR(Request!$B$13="",Request!$C$13=""),1,IFERROR(1-Request!$E$13/MIN(SUMIFS(Capacity_By_SKU!$K:$K,Capacity_By_SKU!$A:$A,$A5,Capacity_By_SKU!$C:$C,"Prod",Capacity_By_SKU!$D:$D,Request!$B$13),SUMIFS(Quota_Groups!$G:$G,Quota_Groups!$B:$B,$A5,Quota_Groups!$D:$D,IFERROR(VLOOKUP(Request!$B$13,SKU_Family_Map!$A:$B,2,FALSE),""))),0)),IF(OR(Request!$B$14="",Request!$C$14=""),1,IFERROR(1-Request!$E$14/MIN(SUMIFS(Capacity_By_SKU!$K:$K,Capacity_By_SKU!$A:$A,$A5,Capacity_By_SKU!$C:$C,"Prod",Capacity_By_SKU!$D:$D,Request!$B$14),SUMIFS(Quota_Groups!$G:$G,Quota_Groups!$B:$B,$A5,Quota_Groups!$D:$D,IFERROR(VLOOKUP(Request!$B$14,SKU_Family_Map!$A:$B,2,FALSE),""))),0)),IF(OR(Request!$B$15="",Request!$C$15=""),1,IFERROR(1-Request!$E$15/MIN(SUMIFS(Capacity_By_SKU!$K:$K,Capacity_By_SKU!$A:$A,$A5,Capacity_By_SKU!$C:$C,"Prod",Capacity_By_SKU!$D:$D,Request!$B$15),SUMIFS(Quota_Groups!$G:$G,Quota_Groups!$B:$B,$A5,Quota_Groups!$D:$D,IFERROR(VLOOKUP(Request!$B$15,SKU_Family_Map!$A:$B,2,FALSE),""))),0)))),0)</f>
        <v/>
      </c>
      <c r="K5" s="16">
        <f>IF(I5=1,MAX(0,MIN(IF(OR(Request!$B$8="",Request!$C$8=""),1,IFERROR(SUMIFS(Quota_Groups!$G:$G,Quota_Groups!$B:$B,$A5,Quota_Groups!$D:$D,IFERROR(VLOOKUP(Request!$B$8,SKU_Family_Map!$A:$B,2,FALSE),""))/MAX(SUMIFS(Quota_Groups!$E:$E,Quota_Groups!$B:$B,$A5,Quota_Groups!$D:$D,IFERROR(VLOOKUP(Request!$B$8,SKU_Family_Map!$A:$B,2,FALSE),"")),1),0)),IF(OR(Request!$B$9="",Request!$C$9=""),1,IFERROR(SUMIFS(Quota_Groups!$G:$G,Quota_Groups!$B:$B,$A5,Quota_Groups!$D:$D,IFERROR(VLOOKUP(Request!$B$9,SKU_Family_Map!$A:$B,2,FALSE),""))/MAX(SUMIFS(Quota_Groups!$E:$E,Quota_Groups!$B:$B,$A5,Quota_Groups!$D:$D,IFERROR(VLOOKUP(Request!$B$9,SKU_Family_Map!$A:$B,2,FALSE),"")),1),0)),IF(OR(Request!$B$10="",Request!$C$10=""),1,IFERROR(SUMIFS(Quota_Groups!$G:$G,Quota_Groups!$B:$B,$A5,Quota_Groups!$D:$D,IFERROR(VLOOKUP(Request!$B$10,SKU_Family_Map!$A:$B,2,FALSE),""))/MAX(SUMIFS(Quota_Groups!$E:$E,Quota_Groups!$B:$B,$A5,Quota_Groups!$D:$D,IFERROR(VLOOKUP(Request!$B$10,SKU_Family_Map!$A:$B,2,FALSE),"")),1),0)),IF(OR(Request!$B$11="",Request!$C$11=""),1,IFERROR(SUMIFS(Quota_Groups!$G:$G,Quota_Groups!$B:$B,$A5,Quota_Groups!$D:$D,IFERROR(VLOOKUP(Request!$B$11,SKU_Family_Map!$A:$B,2,FALSE),""))/MAX(SUMIFS(Quota_Groups!$E:$E,Quota_Groups!$B:$B,$A5,Quota_Groups!$D:$D,IFERROR(VLOOKUP(Request!$B$11,SKU_Family_Map!$A:$B,2,FALSE),"")),1),0)),IF(OR(Request!$B$12="",Request!$C$12=""),1,IFERROR(SUMIFS(Quota_Groups!$G:$G,Quota_Groups!$B:$B,$A5,Quota_Groups!$D:$D,IFERROR(VLOOKUP(Request!$B$12,SKU_Family_Map!$A:$B,2,FALSE),""))/MAX(SUMIFS(Quota_Groups!$E:$E,Quota_Groups!$B:$B,$A5,Quota_Groups!$D:$D,IFERROR(VLOOKUP(Request!$B$12,SKU_Family_Map!$A:$B,2,FALSE),"")),1),0)),IF(OR(Request!$B$13="",Request!$C$13=""),1,IFERROR(SUMIFS(Quota_Groups!$G:$G,Quota_Groups!$B:$B,$A5,Quota_Groups!$D:$D,IFERROR(VLOOKUP(Request!$B$13,SKU_Family_Map!$A:$B,2,FALSE),""))/MAX(SUMIFS(Quota_Groups!$E:$E,Quota_Groups!$B:$B,$A5,Quota_Groups!$D:$D,IFERROR(VLOOKUP(Request!$B$13,SKU_Family_Map!$A:$B,2,FALSE),"")),1),0)),IF(OR(Request!$B$14="",Request!$C$14=""),1,IFERROR(SUMIFS(Quota_Groups!$G:$G,Quota_Groups!$B:$B,$A5,Quota_Groups!$D:$D,IFERROR(VLOOKUP(Request!$B$14,SKU_Family_Map!$A:$B,2,FALSE),""))/MAX(SUMIFS(Quota_Groups!$E:$E,Quota_Groups!$B:$B,$A5,Quota_Groups!$D:$D,IFERROR(VLOOKUP(Request!$B$14,SKU_Family_Map!$A:$B,2,FALSE),"")),1),0)),IF(OR(Request!$B$15="",Request!$C$15=""),1,IFERROR(SUMIFS(Quota_Groups!$G:$G,Quota_Groups!$B:$B,$A5,Quota_Groups!$D:$D,IFERROR(VLOOKUP(Request!$B$15,SKU_Family_Map!$A:$B,2,FALSE),""))/MAX(SUMIFS(Quota_Groups!$E:$E,Quota_Groups!$B:$B,$A5,Quota_Groups!$D:$D,IFERROR(VLOOKUP(Request!$B$15,SKU_Family_Map!$A:$B,2,FALSE),"")),1),0)))),0)</f>
        <v/>
      </c>
      <c r="L5" s="16">
        <f>IF(I5=1,MAX(0,MIN(IF(OR(Request!$B$8="",Request!$C$8=""),1,IFERROR(SUMIFS(Capacity_By_SKU!$K:$K,Capacity_By_SKU!$A:$A,$A5,Capacity_By_SKU!$C:$C,"Prod",Capacity_By_SKU!$D:$D,Request!$B$8)/MAX(SUMIFS(Capacity_By_SKU!$J:$J,Capacity_By_SKU!$A:$A,$A5,Capacity_By_SKU!$C:$C,"Prod",Capacity_By_SKU!$D:$D,Request!$B$8),1),0)),IF(OR(Request!$B$9="",Request!$C$9=""),1,IFERROR(SUMIFS(Capacity_By_SKU!$K:$K,Capacity_By_SKU!$A:$A,$A5,Capacity_By_SKU!$C:$C,"Prod",Capacity_By_SKU!$D:$D,Request!$B$9)/MAX(SUMIFS(Capacity_By_SKU!$J:$J,Capacity_By_SKU!$A:$A,$A5,Capacity_By_SKU!$C:$C,"Prod",Capacity_By_SKU!$D:$D,Request!$B$9),1),0)),IF(OR(Request!$B$10="",Request!$C$10=""),1,IFERROR(SUMIFS(Capacity_By_SKU!$K:$K,Capacity_By_SKU!$A:$A,$A5,Capacity_By_SKU!$C:$C,"Prod",Capacity_By_SKU!$D:$D,Request!$B$10)/MAX(SUMIFS(Capacity_By_SKU!$J:$J,Capacity_By_SKU!$A:$A,$A5,Capacity_By_SKU!$C:$C,"Prod",Capacity_By_SKU!$D:$D,Request!$B$10),1),0)),IF(OR(Request!$B$11="",Request!$C$11=""),1,IFERROR(SUMIFS(Capacity_By_SKU!$K:$K,Capacity_By_SKU!$A:$A,$A5,Capacity_By_SKU!$C:$C,"Prod",Capacity_By_SKU!$D:$D,Request!$B$11)/MAX(SUMIFS(Capacity_By_SKU!$J:$J,Capacity_By_SKU!$A:$A,$A5,Capacity_By_SKU!$C:$C,"Prod",Capacity_By_SKU!$D:$D,Request!$B$11),1),0)),IF(OR(Request!$B$12="",Request!$C$12=""),1,IFERROR(SUMIFS(Capacity_By_SKU!$K:$K,Capacity_By_SKU!$A:$A,$A5,Capacity_By_SKU!$C:$C,"Prod",Capacity_By_SKU!$D:$D,Request!$B$12)/MAX(SUMIFS(Capacity_By_SKU!$J:$J,Capacity_By_SKU!$A:$A,$A5,Capacity_By_SKU!$C:$C,"Prod",Capacity_By_SKU!$D:$D,Request!$B$12),1),0)),IF(OR(Request!$B$13="",Request!$C$13=""),1,IFERROR(SUMIFS(Capacity_By_SKU!$K:$K,Capacity_By_SKU!$A:$A,$A5,Capacity_By_SKU!$C:$C,"Prod",Capacity_By_SKU!$D:$D,Request!$B$13)/MAX(SUMIFS(Capacity_By_SKU!$J:$J,Capacity_By_SKU!$A:$A,$A5,Capacity_By_SKU!$C:$C,"Prod",Capacity_By_SKU!$D:$D,Request!$B$13),1),0)),IF(OR(Request!$B$14="",Request!$C$14=""),1,IFERROR(SUMIFS(Capacity_By_SKU!$K:$K,Capacity_By_SKU!$A:$A,$A5,Capacity_By_SKU!$C:$C,"Prod",Capacity_By_SKU!$D:$D,Request!$B$14)/MAX(SUMIFS(Capacity_By_SKU!$J:$J,Capacity_By_SKU!$A:$A,$A5,Capacity_By_SKU!$C:$C,"Prod",Capacity_By_SKU!$D:$D,Request!$B$14),1),0)),IF(OR(Request!$B$15="",Request!$C$15=""),1,IFERROR(SUMIFS(Capacity_By_SKU!$K:$K,Capacity_By_SKU!$A:$A,$A5,Capacity_By_SKU!$C:$C,"Prod",Capacity_By_SKU!$D:$D,Request!$B$15)/MAX(SUMIFS(Capacity_By_SKU!$J:$J,Capacity_By_SKU!$A:$A,$A5,Capacity_By_SKU!$C:$C,"Prod",Capacity_By_SKU!$D:$D,Request!$B$15),1),0)))),0)</f>
        <v/>
      </c>
      <c r="M5" s="22">
        <f>IF(I5=1,ROUND(Policy!$B$4*J5+Policy!$B$5*K5+Policy!$B$6*L5,4),"")</f>
        <v/>
      </c>
      <c r="N5" s="16">
        <f>IF(I5=1,SUMPRODUCT(($I$4:$I$11=1)*($M$4:$M$11&gt;M5))+1,"")</f>
        <v/>
      </c>
      <c r="O5" s="16">
        <f>IF(I5=0,"N/A",IF(MIN(IF(OR(Request!$B$8="",Request!$C$8=""),1,IFERROR(SUMIFS(Capacity_By_SKU!$K:$K,Capacity_By_SKU!$A:$A,$A5,Capacity_By_SKU!$C:$C,"Prod",Capacity_By_SKU!$D:$D,Request!$B$8)/MAX(SUMIFS(Capacity_By_SKU!$J:$J,Capacity_By_SKU!$A:$A,$A5,Capacity_By_SKU!$C:$C,"Prod",Capacity_By_SKU!$D:$D,Request!$B$8),1),0)),IF(OR(Request!$B$9="",Request!$C$9=""),1,IFERROR(SUMIFS(Capacity_By_SKU!$K:$K,Capacity_By_SKU!$A:$A,$A5,Capacity_By_SKU!$C:$C,"Prod",Capacity_By_SKU!$D:$D,Request!$B$9)/MAX(SUMIFS(Capacity_By_SKU!$J:$J,Capacity_By_SKU!$A:$A,$A5,Capacity_By_SKU!$C:$C,"Prod",Capacity_By_SKU!$D:$D,Request!$B$9),1),0)),IF(OR(Request!$B$10="",Request!$C$10=""),1,IFERROR(SUMIFS(Capacity_By_SKU!$K:$K,Capacity_By_SKU!$A:$A,$A5,Capacity_By_SKU!$C:$C,"Prod",Capacity_By_SKU!$D:$D,Request!$B$10)/MAX(SUMIFS(Capacity_By_SKU!$J:$J,Capacity_By_SKU!$A:$A,$A5,Capacity_By_SKU!$C:$C,"Prod",Capacity_By_SKU!$D:$D,Request!$B$10),1),0)),IF(OR(Request!$B$11="",Request!$C$11=""),1,IFERROR(SUMIFS(Capacity_By_SKU!$K:$K,Capacity_By_SKU!$A:$A,$A5,Capacity_By_SKU!$C:$C,"Prod",Capacity_By_SKU!$D:$D,Request!$B$11)/MAX(SUMIFS(Capacity_By_SKU!$J:$J,Capacity_By_SKU!$A:$A,$A5,Capacity_By_SKU!$C:$C,"Prod",Capacity_By_SKU!$D:$D,Request!$B$11),1),0)),IF(OR(Request!$B$12="",Request!$C$12=""),1,IFERROR(SUMIFS(Capacity_By_SKU!$K:$K,Capacity_By_SKU!$A:$A,$A5,Capacity_By_SKU!$C:$C,"Prod",Capacity_By_SKU!$D:$D,Request!$B$12)/MAX(SUMIFS(Capacity_By_SKU!$J:$J,Capacity_By_SKU!$A:$A,$A5,Capacity_By_SKU!$C:$C,"Prod",Capacity_By_SKU!$D:$D,Request!$B$12),1),0)),IF(OR(Request!$B$13="",Request!$C$13=""),1,IFERROR(SUMIFS(Capacity_By_SKU!$K:$K,Capacity_By_SKU!$A:$A,$A5,Capacity_By_SKU!$C:$C,"Prod",Capacity_By_SKU!$D:$D,Request!$B$13)/MAX(SUMIFS(Capacity_By_SKU!$J:$J,Capacity_By_SKU!$A:$A,$A5,Capacity_By_SKU!$C:$C,"Prod",Capacity_By_SKU!$D:$D,Request!$B$13),1),0)),IF(OR(Request!$B$14="",Request!$C$14=""),1,IFERROR(SUMIFS(Capacity_By_SKU!$K:$K,Capacity_By_SKU!$A:$A,$A5,Capacity_By_SKU!$C:$C,"Prod",Capacity_By_SKU!$D:$D,Request!$B$14)/MAX(SUMIFS(Capacity_By_SKU!$J:$J,Capacity_By_SKU!$A:$A,$A5,Capacity_By_SKU!$C:$C,"Prod",Capacity_By_SKU!$D:$D,Request!$B$14),1),0)),IF(OR(Request!$B$15="",Request!$C$15=""),1,IFERROR(SUMIFS(Capacity_By_SKU!$K:$K,Capacity_By_SKU!$A:$A,$A5,Capacity_By_SKU!$C:$C,"Prod",Capacity_By_SKU!$D:$D,Request!$B$15)/MAX(SUMIFS(Capacity_By_SKU!$J:$J,Capacity_By_SKU!$A:$A,$A5,Capacity_By_SKU!$C:$C,"Prod",Capacity_By_SKU!$D:$D,Request!$B$15),1),0)))&lt;=MIN(IF(OR(Request!$B$8="",Request!$C$8=""),1,IFERROR(SUMIFS(Quota_Groups!$G:$G,Quota_Groups!$B:$B,$A5,Quota_Groups!$D:$D,IFERROR(VLOOKUP(Request!$B$8,SKU_Family_Map!$A:$B,2,FALSE),""))/MAX(SUMIFS(Quota_Groups!$E:$E,Quota_Groups!$B:$B,$A5,Quota_Groups!$D:$D,IFERROR(VLOOKUP(Request!$B$8,SKU_Family_Map!$A:$B,2,FALSE),"")),1),0)),IF(OR(Request!$B$9="",Request!$C$9=""),1,IFERROR(SUMIFS(Quota_Groups!$G:$G,Quota_Groups!$B:$B,$A5,Quota_Groups!$D:$D,IFERROR(VLOOKUP(Request!$B$9,SKU_Family_Map!$A:$B,2,FALSE),""))/MAX(SUMIFS(Quota_Groups!$E:$E,Quota_Groups!$B:$B,$A5,Quota_Groups!$D:$D,IFERROR(VLOOKUP(Request!$B$9,SKU_Family_Map!$A:$B,2,FALSE),"")),1),0)),IF(OR(Request!$B$10="",Request!$C$10=""),1,IFERROR(SUMIFS(Quota_Groups!$G:$G,Quota_Groups!$B:$B,$A5,Quota_Groups!$D:$D,IFERROR(VLOOKUP(Request!$B$10,SKU_Family_Map!$A:$B,2,FALSE),""))/MAX(SUMIFS(Quota_Groups!$E:$E,Quota_Groups!$B:$B,$A5,Quota_Groups!$D:$D,IFERROR(VLOOKUP(Request!$B$10,SKU_Family_Map!$A:$B,2,FALSE),"")),1),0)),IF(OR(Request!$B$11="",Request!$C$11=""),1,IFERROR(SUMIFS(Quota_Groups!$G:$G,Quota_Groups!$B:$B,$A5,Quota_Groups!$D:$D,IFERROR(VLOOKUP(Request!$B$11,SKU_Family_Map!$A:$B,2,FALSE),""))/MAX(SUMIFS(Quota_Groups!$E:$E,Quota_Groups!$B:$B,$A5,Quota_Groups!$D:$D,IFERROR(VLOOKUP(Request!$B$11,SKU_Family_Map!$A:$B,2,FALSE),"")),1),0)),IF(OR(Request!$B$12="",Request!$C$12=""),1,IFERROR(SUMIFS(Quota_Groups!$G:$G,Quota_Groups!$B:$B,$A5,Quota_Groups!$D:$D,IFERROR(VLOOKUP(Request!$B$12,SKU_Family_Map!$A:$B,2,FALSE),""))/MAX(SUMIFS(Quota_Groups!$E:$E,Quota_Groups!$B:$B,$A5,Quota_Groups!$D:$D,IFERROR(VLOOKUP(Request!$B$12,SKU_Family_Map!$A:$B,2,FALSE),"")),1),0)),IF(OR(Request!$B$13="",Request!$C$13=""),1,IFERROR(SUMIFS(Quota_Groups!$G:$G,Quota_Groups!$B:$B,$A5,Quota_Groups!$D:$D,IFERROR(VLOOKUP(Request!$B$13,SKU_Family_Map!$A:$B,2,FALSE),""))/MAX(SUMIFS(Quota_Groups!$E:$E,Quota_Groups!$B:$B,$A5,Quota_Groups!$D:$D,IFERROR(VLOOKUP(Request!$B$13,SKU_Family_Map!$A:$B,2,FALSE),"")),1),0)),IF(OR(Request!$B$14="",Request!$C$14=""),1,IFERROR(SUMIFS(Quota_Groups!$G:$G,Quota_Groups!$B:$B,$A5,Quota_Groups!$D:$D,IFERROR(VLOOKUP(Request!$B$14,SKU_Family_Map!$A:$B,2,FALSE),""))/MAX(SUMIFS(Quota_Groups!$E:$E,Quota_Groups!$B:$B,$A5,Quota_Groups!$D:$D,IFERROR(VLOOKUP(Request!$B$14,SKU_Family_Map!$A:$B,2,FALSE),"")),1),0)),IF(OR(Request!$B$15="",Request!$C$15=""),1,IFERROR(SUMIFS(Quota_Groups!$G:$G,Quota_Groups!$B:$B,$A5,Quota_Groups!$D:$D,IFERROR(VLOOKUP(Request!$B$15,SKU_Family_Map!$A:$B,2,FALSE),""))/MAX(SUMIFS(Quota_Groups!$E:$E,Quota_Groups!$B:$B,$A5,Quota_Groups!$D:$D,IFERROR(VLOOKUP(Request!$B$15,SKU_Family_Map!$A:$B,2,FALSE),"")),1),0))),"CAPACITY","QUOTA"))</f>
        <v/>
      </c>
    </row>
    <row r="6">
      <c r="A6" s="12" t="inlineStr">
        <is>
          <t>Canada Central</t>
        </is>
      </c>
      <c r="B6" s="16" t="inlineStr">
        <is>
          <t>US</t>
        </is>
      </c>
      <c r="C6" s="16" t="inlineStr">
        <is>
          <t>Prod</t>
        </is>
      </c>
      <c r="D6" s="16">
        <f>Request!$B$17</f>
        <v/>
      </c>
      <c r="E6" s="16">
        <f>Request!$B$18</f>
        <v/>
      </c>
      <c r="F6" s="16">
        <f>IF(B6=Request!$B$4,1,0)</f>
        <v/>
      </c>
      <c r="G6" s="18">
        <f>IF(Request!$B$17=0,0,MIN(IF(OR(Request!$B$8="",Request!$C$8=""),1,IF(MIN(SUMIFS(Capacity_By_SKU!$K:$K,Capacity_By_SKU!$A:$A,$A6,Capacity_By_SKU!$C:$C,"Prod",Capacity_By_SKU!$D:$D,Request!$B$8),SUMIFS(Quota_Groups!$G:$G,Quota_Groups!$B:$B,$A6,Quota_Groups!$D:$D,IFERROR(VLOOKUP(Request!$B$8,SKU_Family_Map!$A:$B,2,FALSE),"")))&gt;=Request!$E$8,1,0)),IF(OR(Request!$B$9="",Request!$C$9=""),1,IF(MIN(SUMIFS(Capacity_By_SKU!$K:$K,Capacity_By_SKU!$A:$A,$A6,Capacity_By_SKU!$C:$C,"Prod",Capacity_By_SKU!$D:$D,Request!$B$9),SUMIFS(Quota_Groups!$G:$G,Quota_Groups!$B:$B,$A6,Quota_Groups!$D:$D,IFERROR(VLOOKUP(Request!$B$9,SKU_Family_Map!$A:$B,2,FALSE),"")))&gt;=Request!$E$9,1,0)),IF(OR(Request!$B$10="",Request!$C$10=""),1,IF(MIN(SUMIFS(Capacity_By_SKU!$K:$K,Capacity_By_SKU!$A:$A,$A6,Capacity_By_SKU!$C:$C,"Prod",Capacity_By_SKU!$D:$D,Request!$B$10),SUMIFS(Quota_Groups!$G:$G,Quota_Groups!$B:$B,$A6,Quota_Groups!$D:$D,IFERROR(VLOOKUP(Request!$B$10,SKU_Family_Map!$A:$B,2,FALSE),"")))&gt;=Request!$E$10,1,0)),IF(OR(Request!$B$11="",Request!$C$11=""),1,IF(MIN(SUMIFS(Capacity_By_SKU!$K:$K,Capacity_By_SKU!$A:$A,$A6,Capacity_By_SKU!$C:$C,"Prod",Capacity_By_SKU!$D:$D,Request!$B$11),SUMIFS(Quota_Groups!$G:$G,Quota_Groups!$B:$B,$A6,Quota_Groups!$D:$D,IFERROR(VLOOKUP(Request!$B$11,SKU_Family_Map!$A:$B,2,FALSE),"")))&gt;=Request!$E$11,1,0)),IF(OR(Request!$B$12="",Request!$C$12=""),1,IF(MIN(SUMIFS(Capacity_By_SKU!$K:$K,Capacity_By_SKU!$A:$A,$A6,Capacity_By_SKU!$C:$C,"Prod",Capacity_By_SKU!$D:$D,Request!$B$12),SUMIFS(Quota_Groups!$G:$G,Quota_Groups!$B:$B,$A6,Quota_Groups!$D:$D,IFERROR(VLOOKUP(Request!$B$12,SKU_Family_Map!$A:$B,2,FALSE),"")))&gt;=Request!$E$12,1,0)),IF(OR(Request!$B$13="",Request!$C$13=""),1,IF(MIN(SUMIFS(Capacity_By_SKU!$K:$K,Capacity_By_SKU!$A:$A,$A6,Capacity_By_SKU!$C:$C,"Prod",Capacity_By_SKU!$D:$D,Request!$B$13),SUMIFS(Quota_Groups!$G:$G,Quota_Groups!$B:$B,$A6,Quota_Groups!$D:$D,IFERROR(VLOOKUP(Request!$B$13,SKU_Family_Map!$A:$B,2,FALSE),"")))&gt;=Request!$E$13,1,0)),IF(OR(Request!$B$14="",Request!$C$14=""),1,IF(MIN(SUMIFS(Capacity_By_SKU!$K:$K,Capacity_By_SKU!$A:$A,$A6,Capacity_By_SKU!$C:$C,"Prod",Capacity_By_SKU!$D:$D,Request!$B$14),SUMIFS(Quota_Groups!$G:$G,Quota_Groups!$B:$B,$A6,Quota_Groups!$D:$D,IFERROR(VLOOKUP(Request!$B$14,SKU_Family_Map!$A:$B,2,FALSE),"")))&gt;=Request!$E$14,1,0)),IF(OR(Request!$B$15="",Request!$C$15=""),1,IF(MIN(SUMIFS(Capacity_By_SKU!$K:$K,Capacity_By_SKU!$A:$A,$A6,Capacity_By_SKU!$C:$C,"Prod",Capacity_By_SKU!$D:$D,Request!$B$15),SUMIFS(Quota_Groups!$G:$G,Quota_Groups!$B:$B,$A6,Quota_Groups!$D:$D,IFERROR(VLOOKUP(Request!$B$15,SKU_Family_Map!$A:$B,2,FALSE),"")))&gt;=Request!$E$15,1,0))))</f>
        <v/>
      </c>
      <c r="H6" s="12">
        <f>IF(Request!$B$17=0,"NO_REQUEST",IF(SUM(IF(AND(Request!$B$8&lt;&gt;"",Request!$C$8&lt;&gt;"",SUMIFS(Capacity_By_SKU!$K:$K,Capacity_By_SKU!$A:$A,$A6,Capacity_By_SKU!$C:$C,"Prod",Capacity_By_SKU!$D:$D,Request!$B$8)&lt;=0),1,0),IF(AND(Request!$B$9&lt;&gt;"",Request!$C$9&lt;&gt;"",SUMIFS(Capacity_By_SKU!$K:$K,Capacity_By_SKU!$A:$A,$A6,Capacity_By_SKU!$C:$C,"Prod",Capacity_By_SKU!$D:$D,Request!$B$9)&lt;=0),1,0),IF(AND(Request!$B$10&lt;&gt;"",Request!$C$10&lt;&gt;"",SUMIFS(Capacity_By_SKU!$K:$K,Capacity_By_SKU!$A:$A,$A6,Capacity_By_SKU!$C:$C,"Prod",Capacity_By_SKU!$D:$D,Request!$B$10)&lt;=0),1,0),IF(AND(Request!$B$11&lt;&gt;"",Request!$C$11&lt;&gt;"",SUMIFS(Capacity_By_SKU!$K:$K,Capacity_By_SKU!$A:$A,$A6,Capacity_By_SKU!$C:$C,"Prod",Capacity_By_SKU!$D:$D,Request!$B$11)&lt;=0),1,0),IF(AND(Request!$B$12&lt;&gt;"",Request!$C$12&lt;&gt;"",SUMIFS(Capacity_By_SKU!$K:$K,Capacity_By_SKU!$A:$A,$A6,Capacity_By_SKU!$C:$C,"Prod",Capacity_By_SKU!$D:$D,Request!$B$12)&lt;=0),1,0),IF(AND(Request!$B$13&lt;&gt;"",Request!$C$13&lt;&gt;"",SUMIFS(Capacity_By_SKU!$K:$K,Capacity_By_SKU!$A:$A,$A6,Capacity_By_SKU!$C:$C,"Prod",Capacity_By_SKU!$D:$D,Request!$B$13)&lt;=0),1,0),IF(AND(Request!$B$14&lt;&gt;"",Request!$C$14&lt;&gt;"",SUMIFS(Capacity_By_SKU!$K:$K,Capacity_By_SKU!$A:$A,$A6,Capacity_By_SKU!$C:$C,"Prod",Capacity_By_SKU!$D:$D,Request!$B$14)&lt;=0),1,0),IF(AND(Request!$B$15&lt;&gt;"",Request!$C$15&lt;&gt;"",SUMIFS(Capacity_By_SKU!$K:$K,Capacity_By_SKU!$A:$A,$A6,Capacity_By_SKU!$C:$C,"Prod",Capacity_By_SKU!$D:$D,Request!$B$15)&lt;=0),1,0))&gt;0,"RESERVATION_DEFICIT",IF(SUM(IF(AND(Request!$B$8&lt;&gt;"",Request!$C$8&lt;&gt;"",SUMIFS(Quota_Groups!$G:$G,Quota_Groups!$B:$B,$A6,Quota_Groups!$D:$D,IFERROR(VLOOKUP(Request!$B$8,SKU_Family_Map!$A:$B,2,FALSE),""))&lt;=0),1,0),IF(AND(Request!$B$9&lt;&gt;"",Request!$C$9&lt;&gt;"",SUMIFS(Quota_Groups!$G:$G,Quota_Groups!$B:$B,$A6,Quota_Groups!$D:$D,IFERROR(VLOOKUP(Request!$B$9,SKU_Family_Map!$A:$B,2,FALSE),""))&lt;=0),1,0),IF(AND(Request!$B$10&lt;&gt;"",Request!$C$10&lt;&gt;"",SUMIFS(Quota_Groups!$G:$G,Quota_Groups!$B:$B,$A6,Quota_Groups!$D:$D,IFERROR(VLOOKUP(Request!$B$10,SKU_Family_Map!$A:$B,2,FALSE),""))&lt;=0),1,0),IF(AND(Request!$B$11&lt;&gt;"",Request!$C$11&lt;&gt;"",SUMIFS(Quota_Groups!$G:$G,Quota_Groups!$B:$B,$A6,Quota_Groups!$D:$D,IFERROR(VLOOKUP(Request!$B$11,SKU_Family_Map!$A:$B,2,FALSE),""))&lt;=0),1,0),IF(AND(Request!$B$12&lt;&gt;"",Request!$C$12&lt;&gt;"",SUMIFS(Quota_Groups!$G:$G,Quota_Groups!$B:$B,$A6,Quota_Groups!$D:$D,IFERROR(VLOOKUP(Request!$B$12,SKU_Family_Map!$A:$B,2,FALSE),""))&lt;=0),1,0),IF(AND(Request!$B$13&lt;&gt;"",Request!$C$13&lt;&gt;"",SUMIFS(Quota_Groups!$G:$G,Quota_Groups!$B:$B,$A6,Quota_Groups!$D:$D,IFERROR(VLOOKUP(Request!$B$13,SKU_Family_Map!$A:$B,2,FALSE),""))&lt;=0),1,0),IF(AND(Request!$B$14&lt;&gt;"",Request!$C$14&lt;&gt;"",SUMIFS(Quota_Groups!$G:$G,Quota_Groups!$B:$B,$A6,Quota_Groups!$D:$D,IFERROR(VLOOKUP(Request!$B$14,SKU_Family_Map!$A:$B,2,FALSE),""))&lt;=0),1,0),IF(AND(Request!$B$15&lt;&gt;"",Request!$C$15&lt;&gt;"",SUMIFS(Quota_Groups!$G:$G,Quota_Groups!$B:$B,$A6,Quota_Groups!$D:$D,IFERROR(VLOOKUP(Request!$B$15,SKU_Family_Map!$A:$B,2,FALSE),""))&lt;=0),1,0))&gt;0,"QUOTA_DEFICIT",IF(G6=0,"CAPACITY_DEFICIT",IF(MIN(IF(OR(Request!$B$8="",Request!$C$8=""),1,IFERROR(1-Request!$E$8/MIN(SUMIFS(Capacity_By_SKU!$K:$K,Capacity_By_SKU!$A:$A,$A6,Capacity_By_SKU!$C:$C,"Prod",Capacity_By_SKU!$D:$D,Request!$B$8),SUMIFS(Quota_Groups!$G:$G,Quota_Groups!$B:$B,$A6,Quota_Groups!$D:$D,IFERROR(VLOOKUP(Request!$B$8,SKU_Family_Map!$A:$B,2,FALSE),""))),0)),IF(OR(Request!$B$9="",Request!$C$9=""),1,IFERROR(1-Request!$E$9/MIN(SUMIFS(Capacity_By_SKU!$K:$K,Capacity_By_SKU!$A:$A,$A6,Capacity_By_SKU!$C:$C,"Prod",Capacity_By_SKU!$D:$D,Request!$B$9),SUMIFS(Quota_Groups!$G:$G,Quota_Groups!$B:$B,$A6,Quota_Groups!$D:$D,IFERROR(VLOOKUP(Request!$B$9,SKU_Family_Map!$A:$B,2,FALSE),""))),0)),IF(OR(Request!$B$10="",Request!$C$10=""),1,IFERROR(1-Request!$E$10/MIN(SUMIFS(Capacity_By_SKU!$K:$K,Capacity_By_SKU!$A:$A,$A6,Capacity_By_SKU!$C:$C,"Prod",Capacity_By_SKU!$D:$D,Request!$B$10),SUMIFS(Quota_Groups!$G:$G,Quota_Groups!$B:$B,$A6,Quota_Groups!$D:$D,IFERROR(VLOOKUP(Request!$B$10,SKU_Family_Map!$A:$B,2,FALSE),""))),0)),IF(OR(Request!$B$11="",Request!$C$11=""),1,IFERROR(1-Request!$E$11/MIN(SUMIFS(Capacity_By_SKU!$K:$K,Capacity_By_SKU!$A:$A,$A6,Capacity_By_SKU!$C:$C,"Prod",Capacity_By_SKU!$D:$D,Request!$B$11),SUMIFS(Quota_Groups!$G:$G,Quota_Groups!$B:$B,$A6,Quota_Groups!$D:$D,IFERROR(VLOOKUP(Request!$B$11,SKU_Family_Map!$A:$B,2,FALSE),""))),0)),IF(OR(Request!$B$12="",Request!$C$12=""),1,IFERROR(1-Request!$E$12/MIN(SUMIFS(Capacity_By_SKU!$K:$K,Capacity_By_SKU!$A:$A,$A6,Capacity_By_SKU!$C:$C,"Prod",Capacity_By_SKU!$D:$D,Request!$B$12),SUMIFS(Quota_Groups!$G:$G,Quota_Groups!$B:$B,$A6,Quota_Groups!$D:$D,IFERROR(VLOOKUP(Request!$B$12,SKU_Family_Map!$A:$B,2,FALSE),""))),0)),IF(OR(Request!$B$13="",Request!$C$13=""),1,IFERROR(1-Request!$E$13/MIN(SUMIFS(Capacity_By_SKU!$K:$K,Capacity_By_SKU!$A:$A,$A6,Capacity_By_SKU!$C:$C,"Prod",Capacity_By_SKU!$D:$D,Request!$B$13),SUMIFS(Quota_Groups!$G:$G,Quota_Groups!$B:$B,$A6,Quota_Groups!$D:$D,IFERROR(VLOOKUP(Request!$B$13,SKU_Family_Map!$A:$B,2,FALSE),""))),0)),IF(OR(Request!$B$14="",Request!$C$14=""),1,IFERROR(1-Request!$E$14/MIN(SUMIFS(Capacity_By_SKU!$K:$K,Capacity_By_SKU!$A:$A,$A6,Capacity_By_SKU!$C:$C,"Prod",Capacity_By_SKU!$D:$D,Request!$B$14),SUMIFS(Quota_Groups!$G:$G,Quota_Groups!$B:$B,$A6,Quota_Groups!$D:$D,IFERROR(VLOOKUP(Request!$B$14,SKU_Family_Map!$A:$B,2,FALSE),""))),0)),IF(OR(Request!$B$15="",Request!$C$15=""),1,IFERROR(1-Request!$E$15/MIN(SUMIFS(Capacity_By_SKU!$K:$K,Capacity_By_SKU!$A:$A,$A6,Capacity_By_SKU!$C:$C,"Prod",Capacity_By_SKU!$D:$D,Request!$B$15),SUMIFS(Quota_Groups!$G:$G,Quota_Groups!$B:$B,$A6,Quota_Groups!$D:$D,IFERROR(VLOOKUP(Request!$B$15,SKU_Family_Map!$A:$B,2,FALSE),""))),0)))&lt;Policy!$B$10,"READY_WITH_RISK","READY")))))</f>
        <v/>
      </c>
      <c r="I6" s="16">
        <f>IF(AND(F6=1,G6=1,OR(H6="READY",H6="READY_WITH_RISK")),1,0)</f>
        <v/>
      </c>
      <c r="J6" s="16">
        <f>IF(I6=1,MAX(0,MIN(IF(OR(Request!$B$8="",Request!$C$8=""),1,IFERROR(1-Request!$E$8/MIN(SUMIFS(Capacity_By_SKU!$K:$K,Capacity_By_SKU!$A:$A,$A6,Capacity_By_SKU!$C:$C,"Prod",Capacity_By_SKU!$D:$D,Request!$B$8),SUMIFS(Quota_Groups!$G:$G,Quota_Groups!$B:$B,$A6,Quota_Groups!$D:$D,IFERROR(VLOOKUP(Request!$B$8,SKU_Family_Map!$A:$B,2,FALSE),""))),0)),IF(OR(Request!$B$9="",Request!$C$9=""),1,IFERROR(1-Request!$E$9/MIN(SUMIFS(Capacity_By_SKU!$K:$K,Capacity_By_SKU!$A:$A,$A6,Capacity_By_SKU!$C:$C,"Prod",Capacity_By_SKU!$D:$D,Request!$B$9),SUMIFS(Quota_Groups!$G:$G,Quota_Groups!$B:$B,$A6,Quota_Groups!$D:$D,IFERROR(VLOOKUP(Request!$B$9,SKU_Family_Map!$A:$B,2,FALSE),""))),0)),IF(OR(Request!$B$10="",Request!$C$10=""),1,IFERROR(1-Request!$E$10/MIN(SUMIFS(Capacity_By_SKU!$K:$K,Capacity_By_SKU!$A:$A,$A6,Capacity_By_SKU!$C:$C,"Prod",Capacity_By_SKU!$D:$D,Request!$B$10),SUMIFS(Quota_Groups!$G:$G,Quota_Groups!$B:$B,$A6,Quota_Groups!$D:$D,IFERROR(VLOOKUP(Request!$B$10,SKU_Family_Map!$A:$B,2,FALSE),""))),0)),IF(OR(Request!$B$11="",Request!$C$11=""),1,IFERROR(1-Request!$E$11/MIN(SUMIFS(Capacity_By_SKU!$K:$K,Capacity_By_SKU!$A:$A,$A6,Capacity_By_SKU!$C:$C,"Prod",Capacity_By_SKU!$D:$D,Request!$B$11),SUMIFS(Quota_Groups!$G:$G,Quota_Groups!$B:$B,$A6,Quota_Groups!$D:$D,IFERROR(VLOOKUP(Request!$B$11,SKU_Family_Map!$A:$B,2,FALSE),""))),0)),IF(OR(Request!$B$12="",Request!$C$12=""),1,IFERROR(1-Request!$E$12/MIN(SUMIFS(Capacity_By_SKU!$K:$K,Capacity_By_SKU!$A:$A,$A6,Capacity_By_SKU!$C:$C,"Prod",Capacity_By_SKU!$D:$D,Request!$B$12),SUMIFS(Quota_Groups!$G:$G,Quota_Groups!$B:$B,$A6,Quota_Groups!$D:$D,IFERROR(VLOOKUP(Request!$B$12,SKU_Family_Map!$A:$B,2,FALSE),""))),0)),IF(OR(Request!$B$13="",Request!$C$13=""),1,IFERROR(1-Request!$E$13/MIN(SUMIFS(Capacity_By_SKU!$K:$K,Capacity_By_SKU!$A:$A,$A6,Capacity_By_SKU!$C:$C,"Prod",Capacity_By_SKU!$D:$D,Request!$B$13),SUMIFS(Quota_Groups!$G:$G,Quota_Groups!$B:$B,$A6,Quota_Groups!$D:$D,IFERROR(VLOOKUP(Request!$B$13,SKU_Family_Map!$A:$B,2,FALSE),""))),0)),IF(OR(Request!$B$14="",Request!$C$14=""),1,IFERROR(1-Request!$E$14/MIN(SUMIFS(Capacity_By_SKU!$K:$K,Capacity_By_SKU!$A:$A,$A6,Capacity_By_SKU!$C:$C,"Prod",Capacity_By_SKU!$D:$D,Request!$B$14),SUMIFS(Quota_Groups!$G:$G,Quota_Groups!$B:$B,$A6,Quota_Groups!$D:$D,IFERROR(VLOOKUP(Request!$B$14,SKU_Family_Map!$A:$B,2,FALSE),""))),0)),IF(OR(Request!$B$15="",Request!$C$15=""),1,IFERROR(1-Request!$E$15/MIN(SUMIFS(Capacity_By_SKU!$K:$K,Capacity_By_SKU!$A:$A,$A6,Capacity_By_SKU!$C:$C,"Prod",Capacity_By_SKU!$D:$D,Request!$B$15),SUMIFS(Quota_Groups!$G:$G,Quota_Groups!$B:$B,$A6,Quota_Groups!$D:$D,IFERROR(VLOOKUP(Request!$B$15,SKU_Family_Map!$A:$B,2,FALSE),""))),0)))),0)</f>
        <v/>
      </c>
      <c r="K6" s="16">
        <f>IF(I6=1,MAX(0,MIN(IF(OR(Request!$B$8="",Request!$C$8=""),1,IFERROR(SUMIFS(Quota_Groups!$G:$G,Quota_Groups!$B:$B,$A6,Quota_Groups!$D:$D,IFERROR(VLOOKUP(Request!$B$8,SKU_Family_Map!$A:$B,2,FALSE),""))/MAX(SUMIFS(Quota_Groups!$E:$E,Quota_Groups!$B:$B,$A6,Quota_Groups!$D:$D,IFERROR(VLOOKUP(Request!$B$8,SKU_Family_Map!$A:$B,2,FALSE),"")),1),0)),IF(OR(Request!$B$9="",Request!$C$9=""),1,IFERROR(SUMIFS(Quota_Groups!$G:$G,Quota_Groups!$B:$B,$A6,Quota_Groups!$D:$D,IFERROR(VLOOKUP(Request!$B$9,SKU_Family_Map!$A:$B,2,FALSE),""))/MAX(SUMIFS(Quota_Groups!$E:$E,Quota_Groups!$B:$B,$A6,Quota_Groups!$D:$D,IFERROR(VLOOKUP(Request!$B$9,SKU_Family_Map!$A:$B,2,FALSE),"")),1),0)),IF(OR(Request!$B$10="",Request!$C$10=""),1,IFERROR(SUMIFS(Quota_Groups!$G:$G,Quota_Groups!$B:$B,$A6,Quota_Groups!$D:$D,IFERROR(VLOOKUP(Request!$B$10,SKU_Family_Map!$A:$B,2,FALSE),""))/MAX(SUMIFS(Quota_Groups!$E:$E,Quota_Groups!$B:$B,$A6,Quota_Groups!$D:$D,IFERROR(VLOOKUP(Request!$B$10,SKU_Family_Map!$A:$B,2,FALSE),"")),1),0)),IF(OR(Request!$B$11="",Request!$C$11=""),1,IFERROR(SUMIFS(Quota_Groups!$G:$G,Quota_Groups!$B:$B,$A6,Quota_Groups!$D:$D,IFERROR(VLOOKUP(Request!$B$11,SKU_Family_Map!$A:$B,2,FALSE),""))/MAX(SUMIFS(Quota_Groups!$E:$E,Quota_Groups!$B:$B,$A6,Quota_Groups!$D:$D,IFERROR(VLOOKUP(Request!$B$11,SKU_Family_Map!$A:$B,2,FALSE),"")),1),0)),IF(OR(Request!$B$12="",Request!$C$12=""),1,IFERROR(SUMIFS(Quota_Groups!$G:$G,Quota_Groups!$B:$B,$A6,Quota_Groups!$D:$D,IFERROR(VLOOKUP(Request!$B$12,SKU_Family_Map!$A:$B,2,FALSE),""))/MAX(SUMIFS(Quota_Groups!$E:$E,Quota_Groups!$B:$B,$A6,Quota_Groups!$D:$D,IFERROR(VLOOKUP(Request!$B$12,SKU_Family_Map!$A:$B,2,FALSE),"")),1),0)),IF(OR(Request!$B$13="",Request!$C$13=""),1,IFERROR(SUMIFS(Quota_Groups!$G:$G,Quota_Groups!$B:$B,$A6,Quota_Groups!$D:$D,IFERROR(VLOOKUP(Request!$B$13,SKU_Family_Map!$A:$B,2,FALSE),""))/MAX(SUMIFS(Quota_Groups!$E:$E,Quota_Groups!$B:$B,$A6,Quota_Groups!$D:$D,IFERROR(VLOOKUP(Request!$B$13,SKU_Family_Map!$A:$B,2,FALSE),"")),1),0)),IF(OR(Request!$B$14="",Request!$C$14=""),1,IFERROR(SUMIFS(Quota_Groups!$G:$G,Quota_Groups!$B:$B,$A6,Quota_Groups!$D:$D,IFERROR(VLOOKUP(Request!$B$14,SKU_Family_Map!$A:$B,2,FALSE),""))/MAX(SUMIFS(Quota_Groups!$E:$E,Quota_Groups!$B:$B,$A6,Quota_Groups!$D:$D,IFERROR(VLOOKUP(Request!$B$14,SKU_Family_Map!$A:$B,2,FALSE),"")),1),0)),IF(OR(Request!$B$15="",Request!$C$15=""),1,IFERROR(SUMIFS(Quota_Groups!$G:$G,Quota_Groups!$B:$B,$A6,Quota_Groups!$D:$D,IFERROR(VLOOKUP(Request!$B$15,SKU_Family_Map!$A:$B,2,FALSE),""))/MAX(SUMIFS(Quota_Groups!$E:$E,Quota_Groups!$B:$B,$A6,Quota_Groups!$D:$D,IFERROR(VLOOKUP(Request!$B$15,SKU_Family_Map!$A:$B,2,FALSE),"")),1),0)))),0)</f>
        <v/>
      </c>
      <c r="L6" s="16">
        <f>IF(I6=1,MAX(0,MIN(IF(OR(Request!$B$8="",Request!$C$8=""),1,IFERROR(SUMIFS(Capacity_By_SKU!$K:$K,Capacity_By_SKU!$A:$A,$A6,Capacity_By_SKU!$C:$C,"Prod",Capacity_By_SKU!$D:$D,Request!$B$8)/MAX(SUMIFS(Capacity_By_SKU!$J:$J,Capacity_By_SKU!$A:$A,$A6,Capacity_By_SKU!$C:$C,"Prod",Capacity_By_SKU!$D:$D,Request!$B$8),1),0)),IF(OR(Request!$B$9="",Request!$C$9=""),1,IFERROR(SUMIFS(Capacity_By_SKU!$K:$K,Capacity_By_SKU!$A:$A,$A6,Capacity_By_SKU!$C:$C,"Prod",Capacity_By_SKU!$D:$D,Request!$B$9)/MAX(SUMIFS(Capacity_By_SKU!$J:$J,Capacity_By_SKU!$A:$A,$A6,Capacity_By_SKU!$C:$C,"Prod",Capacity_By_SKU!$D:$D,Request!$B$9),1),0)),IF(OR(Request!$B$10="",Request!$C$10=""),1,IFERROR(SUMIFS(Capacity_By_SKU!$K:$K,Capacity_By_SKU!$A:$A,$A6,Capacity_By_SKU!$C:$C,"Prod",Capacity_By_SKU!$D:$D,Request!$B$10)/MAX(SUMIFS(Capacity_By_SKU!$J:$J,Capacity_By_SKU!$A:$A,$A6,Capacity_By_SKU!$C:$C,"Prod",Capacity_By_SKU!$D:$D,Request!$B$10),1),0)),IF(OR(Request!$B$11="",Request!$C$11=""),1,IFERROR(SUMIFS(Capacity_By_SKU!$K:$K,Capacity_By_SKU!$A:$A,$A6,Capacity_By_SKU!$C:$C,"Prod",Capacity_By_SKU!$D:$D,Request!$B$11)/MAX(SUMIFS(Capacity_By_SKU!$J:$J,Capacity_By_SKU!$A:$A,$A6,Capacity_By_SKU!$C:$C,"Prod",Capacity_By_SKU!$D:$D,Request!$B$11),1),0)),IF(OR(Request!$B$12="",Request!$C$12=""),1,IFERROR(SUMIFS(Capacity_By_SKU!$K:$K,Capacity_By_SKU!$A:$A,$A6,Capacity_By_SKU!$C:$C,"Prod",Capacity_By_SKU!$D:$D,Request!$B$12)/MAX(SUMIFS(Capacity_By_SKU!$J:$J,Capacity_By_SKU!$A:$A,$A6,Capacity_By_SKU!$C:$C,"Prod",Capacity_By_SKU!$D:$D,Request!$B$12),1),0)),IF(OR(Request!$B$13="",Request!$C$13=""),1,IFERROR(SUMIFS(Capacity_By_SKU!$K:$K,Capacity_By_SKU!$A:$A,$A6,Capacity_By_SKU!$C:$C,"Prod",Capacity_By_SKU!$D:$D,Request!$B$13)/MAX(SUMIFS(Capacity_By_SKU!$J:$J,Capacity_By_SKU!$A:$A,$A6,Capacity_By_SKU!$C:$C,"Prod",Capacity_By_SKU!$D:$D,Request!$B$13),1),0)),IF(OR(Request!$B$14="",Request!$C$14=""),1,IFERROR(SUMIFS(Capacity_By_SKU!$K:$K,Capacity_By_SKU!$A:$A,$A6,Capacity_By_SKU!$C:$C,"Prod",Capacity_By_SKU!$D:$D,Request!$B$14)/MAX(SUMIFS(Capacity_By_SKU!$J:$J,Capacity_By_SKU!$A:$A,$A6,Capacity_By_SKU!$C:$C,"Prod",Capacity_By_SKU!$D:$D,Request!$B$14),1),0)),IF(OR(Request!$B$15="",Request!$C$15=""),1,IFERROR(SUMIFS(Capacity_By_SKU!$K:$K,Capacity_By_SKU!$A:$A,$A6,Capacity_By_SKU!$C:$C,"Prod",Capacity_By_SKU!$D:$D,Request!$B$15)/MAX(SUMIFS(Capacity_By_SKU!$J:$J,Capacity_By_SKU!$A:$A,$A6,Capacity_By_SKU!$C:$C,"Prod",Capacity_By_SKU!$D:$D,Request!$B$15),1),0)))),0)</f>
        <v/>
      </c>
      <c r="M6" s="22">
        <f>IF(I6=1,ROUND(Policy!$B$4*J6+Policy!$B$5*K6+Policy!$B$6*L6,4),"")</f>
        <v/>
      </c>
      <c r="N6" s="16">
        <f>IF(I6=1,SUMPRODUCT(($I$4:$I$11=1)*($M$4:$M$11&gt;M6))+1,"")</f>
        <v/>
      </c>
      <c r="O6" s="16">
        <f>IF(I6=0,"N/A",IF(MIN(IF(OR(Request!$B$8="",Request!$C$8=""),1,IFERROR(SUMIFS(Capacity_By_SKU!$K:$K,Capacity_By_SKU!$A:$A,$A6,Capacity_By_SKU!$C:$C,"Prod",Capacity_By_SKU!$D:$D,Request!$B$8)/MAX(SUMIFS(Capacity_By_SKU!$J:$J,Capacity_By_SKU!$A:$A,$A6,Capacity_By_SKU!$C:$C,"Prod",Capacity_By_SKU!$D:$D,Request!$B$8),1),0)),IF(OR(Request!$B$9="",Request!$C$9=""),1,IFERROR(SUMIFS(Capacity_By_SKU!$K:$K,Capacity_By_SKU!$A:$A,$A6,Capacity_By_SKU!$C:$C,"Prod",Capacity_By_SKU!$D:$D,Request!$B$9)/MAX(SUMIFS(Capacity_By_SKU!$J:$J,Capacity_By_SKU!$A:$A,$A6,Capacity_By_SKU!$C:$C,"Prod",Capacity_By_SKU!$D:$D,Request!$B$9),1),0)),IF(OR(Request!$B$10="",Request!$C$10=""),1,IFERROR(SUMIFS(Capacity_By_SKU!$K:$K,Capacity_By_SKU!$A:$A,$A6,Capacity_By_SKU!$C:$C,"Prod",Capacity_By_SKU!$D:$D,Request!$B$10)/MAX(SUMIFS(Capacity_By_SKU!$J:$J,Capacity_By_SKU!$A:$A,$A6,Capacity_By_SKU!$C:$C,"Prod",Capacity_By_SKU!$D:$D,Request!$B$10),1),0)),IF(OR(Request!$B$11="",Request!$C$11=""),1,IFERROR(SUMIFS(Capacity_By_SKU!$K:$K,Capacity_By_SKU!$A:$A,$A6,Capacity_By_SKU!$C:$C,"Prod",Capacity_By_SKU!$D:$D,Request!$B$11)/MAX(SUMIFS(Capacity_By_SKU!$J:$J,Capacity_By_SKU!$A:$A,$A6,Capacity_By_SKU!$C:$C,"Prod",Capacity_By_SKU!$D:$D,Request!$B$11),1),0)),IF(OR(Request!$B$12="",Request!$C$12=""),1,IFERROR(SUMIFS(Capacity_By_SKU!$K:$K,Capacity_By_SKU!$A:$A,$A6,Capacity_By_SKU!$C:$C,"Prod",Capacity_By_SKU!$D:$D,Request!$B$12)/MAX(SUMIFS(Capacity_By_SKU!$J:$J,Capacity_By_SKU!$A:$A,$A6,Capacity_By_SKU!$C:$C,"Prod",Capacity_By_SKU!$D:$D,Request!$B$12),1),0)),IF(OR(Request!$B$13="",Request!$C$13=""),1,IFERROR(SUMIFS(Capacity_By_SKU!$K:$K,Capacity_By_SKU!$A:$A,$A6,Capacity_By_SKU!$C:$C,"Prod",Capacity_By_SKU!$D:$D,Request!$B$13)/MAX(SUMIFS(Capacity_By_SKU!$J:$J,Capacity_By_SKU!$A:$A,$A6,Capacity_By_SKU!$C:$C,"Prod",Capacity_By_SKU!$D:$D,Request!$B$13),1),0)),IF(OR(Request!$B$14="",Request!$C$14=""),1,IFERROR(SUMIFS(Capacity_By_SKU!$K:$K,Capacity_By_SKU!$A:$A,$A6,Capacity_By_SKU!$C:$C,"Prod",Capacity_By_SKU!$D:$D,Request!$B$14)/MAX(SUMIFS(Capacity_By_SKU!$J:$J,Capacity_By_SKU!$A:$A,$A6,Capacity_By_SKU!$C:$C,"Prod",Capacity_By_SKU!$D:$D,Request!$B$14),1),0)),IF(OR(Request!$B$15="",Request!$C$15=""),1,IFERROR(SUMIFS(Capacity_By_SKU!$K:$K,Capacity_By_SKU!$A:$A,$A6,Capacity_By_SKU!$C:$C,"Prod",Capacity_By_SKU!$D:$D,Request!$B$15)/MAX(SUMIFS(Capacity_By_SKU!$J:$J,Capacity_By_SKU!$A:$A,$A6,Capacity_By_SKU!$C:$C,"Prod",Capacity_By_SKU!$D:$D,Request!$B$15),1),0)))&lt;=MIN(IF(OR(Request!$B$8="",Request!$C$8=""),1,IFERROR(SUMIFS(Quota_Groups!$G:$G,Quota_Groups!$B:$B,$A6,Quota_Groups!$D:$D,IFERROR(VLOOKUP(Request!$B$8,SKU_Family_Map!$A:$B,2,FALSE),""))/MAX(SUMIFS(Quota_Groups!$E:$E,Quota_Groups!$B:$B,$A6,Quota_Groups!$D:$D,IFERROR(VLOOKUP(Request!$B$8,SKU_Family_Map!$A:$B,2,FALSE),"")),1),0)),IF(OR(Request!$B$9="",Request!$C$9=""),1,IFERROR(SUMIFS(Quota_Groups!$G:$G,Quota_Groups!$B:$B,$A6,Quota_Groups!$D:$D,IFERROR(VLOOKUP(Request!$B$9,SKU_Family_Map!$A:$B,2,FALSE),""))/MAX(SUMIFS(Quota_Groups!$E:$E,Quota_Groups!$B:$B,$A6,Quota_Groups!$D:$D,IFERROR(VLOOKUP(Request!$B$9,SKU_Family_Map!$A:$B,2,FALSE),"")),1),0)),IF(OR(Request!$B$10="",Request!$C$10=""),1,IFERROR(SUMIFS(Quota_Groups!$G:$G,Quota_Groups!$B:$B,$A6,Quota_Groups!$D:$D,IFERROR(VLOOKUP(Request!$B$10,SKU_Family_Map!$A:$B,2,FALSE),""))/MAX(SUMIFS(Quota_Groups!$E:$E,Quota_Groups!$B:$B,$A6,Quota_Groups!$D:$D,IFERROR(VLOOKUP(Request!$B$10,SKU_Family_Map!$A:$B,2,FALSE),"")),1),0)),IF(OR(Request!$B$11="",Request!$C$11=""),1,IFERROR(SUMIFS(Quota_Groups!$G:$G,Quota_Groups!$B:$B,$A6,Quota_Groups!$D:$D,IFERROR(VLOOKUP(Request!$B$11,SKU_Family_Map!$A:$B,2,FALSE),""))/MAX(SUMIFS(Quota_Groups!$E:$E,Quota_Groups!$B:$B,$A6,Quota_Groups!$D:$D,IFERROR(VLOOKUP(Request!$B$11,SKU_Family_Map!$A:$B,2,FALSE),"")),1),0)),IF(OR(Request!$B$12="",Request!$C$12=""),1,IFERROR(SUMIFS(Quota_Groups!$G:$G,Quota_Groups!$B:$B,$A6,Quota_Groups!$D:$D,IFERROR(VLOOKUP(Request!$B$12,SKU_Family_Map!$A:$B,2,FALSE),""))/MAX(SUMIFS(Quota_Groups!$E:$E,Quota_Groups!$B:$B,$A6,Quota_Groups!$D:$D,IFERROR(VLOOKUP(Request!$B$12,SKU_Family_Map!$A:$B,2,FALSE),"")),1),0)),IF(OR(Request!$B$13="",Request!$C$13=""),1,IFERROR(SUMIFS(Quota_Groups!$G:$G,Quota_Groups!$B:$B,$A6,Quota_Groups!$D:$D,IFERROR(VLOOKUP(Request!$B$13,SKU_Family_Map!$A:$B,2,FALSE),""))/MAX(SUMIFS(Quota_Groups!$E:$E,Quota_Groups!$B:$B,$A6,Quota_Groups!$D:$D,IFERROR(VLOOKUP(Request!$B$13,SKU_Family_Map!$A:$B,2,FALSE),"")),1),0)),IF(OR(Request!$B$14="",Request!$C$14=""),1,IFERROR(SUMIFS(Quota_Groups!$G:$G,Quota_Groups!$B:$B,$A6,Quota_Groups!$D:$D,IFERROR(VLOOKUP(Request!$B$14,SKU_Family_Map!$A:$B,2,FALSE),""))/MAX(SUMIFS(Quota_Groups!$E:$E,Quota_Groups!$B:$B,$A6,Quota_Groups!$D:$D,IFERROR(VLOOKUP(Request!$B$14,SKU_Family_Map!$A:$B,2,FALSE),"")),1),0)),IF(OR(Request!$B$15="",Request!$C$15=""),1,IFERROR(SUMIFS(Quota_Groups!$G:$G,Quota_Groups!$B:$B,$A6,Quota_Groups!$D:$D,IFERROR(VLOOKUP(Request!$B$15,SKU_Family_Map!$A:$B,2,FALSE),""))/MAX(SUMIFS(Quota_Groups!$E:$E,Quota_Groups!$B:$B,$A6,Quota_Groups!$D:$D,IFERROR(VLOOKUP(Request!$B$15,SKU_Family_Map!$A:$B,2,FALSE),"")),1),0))),"CAPACITY","QUOTA"))</f>
        <v/>
      </c>
    </row>
    <row r="7">
      <c r="A7" s="12" t="inlineStr">
        <is>
          <t>East US 2</t>
        </is>
      </c>
      <c r="B7" s="16" t="inlineStr">
        <is>
          <t>US</t>
        </is>
      </c>
      <c r="C7" s="16" t="inlineStr">
        <is>
          <t>Prod</t>
        </is>
      </c>
      <c r="D7" s="16">
        <f>Request!$B$17</f>
        <v/>
      </c>
      <c r="E7" s="16">
        <f>Request!$B$18</f>
        <v/>
      </c>
      <c r="F7" s="16">
        <f>IF(B7=Request!$B$4,1,0)</f>
        <v/>
      </c>
      <c r="G7" s="18">
        <f>IF(Request!$B$17=0,0,MIN(IF(OR(Request!$B$8="",Request!$C$8=""),1,IF(MIN(SUMIFS(Capacity_By_SKU!$K:$K,Capacity_By_SKU!$A:$A,$A7,Capacity_By_SKU!$C:$C,"Prod",Capacity_By_SKU!$D:$D,Request!$B$8),SUMIFS(Quota_Groups!$G:$G,Quota_Groups!$B:$B,$A7,Quota_Groups!$D:$D,IFERROR(VLOOKUP(Request!$B$8,SKU_Family_Map!$A:$B,2,FALSE),"")))&gt;=Request!$E$8,1,0)),IF(OR(Request!$B$9="",Request!$C$9=""),1,IF(MIN(SUMIFS(Capacity_By_SKU!$K:$K,Capacity_By_SKU!$A:$A,$A7,Capacity_By_SKU!$C:$C,"Prod",Capacity_By_SKU!$D:$D,Request!$B$9),SUMIFS(Quota_Groups!$G:$G,Quota_Groups!$B:$B,$A7,Quota_Groups!$D:$D,IFERROR(VLOOKUP(Request!$B$9,SKU_Family_Map!$A:$B,2,FALSE),"")))&gt;=Request!$E$9,1,0)),IF(OR(Request!$B$10="",Request!$C$10=""),1,IF(MIN(SUMIFS(Capacity_By_SKU!$K:$K,Capacity_By_SKU!$A:$A,$A7,Capacity_By_SKU!$C:$C,"Prod",Capacity_By_SKU!$D:$D,Request!$B$10),SUMIFS(Quota_Groups!$G:$G,Quota_Groups!$B:$B,$A7,Quota_Groups!$D:$D,IFERROR(VLOOKUP(Request!$B$10,SKU_Family_Map!$A:$B,2,FALSE),"")))&gt;=Request!$E$10,1,0)),IF(OR(Request!$B$11="",Request!$C$11=""),1,IF(MIN(SUMIFS(Capacity_By_SKU!$K:$K,Capacity_By_SKU!$A:$A,$A7,Capacity_By_SKU!$C:$C,"Prod",Capacity_By_SKU!$D:$D,Request!$B$11),SUMIFS(Quota_Groups!$G:$G,Quota_Groups!$B:$B,$A7,Quota_Groups!$D:$D,IFERROR(VLOOKUP(Request!$B$11,SKU_Family_Map!$A:$B,2,FALSE),"")))&gt;=Request!$E$11,1,0)),IF(OR(Request!$B$12="",Request!$C$12=""),1,IF(MIN(SUMIFS(Capacity_By_SKU!$K:$K,Capacity_By_SKU!$A:$A,$A7,Capacity_By_SKU!$C:$C,"Prod",Capacity_By_SKU!$D:$D,Request!$B$12),SUMIFS(Quota_Groups!$G:$G,Quota_Groups!$B:$B,$A7,Quota_Groups!$D:$D,IFERROR(VLOOKUP(Request!$B$12,SKU_Family_Map!$A:$B,2,FALSE),"")))&gt;=Request!$E$12,1,0)),IF(OR(Request!$B$13="",Request!$C$13=""),1,IF(MIN(SUMIFS(Capacity_By_SKU!$K:$K,Capacity_By_SKU!$A:$A,$A7,Capacity_By_SKU!$C:$C,"Prod",Capacity_By_SKU!$D:$D,Request!$B$13),SUMIFS(Quota_Groups!$G:$G,Quota_Groups!$B:$B,$A7,Quota_Groups!$D:$D,IFERROR(VLOOKUP(Request!$B$13,SKU_Family_Map!$A:$B,2,FALSE),"")))&gt;=Request!$E$13,1,0)),IF(OR(Request!$B$14="",Request!$C$14=""),1,IF(MIN(SUMIFS(Capacity_By_SKU!$K:$K,Capacity_By_SKU!$A:$A,$A7,Capacity_By_SKU!$C:$C,"Prod",Capacity_By_SKU!$D:$D,Request!$B$14),SUMIFS(Quota_Groups!$G:$G,Quota_Groups!$B:$B,$A7,Quota_Groups!$D:$D,IFERROR(VLOOKUP(Request!$B$14,SKU_Family_Map!$A:$B,2,FALSE),"")))&gt;=Request!$E$14,1,0)),IF(OR(Request!$B$15="",Request!$C$15=""),1,IF(MIN(SUMIFS(Capacity_By_SKU!$K:$K,Capacity_By_SKU!$A:$A,$A7,Capacity_By_SKU!$C:$C,"Prod",Capacity_By_SKU!$D:$D,Request!$B$15),SUMIFS(Quota_Groups!$G:$G,Quota_Groups!$B:$B,$A7,Quota_Groups!$D:$D,IFERROR(VLOOKUP(Request!$B$15,SKU_Family_Map!$A:$B,2,FALSE),"")))&gt;=Request!$E$15,1,0))))</f>
        <v/>
      </c>
      <c r="H7" s="12">
        <f>IF(Request!$B$17=0,"NO_REQUEST",IF(SUM(IF(AND(Request!$B$8&lt;&gt;"",Request!$C$8&lt;&gt;"",SUMIFS(Capacity_By_SKU!$K:$K,Capacity_By_SKU!$A:$A,$A7,Capacity_By_SKU!$C:$C,"Prod",Capacity_By_SKU!$D:$D,Request!$B$8)&lt;=0),1,0),IF(AND(Request!$B$9&lt;&gt;"",Request!$C$9&lt;&gt;"",SUMIFS(Capacity_By_SKU!$K:$K,Capacity_By_SKU!$A:$A,$A7,Capacity_By_SKU!$C:$C,"Prod",Capacity_By_SKU!$D:$D,Request!$B$9)&lt;=0),1,0),IF(AND(Request!$B$10&lt;&gt;"",Request!$C$10&lt;&gt;"",SUMIFS(Capacity_By_SKU!$K:$K,Capacity_By_SKU!$A:$A,$A7,Capacity_By_SKU!$C:$C,"Prod",Capacity_By_SKU!$D:$D,Request!$B$10)&lt;=0),1,0),IF(AND(Request!$B$11&lt;&gt;"",Request!$C$11&lt;&gt;"",SUMIFS(Capacity_By_SKU!$K:$K,Capacity_By_SKU!$A:$A,$A7,Capacity_By_SKU!$C:$C,"Prod",Capacity_By_SKU!$D:$D,Request!$B$11)&lt;=0),1,0),IF(AND(Request!$B$12&lt;&gt;"",Request!$C$12&lt;&gt;"",SUMIFS(Capacity_By_SKU!$K:$K,Capacity_By_SKU!$A:$A,$A7,Capacity_By_SKU!$C:$C,"Prod",Capacity_By_SKU!$D:$D,Request!$B$12)&lt;=0),1,0),IF(AND(Request!$B$13&lt;&gt;"",Request!$C$13&lt;&gt;"",SUMIFS(Capacity_By_SKU!$K:$K,Capacity_By_SKU!$A:$A,$A7,Capacity_By_SKU!$C:$C,"Prod",Capacity_By_SKU!$D:$D,Request!$B$13)&lt;=0),1,0),IF(AND(Request!$B$14&lt;&gt;"",Request!$C$14&lt;&gt;"",SUMIFS(Capacity_By_SKU!$K:$K,Capacity_By_SKU!$A:$A,$A7,Capacity_By_SKU!$C:$C,"Prod",Capacity_By_SKU!$D:$D,Request!$B$14)&lt;=0),1,0),IF(AND(Request!$B$15&lt;&gt;"",Request!$C$15&lt;&gt;"",SUMIFS(Capacity_By_SKU!$K:$K,Capacity_By_SKU!$A:$A,$A7,Capacity_By_SKU!$C:$C,"Prod",Capacity_By_SKU!$D:$D,Request!$B$15)&lt;=0),1,0))&gt;0,"RESERVATION_DEFICIT",IF(SUM(IF(AND(Request!$B$8&lt;&gt;"",Request!$C$8&lt;&gt;"",SUMIFS(Quota_Groups!$G:$G,Quota_Groups!$B:$B,$A7,Quota_Groups!$D:$D,IFERROR(VLOOKUP(Request!$B$8,SKU_Family_Map!$A:$B,2,FALSE),""))&lt;=0),1,0),IF(AND(Request!$B$9&lt;&gt;"",Request!$C$9&lt;&gt;"",SUMIFS(Quota_Groups!$G:$G,Quota_Groups!$B:$B,$A7,Quota_Groups!$D:$D,IFERROR(VLOOKUP(Request!$B$9,SKU_Family_Map!$A:$B,2,FALSE),""))&lt;=0),1,0),IF(AND(Request!$B$10&lt;&gt;"",Request!$C$10&lt;&gt;"",SUMIFS(Quota_Groups!$G:$G,Quota_Groups!$B:$B,$A7,Quota_Groups!$D:$D,IFERROR(VLOOKUP(Request!$B$10,SKU_Family_Map!$A:$B,2,FALSE),""))&lt;=0),1,0),IF(AND(Request!$B$11&lt;&gt;"",Request!$C$11&lt;&gt;"",SUMIFS(Quota_Groups!$G:$G,Quota_Groups!$B:$B,$A7,Quota_Groups!$D:$D,IFERROR(VLOOKUP(Request!$B$11,SKU_Family_Map!$A:$B,2,FALSE),""))&lt;=0),1,0),IF(AND(Request!$B$12&lt;&gt;"",Request!$C$12&lt;&gt;"",SUMIFS(Quota_Groups!$G:$G,Quota_Groups!$B:$B,$A7,Quota_Groups!$D:$D,IFERROR(VLOOKUP(Request!$B$12,SKU_Family_Map!$A:$B,2,FALSE),""))&lt;=0),1,0),IF(AND(Request!$B$13&lt;&gt;"",Request!$C$13&lt;&gt;"",SUMIFS(Quota_Groups!$G:$G,Quota_Groups!$B:$B,$A7,Quota_Groups!$D:$D,IFERROR(VLOOKUP(Request!$B$13,SKU_Family_Map!$A:$B,2,FALSE),""))&lt;=0),1,0),IF(AND(Request!$B$14&lt;&gt;"",Request!$C$14&lt;&gt;"",SUMIFS(Quota_Groups!$G:$G,Quota_Groups!$B:$B,$A7,Quota_Groups!$D:$D,IFERROR(VLOOKUP(Request!$B$14,SKU_Family_Map!$A:$B,2,FALSE),""))&lt;=0),1,0),IF(AND(Request!$B$15&lt;&gt;"",Request!$C$15&lt;&gt;"",SUMIFS(Quota_Groups!$G:$G,Quota_Groups!$B:$B,$A7,Quota_Groups!$D:$D,IFERROR(VLOOKUP(Request!$B$15,SKU_Family_Map!$A:$B,2,FALSE),""))&lt;=0),1,0))&gt;0,"QUOTA_DEFICIT",IF(G7=0,"CAPACITY_DEFICIT",IF(MIN(IF(OR(Request!$B$8="",Request!$C$8=""),1,IFERROR(1-Request!$E$8/MIN(SUMIFS(Capacity_By_SKU!$K:$K,Capacity_By_SKU!$A:$A,$A7,Capacity_By_SKU!$C:$C,"Prod",Capacity_By_SKU!$D:$D,Request!$B$8),SUMIFS(Quota_Groups!$G:$G,Quota_Groups!$B:$B,$A7,Quota_Groups!$D:$D,IFERROR(VLOOKUP(Request!$B$8,SKU_Family_Map!$A:$B,2,FALSE),""))),0)),IF(OR(Request!$B$9="",Request!$C$9=""),1,IFERROR(1-Request!$E$9/MIN(SUMIFS(Capacity_By_SKU!$K:$K,Capacity_By_SKU!$A:$A,$A7,Capacity_By_SKU!$C:$C,"Prod",Capacity_By_SKU!$D:$D,Request!$B$9),SUMIFS(Quota_Groups!$G:$G,Quota_Groups!$B:$B,$A7,Quota_Groups!$D:$D,IFERROR(VLOOKUP(Request!$B$9,SKU_Family_Map!$A:$B,2,FALSE),""))),0)),IF(OR(Request!$B$10="",Request!$C$10=""),1,IFERROR(1-Request!$E$10/MIN(SUMIFS(Capacity_By_SKU!$K:$K,Capacity_By_SKU!$A:$A,$A7,Capacity_By_SKU!$C:$C,"Prod",Capacity_By_SKU!$D:$D,Request!$B$10),SUMIFS(Quota_Groups!$G:$G,Quota_Groups!$B:$B,$A7,Quota_Groups!$D:$D,IFERROR(VLOOKUP(Request!$B$10,SKU_Family_Map!$A:$B,2,FALSE),""))),0)),IF(OR(Request!$B$11="",Request!$C$11=""),1,IFERROR(1-Request!$E$11/MIN(SUMIFS(Capacity_By_SKU!$K:$K,Capacity_By_SKU!$A:$A,$A7,Capacity_By_SKU!$C:$C,"Prod",Capacity_By_SKU!$D:$D,Request!$B$11),SUMIFS(Quota_Groups!$G:$G,Quota_Groups!$B:$B,$A7,Quota_Groups!$D:$D,IFERROR(VLOOKUP(Request!$B$11,SKU_Family_Map!$A:$B,2,FALSE),""))),0)),IF(OR(Request!$B$12="",Request!$C$12=""),1,IFERROR(1-Request!$E$12/MIN(SUMIFS(Capacity_By_SKU!$K:$K,Capacity_By_SKU!$A:$A,$A7,Capacity_By_SKU!$C:$C,"Prod",Capacity_By_SKU!$D:$D,Request!$B$12),SUMIFS(Quota_Groups!$G:$G,Quota_Groups!$B:$B,$A7,Quota_Groups!$D:$D,IFERROR(VLOOKUP(Request!$B$12,SKU_Family_Map!$A:$B,2,FALSE),""))),0)),IF(OR(Request!$B$13="",Request!$C$13=""),1,IFERROR(1-Request!$E$13/MIN(SUMIFS(Capacity_By_SKU!$K:$K,Capacity_By_SKU!$A:$A,$A7,Capacity_By_SKU!$C:$C,"Prod",Capacity_By_SKU!$D:$D,Request!$B$13),SUMIFS(Quota_Groups!$G:$G,Quota_Groups!$B:$B,$A7,Quota_Groups!$D:$D,IFERROR(VLOOKUP(Request!$B$13,SKU_Family_Map!$A:$B,2,FALSE),""))),0)),IF(OR(Request!$B$14="",Request!$C$14=""),1,IFERROR(1-Request!$E$14/MIN(SUMIFS(Capacity_By_SKU!$K:$K,Capacity_By_SKU!$A:$A,$A7,Capacity_By_SKU!$C:$C,"Prod",Capacity_By_SKU!$D:$D,Request!$B$14),SUMIFS(Quota_Groups!$G:$G,Quota_Groups!$B:$B,$A7,Quota_Groups!$D:$D,IFERROR(VLOOKUP(Request!$B$14,SKU_Family_Map!$A:$B,2,FALSE),""))),0)),IF(OR(Request!$B$15="",Request!$C$15=""),1,IFERROR(1-Request!$E$15/MIN(SUMIFS(Capacity_By_SKU!$K:$K,Capacity_By_SKU!$A:$A,$A7,Capacity_By_SKU!$C:$C,"Prod",Capacity_By_SKU!$D:$D,Request!$B$15),SUMIFS(Quota_Groups!$G:$G,Quota_Groups!$B:$B,$A7,Quota_Groups!$D:$D,IFERROR(VLOOKUP(Request!$B$15,SKU_Family_Map!$A:$B,2,FALSE),""))),0)))&lt;Policy!$B$10,"READY_WITH_RISK","READY")))))</f>
        <v/>
      </c>
      <c r="I7" s="16">
        <f>IF(AND(F7=1,G7=1,OR(H7="READY",H7="READY_WITH_RISK")),1,0)</f>
        <v/>
      </c>
      <c r="J7" s="16">
        <f>IF(I7=1,MAX(0,MIN(IF(OR(Request!$B$8="",Request!$C$8=""),1,IFERROR(1-Request!$E$8/MIN(SUMIFS(Capacity_By_SKU!$K:$K,Capacity_By_SKU!$A:$A,$A7,Capacity_By_SKU!$C:$C,"Prod",Capacity_By_SKU!$D:$D,Request!$B$8),SUMIFS(Quota_Groups!$G:$G,Quota_Groups!$B:$B,$A7,Quota_Groups!$D:$D,IFERROR(VLOOKUP(Request!$B$8,SKU_Family_Map!$A:$B,2,FALSE),""))),0)),IF(OR(Request!$B$9="",Request!$C$9=""),1,IFERROR(1-Request!$E$9/MIN(SUMIFS(Capacity_By_SKU!$K:$K,Capacity_By_SKU!$A:$A,$A7,Capacity_By_SKU!$C:$C,"Prod",Capacity_By_SKU!$D:$D,Request!$B$9),SUMIFS(Quota_Groups!$G:$G,Quota_Groups!$B:$B,$A7,Quota_Groups!$D:$D,IFERROR(VLOOKUP(Request!$B$9,SKU_Family_Map!$A:$B,2,FALSE),""))),0)),IF(OR(Request!$B$10="",Request!$C$10=""),1,IFERROR(1-Request!$E$10/MIN(SUMIFS(Capacity_By_SKU!$K:$K,Capacity_By_SKU!$A:$A,$A7,Capacity_By_SKU!$C:$C,"Prod",Capacity_By_SKU!$D:$D,Request!$B$10),SUMIFS(Quota_Groups!$G:$G,Quota_Groups!$B:$B,$A7,Quota_Groups!$D:$D,IFERROR(VLOOKUP(Request!$B$10,SKU_Family_Map!$A:$B,2,FALSE),""))),0)),IF(OR(Request!$B$11="",Request!$C$11=""),1,IFERROR(1-Request!$E$11/MIN(SUMIFS(Capacity_By_SKU!$K:$K,Capacity_By_SKU!$A:$A,$A7,Capacity_By_SKU!$C:$C,"Prod",Capacity_By_SKU!$D:$D,Request!$B$11),SUMIFS(Quota_Groups!$G:$G,Quota_Groups!$B:$B,$A7,Quota_Groups!$D:$D,IFERROR(VLOOKUP(Request!$B$11,SKU_Family_Map!$A:$B,2,FALSE),""))),0)),IF(OR(Request!$B$12="",Request!$C$12=""),1,IFERROR(1-Request!$E$12/MIN(SUMIFS(Capacity_By_SKU!$K:$K,Capacity_By_SKU!$A:$A,$A7,Capacity_By_SKU!$C:$C,"Prod",Capacity_By_SKU!$D:$D,Request!$B$12),SUMIFS(Quota_Groups!$G:$G,Quota_Groups!$B:$B,$A7,Quota_Groups!$D:$D,IFERROR(VLOOKUP(Request!$B$12,SKU_Family_Map!$A:$B,2,FALSE),""))),0)),IF(OR(Request!$B$13="",Request!$C$13=""),1,IFERROR(1-Request!$E$13/MIN(SUMIFS(Capacity_By_SKU!$K:$K,Capacity_By_SKU!$A:$A,$A7,Capacity_By_SKU!$C:$C,"Prod",Capacity_By_SKU!$D:$D,Request!$B$13),SUMIFS(Quota_Groups!$G:$G,Quota_Groups!$B:$B,$A7,Quota_Groups!$D:$D,IFERROR(VLOOKUP(Request!$B$13,SKU_Family_Map!$A:$B,2,FALSE),""))),0)),IF(OR(Request!$B$14="",Request!$C$14=""),1,IFERROR(1-Request!$E$14/MIN(SUMIFS(Capacity_By_SKU!$K:$K,Capacity_By_SKU!$A:$A,$A7,Capacity_By_SKU!$C:$C,"Prod",Capacity_By_SKU!$D:$D,Request!$B$14),SUMIFS(Quota_Groups!$G:$G,Quota_Groups!$B:$B,$A7,Quota_Groups!$D:$D,IFERROR(VLOOKUP(Request!$B$14,SKU_Family_Map!$A:$B,2,FALSE),""))),0)),IF(OR(Request!$B$15="",Request!$C$15=""),1,IFERROR(1-Request!$E$15/MIN(SUMIFS(Capacity_By_SKU!$K:$K,Capacity_By_SKU!$A:$A,$A7,Capacity_By_SKU!$C:$C,"Prod",Capacity_By_SKU!$D:$D,Request!$B$15),SUMIFS(Quota_Groups!$G:$G,Quota_Groups!$B:$B,$A7,Quota_Groups!$D:$D,IFERROR(VLOOKUP(Request!$B$15,SKU_Family_Map!$A:$B,2,FALSE),""))),0)))),0)</f>
        <v/>
      </c>
      <c r="K7" s="16">
        <f>IF(I7=1,MAX(0,MIN(IF(OR(Request!$B$8="",Request!$C$8=""),1,IFERROR(SUMIFS(Quota_Groups!$G:$G,Quota_Groups!$B:$B,$A7,Quota_Groups!$D:$D,IFERROR(VLOOKUP(Request!$B$8,SKU_Family_Map!$A:$B,2,FALSE),""))/MAX(SUMIFS(Quota_Groups!$E:$E,Quota_Groups!$B:$B,$A7,Quota_Groups!$D:$D,IFERROR(VLOOKUP(Request!$B$8,SKU_Family_Map!$A:$B,2,FALSE),"")),1),0)),IF(OR(Request!$B$9="",Request!$C$9=""),1,IFERROR(SUMIFS(Quota_Groups!$G:$G,Quota_Groups!$B:$B,$A7,Quota_Groups!$D:$D,IFERROR(VLOOKUP(Request!$B$9,SKU_Family_Map!$A:$B,2,FALSE),""))/MAX(SUMIFS(Quota_Groups!$E:$E,Quota_Groups!$B:$B,$A7,Quota_Groups!$D:$D,IFERROR(VLOOKUP(Request!$B$9,SKU_Family_Map!$A:$B,2,FALSE),"")),1),0)),IF(OR(Request!$B$10="",Request!$C$10=""),1,IFERROR(SUMIFS(Quota_Groups!$G:$G,Quota_Groups!$B:$B,$A7,Quota_Groups!$D:$D,IFERROR(VLOOKUP(Request!$B$10,SKU_Family_Map!$A:$B,2,FALSE),""))/MAX(SUMIFS(Quota_Groups!$E:$E,Quota_Groups!$B:$B,$A7,Quota_Groups!$D:$D,IFERROR(VLOOKUP(Request!$B$10,SKU_Family_Map!$A:$B,2,FALSE),"")),1),0)),IF(OR(Request!$B$11="",Request!$C$11=""),1,IFERROR(SUMIFS(Quota_Groups!$G:$G,Quota_Groups!$B:$B,$A7,Quota_Groups!$D:$D,IFERROR(VLOOKUP(Request!$B$11,SKU_Family_Map!$A:$B,2,FALSE),""))/MAX(SUMIFS(Quota_Groups!$E:$E,Quota_Groups!$B:$B,$A7,Quota_Groups!$D:$D,IFERROR(VLOOKUP(Request!$B$11,SKU_Family_Map!$A:$B,2,FALSE),"")),1),0)),IF(OR(Request!$B$12="",Request!$C$12=""),1,IFERROR(SUMIFS(Quota_Groups!$G:$G,Quota_Groups!$B:$B,$A7,Quota_Groups!$D:$D,IFERROR(VLOOKUP(Request!$B$12,SKU_Family_Map!$A:$B,2,FALSE),""))/MAX(SUMIFS(Quota_Groups!$E:$E,Quota_Groups!$B:$B,$A7,Quota_Groups!$D:$D,IFERROR(VLOOKUP(Request!$B$12,SKU_Family_Map!$A:$B,2,FALSE),"")),1),0)),IF(OR(Request!$B$13="",Request!$C$13=""),1,IFERROR(SUMIFS(Quota_Groups!$G:$G,Quota_Groups!$B:$B,$A7,Quota_Groups!$D:$D,IFERROR(VLOOKUP(Request!$B$13,SKU_Family_Map!$A:$B,2,FALSE),""))/MAX(SUMIFS(Quota_Groups!$E:$E,Quota_Groups!$B:$B,$A7,Quota_Groups!$D:$D,IFERROR(VLOOKUP(Request!$B$13,SKU_Family_Map!$A:$B,2,FALSE),"")),1),0)),IF(OR(Request!$B$14="",Request!$C$14=""),1,IFERROR(SUMIFS(Quota_Groups!$G:$G,Quota_Groups!$B:$B,$A7,Quota_Groups!$D:$D,IFERROR(VLOOKUP(Request!$B$14,SKU_Family_Map!$A:$B,2,FALSE),""))/MAX(SUMIFS(Quota_Groups!$E:$E,Quota_Groups!$B:$B,$A7,Quota_Groups!$D:$D,IFERROR(VLOOKUP(Request!$B$14,SKU_Family_Map!$A:$B,2,FALSE),"")),1),0)),IF(OR(Request!$B$15="",Request!$C$15=""),1,IFERROR(SUMIFS(Quota_Groups!$G:$G,Quota_Groups!$B:$B,$A7,Quota_Groups!$D:$D,IFERROR(VLOOKUP(Request!$B$15,SKU_Family_Map!$A:$B,2,FALSE),""))/MAX(SUMIFS(Quota_Groups!$E:$E,Quota_Groups!$B:$B,$A7,Quota_Groups!$D:$D,IFERROR(VLOOKUP(Request!$B$15,SKU_Family_Map!$A:$B,2,FALSE),"")),1),0)))),0)</f>
        <v/>
      </c>
      <c r="L7" s="16">
        <f>IF(I7=1,MAX(0,MIN(IF(OR(Request!$B$8="",Request!$C$8=""),1,IFERROR(SUMIFS(Capacity_By_SKU!$K:$K,Capacity_By_SKU!$A:$A,$A7,Capacity_By_SKU!$C:$C,"Prod",Capacity_By_SKU!$D:$D,Request!$B$8)/MAX(SUMIFS(Capacity_By_SKU!$J:$J,Capacity_By_SKU!$A:$A,$A7,Capacity_By_SKU!$C:$C,"Prod",Capacity_By_SKU!$D:$D,Request!$B$8),1),0)),IF(OR(Request!$B$9="",Request!$C$9=""),1,IFERROR(SUMIFS(Capacity_By_SKU!$K:$K,Capacity_By_SKU!$A:$A,$A7,Capacity_By_SKU!$C:$C,"Prod",Capacity_By_SKU!$D:$D,Request!$B$9)/MAX(SUMIFS(Capacity_By_SKU!$J:$J,Capacity_By_SKU!$A:$A,$A7,Capacity_By_SKU!$C:$C,"Prod",Capacity_By_SKU!$D:$D,Request!$B$9),1),0)),IF(OR(Request!$B$10="",Request!$C$10=""),1,IFERROR(SUMIFS(Capacity_By_SKU!$K:$K,Capacity_By_SKU!$A:$A,$A7,Capacity_By_SKU!$C:$C,"Prod",Capacity_By_SKU!$D:$D,Request!$B$10)/MAX(SUMIFS(Capacity_By_SKU!$J:$J,Capacity_By_SKU!$A:$A,$A7,Capacity_By_SKU!$C:$C,"Prod",Capacity_By_SKU!$D:$D,Request!$B$10),1),0)),IF(OR(Request!$B$11="",Request!$C$11=""),1,IFERROR(SUMIFS(Capacity_By_SKU!$K:$K,Capacity_By_SKU!$A:$A,$A7,Capacity_By_SKU!$C:$C,"Prod",Capacity_By_SKU!$D:$D,Request!$B$11)/MAX(SUMIFS(Capacity_By_SKU!$J:$J,Capacity_By_SKU!$A:$A,$A7,Capacity_By_SKU!$C:$C,"Prod",Capacity_By_SKU!$D:$D,Request!$B$11),1),0)),IF(OR(Request!$B$12="",Request!$C$12=""),1,IFERROR(SUMIFS(Capacity_By_SKU!$K:$K,Capacity_By_SKU!$A:$A,$A7,Capacity_By_SKU!$C:$C,"Prod",Capacity_By_SKU!$D:$D,Request!$B$12)/MAX(SUMIFS(Capacity_By_SKU!$J:$J,Capacity_By_SKU!$A:$A,$A7,Capacity_By_SKU!$C:$C,"Prod",Capacity_By_SKU!$D:$D,Request!$B$12),1),0)),IF(OR(Request!$B$13="",Request!$C$13=""),1,IFERROR(SUMIFS(Capacity_By_SKU!$K:$K,Capacity_By_SKU!$A:$A,$A7,Capacity_By_SKU!$C:$C,"Prod",Capacity_By_SKU!$D:$D,Request!$B$13)/MAX(SUMIFS(Capacity_By_SKU!$J:$J,Capacity_By_SKU!$A:$A,$A7,Capacity_By_SKU!$C:$C,"Prod",Capacity_By_SKU!$D:$D,Request!$B$13),1),0)),IF(OR(Request!$B$14="",Request!$C$14=""),1,IFERROR(SUMIFS(Capacity_By_SKU!$K:$K,Capacity_By_SKU!$A:$A,$A7,Capacity_By_SKU!$C:$C,"Prod",Capacity_By_SKU!$D:$D,Request!$B$14)/MAX(SUMIFS(Capacity_By_SKU!$J:$J,Capacity_By_SKU!$A:$A,$A7,Capacity_By_SKU!$C:$C,"Prod",Capacity_By_SKU!$D:$D,Request!$B$14),1),0)),IF(OR(Request!$B$15="",Request!$C$15=""),1,IFERROR(SUMIFS(Capacity_By_SKU!$K:$K,Capacity_By_SKU!$A:$A,$A7,Capacity_By_SKU!$C:$C,"Prod",Capacity_By_SKU!$D:$D,Request!$B$15)/MAX(SUMIFS(Capacity_By_SKU!$J:$J,Capacity_By_SKU!$A:$A,$A7,Capacity_By_SKU!$C:$C,"Prod",Capacity_By_SKU!$D:$D,Request!$B$15),1),0)))),0)</f>
        <v/>
      </c>
      <c r="M7" s="22">
        <f>IF(I7=1,ROUND(Policy!$B$4*J7+Policy!$B$5*K7+Policy!$B$6*L7,4),"")</f>
        <v/>
      </c>
      <c r="N7" s="16">
        <f>IF(I7=1,SUMPRODUCT(($I$4:$I$11=1)*($M$4:$M$11&gt;M7))+1,"")</f>
        <v/>
      </c>
      <c r="O7" s="16">
        <f>IF(I7=0,"N/A",IF(MIN(IF(OR(Request!$B$8="",Request!$C$8=""),1,IFERROR(SUMIFS(Capacity_By_SKU!$K:$K,Capacity_By_SKU!$A:$A,$A7,Capacity_By_SKU!$C:$C,"Prod",Capacity_By_SKU!$D:$D,Request!$B$8)/MAX(SUMIFS(Capacity_By_SKU!$J:$J,Capacity_By_SKU!$A:$A,$A7,Capacity_By_SKU!$C:$C,"Prod",Capacity_By_SKU!$D:$D,Request!$B$8),1),0)),IF(OR(Request!$B$9="",Request!$C$9=""),1,IFERROR(SUMIFS(Capacity_By_SKU!$K:$K,Capacity_By_SKU!$A:$A,$A7,Capacity_By_SKU!$C:$C,"Prod",Capacity_By_SKU!$D:$D,Request!$B$9)/MAX(SUMIFS(Capacity_By_SKU!$J:$J,Capacity_By_SKU!$A:$A,$A7,Capacity_By_SKU!$C:$C,"Prod",Capacity_By_SKU!$D:$D,Request!$B$9),1),0)),IF(OR(Request!$B$10="",Request!$C$10=""),1,IFERROR(SUMIFS(Capacity_By_SKU!$K:$K,Capacity_By_SKU!$A:$A,$A7,Capacity_By_SKU!$C:$C,"Prod",Capacity_By_SKU!$D:$D,Request!$B$10)/MAX(SUMIFS(Capacity_By_SKU!$J:$J,Capacity_By_SKU!$A:$A,$A7,Capacity_By_SKU!$C:$C,"Prod",Capacity_By_SKU!$D:$D,Request!$B$10),1),0)),IF(OR(Request!$B$11="",Request!$C$11=""),1,IFERROR(SUMIFS(Capacity_By_SKU!$K:$K,Capacity_By_SKU!$A:$A,$A7,Capacity_By_SKU!$C:$C,"Prod",Capacity_By_SKU!$D:$D,Request!$B$11)/MAX(SUMIFS(Capacity_By_SKU!$J:$J,Capacity_By_SKU!$A:$A,$A7,Capacity_By_SKU!$C:$C,"Prod",Capacity_By_SKU!$D:$D,Request!$B$11),1),0)),IF(OR(Request!$B$12="",Request!$C$12=""),1,IFERROR(SUMIFS(Capacity_By_SKU!$K:$K,Capacity_By_SKU!$A:$A,$A7,Capacity_By_SKU!$C:$C,"Prod",Capacity_By_SKU!$D:$D,Request!$B$12)/MAX(SUMIFS(Capacity_By_SKU!$J:$J,Capacity_By_SKU!$A:$A,$A7,Capacity_By_SKU!$C:$C,"Prod",Capacity_By_SKU!$D:$D,Request!$B$12),1),0)),IF(OR(Request!$B$13="",Request!$C$13=""),1,IFERROR(SUMIFS(Capacity_By_SKU!$K:$K,Capacity_By_SKU!$A:$A,$A7,Capacity_By_SKU!$C:$C,"Prod",Capacity_By_SKU!$D:$D,Request!$B$13)/MAX(SUMIFS(Capacity_By_SKU!$J:$J,Capacity_By_SKU!$A:$A,$A7,Capacity_By_SKU!$C:$C,"Prod",Capacity_By_SKU!$D:$D,Request!$B$13),1),0)),IF(OR(Request!$B$14="",Request!$C$14=""),1,IFERROR(SUMIFS(Capacity_By_SKU!$K:$K,Capacity_By_SKU!$A:$A,$A7,Capacity_By_SKU!$C:$C,"Prod",Capacity_By_SKU!$D:$D,Request!$B$14)/MAX(SUMIFS(Capacity_By_SKU!$J:$J,Capacity_By_SKU!$A:$A,$A7,Capacity_By_SKU!$C:$C,"Prod",Capacity_By_SKU!$D:$D,Request!$B$14),1),0)),IF(OR(Request!$B$15="",Request!$C$15=""),1,IFERROR(SUMIFS(Capacity_By_SKU!$K:$K,Capacity_By_SKU!$A:$A,$A7,Capacity_By_SKU!$C:$C,"Prod",Capacity_By_SKU!$D:$D,Request!$B$15)/MAX(SUMIFS(Capacity_By_SKU!$J:$J,Capacity_By_SKU!$A:$A,$A7,Capacity_By_SKU!$C:$C,"Prod",Capacity_By_SKU!$D:$D,Request!$B$15),1),0)))&lt;=MIN(IF(OR(Request!$B$8="",Request!$C$8=""),1,IFERROR(SUMIFS(Quota_Groups!$G:$G,Quota_Groups!$B:$B,$A7,Quota_Groups!$D:$D,IFERROR(VLOOKUP(Request!$B$8,SKU_Family_Map!$A:$B,2,FALSE),""))/MAX(SUMIFS(Quota_Groups!$E:$E,Quota_Groups!$B:$B,$A7,Quota_Groups!$D:$D,IFERROR(VLOOKUP(Request!$B$8,SKU_Family_Map!$A:$B,2,FALSE),"")),1),0)),IF(OR(Request!$B$9="",Request!$C$9=""),1,IFERROR(SUMIFS(Quota_Groups!$G:$G,Quota_Groups!$B:$B,$A7,Quota_Groups!$D:$D,IFERROR(VLOOKUP(Request!$B$9,SKU_Family_Map!$A:$B,2,FALSE),""))/MAX(SUMIFS(Quota_Groups!$E:$E,Quota_Groups!$B:$B,$A7,Quota_Groups!$D:$D,IFERROR(VLOOKUP(Request!$B$9,SKU_Family_Map!$A:$B,2,FALSE),"")),1),0)),IF(OR(Request!$B$10="",Request!$C$10=""),1,IFERROR(SUMIFS(Quota_Groups!$G:$G,Quota_Groups!$B:$B,$A7,Quota_Groups!$D:$D,IFERROR(VLOOKUP(Request!$B$10,SKU_Family_Map!$A:$B,2,FALSE),""))/MAX(SUMIFS(Quota_Groups!$E:$E,Quota_Groups!$B:$B,$A7,Quota_Groups!$D:$D,IFERROR(VLOOKUP(Request!$B$10,SKU_Family_Map!$A:$B,2,FALSE),"")),1),0)),IF(OR(Request!$B$11="",Request!$C$11=""),1,IFERROR(SUMIFS(Quota_Groups!$G:$G,Quota_Groups!$B:$B,$A7,Quota_Groups!$D:$D,IFERROR(VLOOKUP(Request!$B$11,SKU_Family_Map!$A:$B,2,FALSE),""))/MAX(SUMIFS(Quota_Groups!$E:$E,Quota_Groups!$B:$B,$A7,Quota_Groups!$D:$D,IFERROR(VLOOKUP(Request!$B$11,SKU_Family_Map!$A:$B,2,FALSE),"")),1),0)),IF(OR(Request!$B$12="",Request!$C$12=""),1,IFERROR(SUMIFS(Quota_Groups!$G:$G,Quota_Groups!$B:$B,$A7,Quota_Groups!$D:$D,IFERROR(VLOOKUP(Request!$B$12,SKU_Family_Map!$A:$B,2,FALSE),""))/MAX(SUMIFS(Quota_Groups!$E:$E,Quota_Groups!$B:$B,$A7,Quota_Groups!$D:$D,IFERROR(VLOOKUP(Request!$B$12,SKU_Family_Map!$A:$B,2,FALSE),"")),1),0)),IF(OR(Request!$B$13="",Request!$C$13=""),1,IFERROR(SUMIFS(Quota_Groups!$G:$G,Quota_Groups!$B:$B,$A7,Quota_Groups!$D:$D,IFERROR(VLOOKUP(Request!$B$13,SKU_Family_Map!$A:$B,2,FALSE),""))/MAX(SUMIFS(Quota_Groups!$E:$E,Quota_Groups!$B:$B,$A7,Quota_Groups!$D:$D,IFERROR(VLOOKUP(Request!$B$13,SKU_Family_Map!$A:$B,2,FALSE),"")),1),0)),IF(OR(Request!$B$14="",Request!$C$14=""),1,IFERROR(SUMIFS(Quota_Groups!$G:$G,Quota_Groups!$B:$B,$A7,Quota_Groups!$D:$D,IFERROR(VLOOKUP(Request!$B$14,SKU_Family_Map!$A:$B,2,FALSE),""))/MAX(SUMIFS(Quota_Groups!$E:$E,Quota_Groups!$B:$B,$A7,Quota_Groups!$D:$D,IFERROR(VLOOKUP(Request!$B$14,SKU_Family_Map!$A:$B,2,FALSE),"")),1),0)),IF(OR(Request!$B$15="",Request!$C$15=""),1,IFERROR(SUMIFS(Quota_Groups!$G:$G,Quota_Groups!$B:$B,$A7,Quota_Groups!$D:$D,IFERROR(VLOOKUP(Request!$B$15,SKU_Family_Map!$A:$B,2,FALSE),""))/MAX(SUMIFS(Quota_Groups!$E:$E,Quota_Groups!$B:$B,$A7,Quota_Groups!$D:$D,IFERROR(VLOOKUP(Request!$B$15,SKU_Family_Map!$A:$B,2,FALSE),"")),1),0))),"CAPACITY","QUOTA"))</f>
        <v/>
      </c>
    </row>
    <row r="8">
      <c r="A8" s="12" t="inlineStr">
        <is>
          <t>Switzerland North</t>
        </is>
      </c>
      <c r="B8" s="16" t="inlineStr">
        <is>
          <t>EU</t>
        </is>
      </c>
      <c r="C8" s="16" t="inlineStr">
        <is>
          <t>Prod</t>
        </is>
      </c>
      <c r="D8" s="16">
        <f>Request!$B$17</f>
        <v/>
      </c>
      <c r="E8" s="16">
        <f>Request!$B$18</f>
        <v/>
      </c>
      <c r="F8" s="16">
        <f>IF(B8=Request!$B$4,1,0)</f>
        <v/>
      </c>
      <c r="G8" s="18">
        <f>IF(Request!$B$17=0,0,MIN(IF(OR(Request!$B$8="",Request!$C$8=""),1,IF(MIN(SUMIFS(Capacity_By_SKU!$K:$K,Capacity_By_SKU!$A:$A,$A8,Capacity_By_SKU!$C:$C,"Prod",Capacity_By_SKU!$D:$D,Request!$B$8),SUMIFS(Quota_Groups!$G:$G,Quota_Groups!$B:$B,$A8,Quota_Groups!$D:$D,IFERROR(VLOOKUP(Request!$B$8,SKU_Family_Map!$A:$B,2,FALSE),"")))&gt;=Request!$E$8,1,0)),IF(OR(Request!$B$9="",Request!$C$9=""),1,IF(MIN(SUMIFS(Capacity_By_SKU!$K:$K,Capacity_By_SKU!$A:$A,$A8,Capacity_By_SKU!$C:$C,"Prod",Capacity_By_SKU!$D:$D,Request!$B$9),SUMIFS(Quota_Groups!$G:$G,Quota_Groups!$B:$B,$A8,Quota_Groups!$D:$D,IFERROR(VLOOKUP(Request!$B$9,SKU_Family_Map!$A:$B,2,FALSE),"")))&gt;=Request!$E$9,1,0)),IF(OR(Request!$B$10="",Request!$C$10=""),1,IF(MIN(SUMIFS(Capacity_By_SKU!$K:$K,Capacity_By_SKU!$A:$A,$A8,Capacity_By_SKU!$C:$C,"Prod",Capacity_By_SKU!$D:$D,Request!$B$10),SUMIFS(Quota_Groups!$G:$G,Quota_Groups!$B:$B,$A8,Quota_Groups!$D:$D,IFERROR(VLOOKUP(Request!$B$10,SKU_Family_Map!$A:$B,2,FALSE),"")))&gt;=Request!$E$10,1,0)),IF(OR(Request!$B$11="",Request!$C$11=""),1,IF(MIN(SUMIFS(Capacity_By_SKU!$K:$K,Capacity_By_SKU!$A:$A,$A8,Capacity_By_SKU!$C:$C,"Prod",Capacity_By_SKU!$D:$D,Request!$B$11),SUMIFS(Quota_Groups!$G:$G,Quota_Groups!$B:$B,$A8,Quota_Groups!$D:$D,IFERROR(VLOOKUP(Request!$B$11,SKU_Family_Map!$A:$B,2,FALSE),"")))&gt;=Request!$E$11,1,0)),IF(OR(Request!$B$12="",Request!$C$12=""),1,IF(MIN(SUMIFS(Capacity_By_SKU!$K:$K,Capacity_By_SKU!$A:$A,$A8,Capacity_By_SKU!$C:$C,"Prod",Capacity_By_SKU!$D:$D,Request!$B$12),SUMIFS(Quota_Groups!$G:$G,Quota_Groups!$B:$B,$A8,Quota_Groups!$D:$D,IFERROR(VLOOKUP(Request!$B$12,SKU_Family_Map!$A:$B,2,FALSE),"")))&gt;=Request!$E$12,1,0)),IF(OR(Request!$B$13="",Request!$C$13=""),1,IF(MIN(SUMIFS(Capacity_By_SKU!$K:$K,Capacity_By_SKU!$A:$A,$A8,Capacity_By_SKU!$C:$C,"Prod",Capacity_By_SKU!$D:$D,Request!$B$13),SUMIFS(Quota_Groups!$G:$G,Quota_Groups!$B:$B,$A8,Quota_Groups!$D:$D,IFERROR(VLOOKUP(Request!$B$13,SKU_Family_Map!$A:$B,2,FALSE),"")))&gt;=Request!$E$13,1,0)),IF(OR(Request!$B$14="",Request!$C$14=""),1,IF(MIN(SUMIFS(Capacity_By_SKU!$K:$K,Capacity_By_SKU!$A:$A,$A8,Capacity_By_SKU!$C:$C,"Prod",Capacity_By_SKU!$D:$D,Request!$B$14),SUMIFS(Quota_Groups!$G:$G,Quota_Groups!$B:$B,$A8,Quota_Groups!$D:$D,IFERROR(VLOOKUP(Request!$B$14,SKU_Family_Map!$A:$B,2,FALSE),"")))&gt;=Request!$E$14,1,0)),IF(OR(Request!$B$15="",Request!$C$15=""),1,IF(MIN(SUMIFS(Capacity_By_SKU!$K:$K,Capacity_By_SKU!$A:$A,$A8,Capacity_By_SKU!$C:$C,"Prod",Capacity_By_SKU!$D:$D,Request!$B$15),SUMIFS(Quota_Groups!$G:$G,Quota_Groups!$B:$B,$A8,Quota_Groups!$D:$D,IFERROR(VLOOKUP(Request!$B$15,SKU_Family_Map!$A:$B,2,FALSE),"")))&gt;=Request!$E$15,1,0))))</f>
        <v/>
      </c>
      <c r="H8" s="12">
        <f>IF(Request!$B$17=0,"NO_REQUEST",IF(SUM(IF(AND(Request!$B$8&lt;&gt;"",Request!$C$8&lt;&gt;"",SUMIFS(Capacity_By_SKU!$K:$K,Capacity_By_SKU!$A:$A,$A8,Capacity_By_SKU!$C:$C,"Prod",Capacity_By_SKU!$D:$D,Request!$B$8)&lt;=0),1,0),IF(AND(Request!$B$9&lt;&gt;"",Request!$C$9&lt;&gt;"",SUMIFS(Capacity_By_SKU!$K:$K,Capacity_By_SKU!$A:$A,$A8,Capacity_By_SKU!$C:$C,"Prod",Capacity_By_SKU!$D:$D,Request!$B$9)&lt;=0),1,0),IF(AND(Request!$B$10&lt;&gt;"",Request!$C$10&lt;&gt;"",SUMIFS(Capacity_By_SKU!$K:$K,Capacity_By_SKU!$A:$A,$A8,Capacity_By_SKU!$C:$C,"Prod",Capacity_By_SKU!$D:$D,Request!$B$10)&lt;=0),1,0),IF(AND(Request!$B$11&lt;&gt;"",Request!$C$11&lt;&gt;"",SUMIFS(Capacity_By_SKU!$K:$K,Capacity_By_SKU!$A:$A,$A8,Capacity_By_SKU!$C:$C,"Prod",Capacity_By_SKU!$D:$D,Request!$B$11)&lt;=0),1,0),IF(AND(Request!$B$12&lt;&gt;"",Request!$C$12&lt;&gt;"",SUMIFS(Capacity_By_SKU!$K:$K,Capacity_By_SKU!$A:$A,$A8,Capacity_By_SKU!$C:$C,"Prod",Capacity_By_SKU!$D:$D,Request!$B$12)&lt;=0),1,0),IF(AND(Request!$B$13&lt;&gt;"",Request!$C$13&lt;&gt;"",SUMIFS(Capacity_By_SKU!$K:$K,Capacity_By_SKU!$A:$A,$A8,Capacity_By_SKU!$C:$C,"Prod",Capacity_By_SKU!$D:$D,Request!$B$13)&lt;=0),1,0),IF(AND(Request!$B$14&lt;&gt;"",Request!$C$14&lt;&gt;"",SUMIFS(Capacity_By_SKU!$K:$K,Capacity_By_SKU!$A:$A,$A8,Capacity_By_SKU!$C:$C,"Prod",Capacity_By_SKU!$D:$D,Request!$B$14)&lt;=0),1,0),IF(AND(Request!$B$15&lt;&gt;"",Request!$C$15&lt;&gt;"",SUMIFS(Capacity_By_SKU!$K:$K,Capacity_By_SKU!$A:$A,$A8,Capacity_By_SKU!$C:$C,"Prod",Capacity_By_SKU!$D:$D,Request!$B$15)&lt;=0),1,0))&gt;0,"RESERVATION_DEFICIT",IF(SUM(IF(AND(Request!$B$8&lt;&gt;"",Request!$C$8&lt;&gt;"",SUMIFS(Quota_Groups!$G:$G,Quota_Groups!$B:$B,$A8,Quota_Groups!$D:$D,IFERROR(VLOOKUP(Request!$B$8,SKU_Family_Map!$A:$B,2,FALSE),""))&lt;=0),1,0),IF(AND(Request!$B$9&lt;&gt;"",Request!$C$9&lt;&gt;"",SUMIFS(Quota_Groups!$G:$G,Quota_Groups!$B:$B,$A8,Quota_Groups!$D:$D,IFERROR(VLOOKUP(Request!$B$9,SKU_Family_Map!$A:$B,2,FALSE),""))&lt;=0),1,0),IF(AND(Request!$B$10&lt;&gt;"",Request!$C$10&lt;&gt;"",SUMIFS(Quota_Groups!$G:$G,Quota_Groups!$B:$B,$A8,Quota_Groups!$D:$D,IFERROR(VLOOKUP(Request!$B$10,SKU_Family_Map!$A:$B,2,FALSE),""))&lt;=0),1,0),IF(AND(Request!$B$11&lt;&gt;"",Request!$C$11&lt;&gt;"",SUMIFS(Quota_Groups!$G:$G,Quota_Groups!$B:$B,$A8,Quota_Groups!$D:$D,IFERROR(VLOOKUP(Request!$B$11,SKU_Family_Map!$A:$B,2,FALSE),""))&lt;=0),1,0),IF(AND(Request!$B$12&lt;&gt;"",Request!$C$12&lt;&gt;"",SUMIFS(Quota_Groups!$G:$G,Quota_Groups!$B:$B,$A8,Quota_Groups!$D:$D,IFERROR(VLOOKUP(Request!$B$12,SKU_Family_Map!$A:$B,2,FALSE),""))&lt;=0),1,0),IF(AND(Request!$B$13&lt;&gt;"",Request!$C$13&lt;&gt;"",SUMIFS(Quota_Groups!$G:$G,Quota_Groups!$B:$B,$A8,Quota_Groups!$D:$D,IFERROR(VLOOKUP(Request!$B$13,SKU_Family_Map!$A:$B,2,FALSE),""))&lt;=0),1,0),IF(AND(Request!$B$14&lt;&gt;"",Request!$C$14&lt;&gt;"",SUMIFS(Quota_Groups!$G:$G,Quota_Groups!$B:$B,$A8,Quota_Groups!$D:$D,IFERROR(VLOOKUP(Request!$B$14,SKU_Family_Map!$A:$B,2,FALSE),""))&lt;=0),1,0),IF(AND(Request!$B$15&lt;&gt;"",Request!$C$15&lt;&gt;"",SUMIFS(Quota_Groups!$G:$G,Quota_Groups!$B:$B,$A8,Quota_Groups!$D:$D,IFERROR(VLOOKUP(Request!$B$15,SKU_Family_Map!$A:$B,2,FALSE),""))&lt;=0),1,0))&gt;0,"QUOTA_DEFICIT",IF(G8=0,"CAPACITY_DEFICIT",IF(MIN(IF(OR(Request!$B$8="",Request!$C$8=""),1,IFERROR(1-Request!$E$8/MIN(SUMIFS(Capacity_By_SKU!$K:$K,Capacity_By_SKU!$A:$A,$A8,Capacity_By_SKU!$C:$C,"Prod",Capacity_By_SKU!$D:$D,Request!$B$8),SUMIFS(Quota_Groups!$G:$G,Quota_Groups!$B:$B,$A8,Quota_Groups!$D:$D,IFERROR(VLOOKUP(Request!$B$8,SKU_Family_Map!$A:$B,2,FALSE),""))),0)),IF(OR(Request!$B$9="",Request!$C$9=""),1,IFERROR(1-Request!$E$9/MIN(SUMIFS(Capacity_By_SKU!$K:$K,Capacity_By_SKU!$A:$A,$A8,Capacity_By_SKU!$C:$C,"Prod",Capacity_By_SKU!$D:$D,Request!$B$9),SUMIFS(Quota_Groups!$G:$G,Quota_Groups!$B:$B,$A8,Quota_Groups!$D:$D,IFERROR(VLOOKUP(Request!$B$9,SKU_Family_Map!$A:$B,2,FALSE),""))),0)),IF(OR(Request!$B$10="",Request!$C$10=""),1,IFERROR(1-Request!$E$10/MIN(SUMIFS(Capacity_By_SKU!$K:$K,Capacity_By_SKU!$A:$A,$A8,Capacity_By_SKU!$C:$C,"Prod",Capacity_By_SKU!$D:$D,Request!$B$10),SUMIFS(Quota_Groups!$G:$G,Quota_Groups!$B:$B,$A8,Quota_Groups!$D:$D,IFERROR(VLOOKUP(Request!$B$10,SKU_Family_Map!$A:$B,2,FALSE),""))),0)),IF(OR(Request!$B$11="",Request!$C$11=""),1,IFERROR(1-Request!$E$11/MIN(SUMIFS(Capacity_By_SKU!$K:$K,Capacity_By_SKU!$A:$A,$A8,Capacity_By_SKU!$C:$C,"Prod",Capacity_By_SKU!$D:$D,Request!$B$11),SUMIFS(Quota_Groups!$G:$G,Quota_Groups!$B:$B,$A8,Quota_Groups!$D:$D,IFERROR(VLOOKUP(Request!$B$11,SKU_Family_Map!$A:$B,2,FALSE),""))),0)),IF(OR(Request!$B$12="",Request!$C$12=""),1,IFERROR(1-Request!$E$12/MIN(SUMIFS(Capacity_By_SKU!$K:$K,Capacity_By_SKU!$A:$A,$A8,Capacity_By_SKU!$C:$C,"Prod",Capacity_By_SKU!$D:$D,Request!$B$12),SUMIFS(Quota_Groups!$G:$G,Quota_Groups!$B:$B,$A8,Quota_Groups!$D:$D,IFERROR(VLOOKUP(Request!$B$12,SKU_Family_Map!$A:$B,2,FALSE),""))),0)),IF(OR(Request!$B$13="",Request!$C$13=""),1,IFERROR(1-Request!$E$13/MIN(SUMIFS(Capacity_By_SKU!$K:$K,Capacity_By_SKU!$A:$A,$A8,Capacity_By_SKU!$C:$C,"Prod",Capacity_By_SKU!$D:$D,Request!$B$13),SUMIFS(Quota_Groups!$G:$G,Quota_Groups!$B:$B,$A8,Quota_Groups!$D:$D,IFERROR(VLOOKUP(Request!$B$13,SKU_Family_Map!$A:$B,2,FALSE),""))),0)),IF(OR(Request!$B$14="",Request!$C$14=""),1,IFERROR(1-Request!$E$14/MIN(SUMIFS(Capacity_By_SKU!$K:$K,Capacity_By_SKU!$A:$A,$A8,Capacity_By_SKU!$C:$C,"Prod",Capacity_By_SKU!$D:$D,Request!$B$14),SUMIFS(Quota_Groups!$G:$G,Quota_Groups!$B:$B,$A8,Quota_Groups!$D:$D,IFERROR(VLOOKUP(Request!$B$14,SKU_Family_Map!$A:$B,2,FALSE),""))),0)),IF(OR(Request!$B$15="",Request!$C$15=""),1,IFERROR(1-Request!$E$15/MIN(SUMIFS(Capacity_By_SKU!$K:$K,Capacity_By_SKU!$A:$A,$A8,Capacity_By_SKU!$C:$C,"Prod",Capacity_By_SKU!$D:$D,Request!$B$15),SUMIFS(Quota_Groups!$G:$G,Quota_Groups!$B:$B,$A8,Quota_Groups!$D:$D,IFERROR(VLOOKUP(Request!$B$15,SKU_Family_Map!$A:$B,2,FALSE),""))),0)))&lt;Policy!$B$10,"READY_WITH_RISK","READY")))))</f>
        <v/>
      </c>
      <c r="I8" s="16">
        <f>IF(AND(F8=1,G8=1,OR(H8="READY",H8="READY_WITH_RISK")),1,0)</f>
        <v/>
      </c>
      <c r="J8" s="16">
        <f>IF(I8=1,MAX(0,MIN(IF(OR(Request!$B$8="",Request!$C$8=""),1,IFERROR(1-Request!$E$8/MIN(SUMIFS(Capacity_By_SKU!$K:$K,Capacity_By_SKU!$A:$A,$A8,Capacity_By_SKU!$C:$C,"Prod",Capacity_By_SKU!$D:$D,Request!$B$8),SUMIFS(Quota_Groups!$G:$G,Quota_Groups!$B:$B,$A8,Quota_Groups!$D:$D,IFERROR(VLOOKUP(Request!$B$8,SKU_Family_Map!$A:$B,2,FALSE),""))),0)),IF(OR(Request!$B$9="",Request!$C$9=""),1,IFERROR(1-Request!$E$9/MIN(SUMIFS(Capacity_By_SKU!$K:$K,Capacity_By_SKU!$A:$A,$A8,Capacity_By_SKU!$C:$C,"Prod",Capacity_By_SKU!$D:$D,Request!$B$9),SUMIFS(Quota_Groups!$G:$G,Quota_Groups!$B:$B,$A8,Quota_Groups!$D:$D,IFERROR(VLOOKUP(Request!$B$9,SKU_Family_Map!$A:$B,2,FALSE),""))),0)),IF(OR(Request!$B$10="",Request!$C$10=""),1,IFERROR(1-Request!$E$10/MIN(SUMIFS(Capacity_By_SKU!$K:$K,Capacity_By_SKU!$A:$A,$A8,Capacity_By_SKU!$C:$C,"Prod",Capacity_By_SKU!$D:$D,Request!$B$10),SUMIFS(Quota_Groups!$G:$G,Quota_Groups!$B:$B,$A8,Quota_Groups!$D:$D,IFERROR(VLOOKUP(Request!$B$10,SKU_Family_Map!$A:$B,2,FALSE),""))),0)),IF(OR(Request!$B$11="",Request!$C$11=""),1,IFERROR(1-Request!$E$11/MIN(SUMIFS(Capacity_By_SKU!$K:$K,Capacity_By_SKU!$A:$A,$A8,Capacity_By_SKU!$C:$C,"Prod",Capacity_By_SKU!$D:$D,Request!$B$11),SUMIFS(Quota_Groups!$G:$G,Quota_Groups!$B:$B,$A8,Quota_Groups!$D:$D,IFERROR(VLOOKUP(Request!$B$11,SKU_Family_Map!$A:$B,2,FALSE),""))),0)),IF(OR(Request!$B$12="",Request!$C$12=""),1,IFERROR(1-Request!$E$12/MIN(SUMIFS(Capacity_By_SKU!$K:$K,Capacity_By_SKU!$A:$A,$A8,Capacity_By_SKU!$C:$C,"Prod",Capacity_By_SKU!$D:$D,Request!$B$12),SUMIFS(Quota_Groups!$G:$G,Quota_Groups!$B:$B,$A8,Quota_Groups!$D:$D,IFERROR(VLOOKUP(Request!$B$12,SKU_Family_Map!$A:$B,2,FALSE),""))),0)),IF(OR(Request!$B$13="",Request!$C$13=""),1,IFERROR(1-Request!$E$13/MIN(SUMIFS(Capacity_By_SKU!$K:$K,Capacity_By_SKU!$A:$A,$A8,Capacity_By_SKU!$C:$C,"Prod",Capacity_By_SKU!$D:$D,Request!$B$13),SUMIFS(Quota_Groups!$G:$G,Quota_Groups!$B:$B,$A8,Quota_Groups!$D:$D,IFERROR(VLOOKUP(Request!$B$13,SKU_Family_Map!$A:$B,2,FALSE),""))),0)),IF(OR(Request!$B$14="",Request!$C$14=""),1,IFERROR(1-Request!$E$14/MIN(SUMIFS(Capacity_By_SKU!$K:$K,Capacity_By_SKU!$A:$A,$A8,Capacity_By_SKU!$C:$C,"Prod",Capacity_By_SKU!$D:$D,Request!$B$14),SUMIFS(Quota_Groups!$G:$G,Quota_Groups!$B:$B,$A8,Quota_Groups!$D:$D,IFERROR(VLOOKUP(Request!$B$14,SKU_Family_Map!$A:$B,2,FALSE),""))),0)),IF(OR(Request!$B$15="",Request!$C$15=""),1,IFERROR(1-Request!$E$15/MIN(SUMIFS(Capacity_By_SKU!$K:$K,Capacity_By_SKU!$A:$A,$A8,Capacity_By_SKU!$C:$C,"Prod",Capacity_By_SKU!$D:$D,Request!$B$15),SUMIFS(Quota_Groups!$G:$G,Quota_Groups!$B:$B,$A8,Quota_Groups!$D:$D,IFERROR(VLOOKUP(Request!$B$15,SKU_Family_Map!$A:$B,2,FALSE),""))),0)))),0)</f>
        <v/>
      </c>
      <c r="K8" s="16">
        <f>IF(I8=1,MAX(0,MIN(IF(OR(Request!$B$8="",Request!$C$8=""),1,IFERROR(SUMIFS(Quota_Groups!$G:$G,Quota_Groups!$B:$B,$A8,Quota_Groups!$D:$D,IFERROR(VLOOKUP(Request!$B$8,SKU_Family_Map!$A:$B,2,FALSE),""))/MAX(SUMIFS(Quota_Groups!$E:$E,Quota_Groups!$B:$B,$A8,Quota_Groups!$D:$D,IFERROR(VLOOKUP(Request!$B$8,SKU_Family_Map!$A:$B,2,FALSE),"")),1),0)),IF(OR(Request!$B$9="",Request!$C$9=""),1,IFERROR(SUMIFS(Quota_Groups!$G:$G,Quota_Groups!$B:$B,$A8,Quota_Groups!$D:$D,IFERROR(VLOOKUP(Request!$B$9,SKU_Family_Map!$A:$B,2,FALSE),""))/MAX(SUMIFS(Quota_Groups!$E:$E,Quota_Groups!$B:$B,$A8,Quota_Groups!$D:$D,IFERROR(VLOOKUP(Request!$B$9,SKU_Family_Map!$A:$B,2,FALSE),"")),1),0)),IF(OR(Request!$B$10="",Request!$C$10=""),1,IFERROR(SUMIFS(Quota_Groups!$G:$G,Quota_Groups!$B:$B,$A8,Quota_Groups!$D:$D,IFERROR(VLOOKUP(Request!$B$10,SKU_Family_Map!$A:$B,2,FALSE),""))/MAX(SUMIFS(Quota_Groups!$E:$E,Quota_Groups!$B:$B,$A8,Quota_Groups!$D:$D,IFERROR(VLOOKUP(Request!$B$10,SKU_Family_Map!$A:$B,2,FALSE),"")),1),0)),IF(OR(Request!$B$11="",Request!$C$11=""),1,IFERROR(SUMIFS(Quota_Groups!$G:$G,Quota_Groups!$B:$B,$A8,Quota_Groups!$D:$D,IFERROR(VLOOKUP(Request!$B$11,SKU_Family_Map!$A:$B,2,FALSE),""))/MAX(SUMIFS(Quota_Groups!$E:$E,Quota_Groups!$B:$B,$A8,Quota_Groups!$D:$D,IFERROR(VLOOKUP(Request!$B$11,SKU_Family_Map!$A:$B,2,FALSE),"")),1),0)),IF(OR(Request!$B$12="",Request!$C$12=""),1,IFERROR(SUMIFS(Quota_Groups!$G:$G,Quota_Groups!$B:$B,$A8,Quota_Groups!$D:$D,IFERROR(VLOOKUP(Request!$B$12,SKU_Family_Map!$A:$B,2,FALSE),""))/MAX(SUMIFS(Quota_Groups!$E:$E,Quota_Groups!$B:$B,$A8,Quota_Groups!$D:$D,IFERROR(VLOOKUP(Request!$B$12,SKU_Family_Map!$A:$B,2,FALSE),"")),1),0)),IF(OR(Request!$B$13="",Request!$C$13=""),1,IFERROR(SUMIFS(Quota_Groups!$G:$G,Quota_Groups!$B:$B,$A8,Quota_Groups!$D:$D,IFERROR(VLOOKUP(Request!$B$13,SKU_Family_Map!$A:$B,2,FALSE),""))/MAX(SUMIFS(Quota_Groups!$E:$E,Quota_Groups!$B:$B,$A8,Quota_Groups!$D:$D,IFERROR(VLOOKUP(Request!$B$13,SKU_Family_Map!$A:$B,2,FALSE),"")),1),0)),IF(OR(Request!$B$14="",Request!$C$14=""),1,IFERROR(SUMIFS(Quota_Groups!$G:$G,Quota_Groups!$B:$B,$A8,Quota_Groups!$D:$D,IFERROR(VLOOKUP(Request!$B$14,SKU_Family_Map!$A:$B,2,FALSE),""))/MAX(SUMIFS(Quota_Groups!$E:$E,Quota_Groups!$B:$B,$A8,Quota_Groups!$D:$D,IFERROR(VLOOKUP(Request!$B$14,SKU_Family_Map!$A:$B,2,FALSE),"")),1),0)),IF(OR(Request!$B$15="",Request!$C$15=""),1,IFERROR(SUMIFS(Quota_Groups!$G:$G,Quota_Groups!$B:$B,$A8,Quota_Groups!$D:$D,IFERROR(VLOOKUP(Request!$B$15,SKU_Family_Map!$A:$B,2,FALSE),""))/MAX(SUMIFS(Quota_Groups!$E:$E,Quota_Groups!$B:$B,$A8,Quota_Groups!$D:$D,IFERROR(VLOOKUP(Request!$B$15,SKU_Family_Map!$A:$B,2,FALSE),"")),1),0)))),0)</f>
        <v/>
      </c>
      <c r="L8" s="16">
        <f>IF(I8=1,MAX(0,MIN(IF(OR(Request!$B$8="",Request!$C$8=""),1,IFERROR(SUMIFS(Capacity_By_SKU!$K:$K,Capacity_By_SKU!$A:$A,$A8,Capacity_By_SKU!$C:$C,"Prod",Capacity_By_SKU!$D:$D,Request!$B$8)/MAX(SUMIFS(Capacity_By_SKU!$J:$J,Capacity_By_SKU!$A:$A,$A8,Capacity_By_SKU!$C:$C,"Prod",Capacity_By_SKU!$D:$D,Request!$B$8),1),0)),IF(OR(Request!$B$9="",Request!$C$9=""),1,IFERROR(SUMIFS(Capacity_By_SKU!$K:$K,Capacity_By_SKU!$A:$A,$A8,Capacity_By_SKU!$C:$C,"Prod",Capacity_By_SKU!$D:$D,Request!$B$9)/MAX(SUMIFS(Capacity_By_SKU!$J:$J,Capacity_By_SKU!$A:$A,$A8,Capacity_By_SKU!$C:$C,"Prod",Capacity_By_SKU!$D:$D,Request!$B$9),1),0)),IF(OR(Request!$B$10="",Request!$C$10=""),1,IFERROR(SUMIFS(Capacity_By_SKU!$K:$K,Capacity_By_SKU!$A:$A,$A8,Capacity_By_SKU!$C:$C,"Prod",Capacity_By_SKU!$D:$D,Request!$B$10)/MAX(SUMIFS(Capacity_By_SKU!$J:$J,Capacity_By_SKU!$A:$A,$A8,Capacity_By_SKU!$C:$C,"Prod",Capacity_By_SKU!$D:$D,Request!$B$10),1),0)),IF(OR(Request!$B$11="",Request!$C$11=""),1,IFERROR(SUMIFS(Capacity_By_SKU!$K:$K,Capacity_By_SKU!$A:$A,$A8,Capacity_By_SKU!$C:$C,"Prod",Capacity_By_SKU!$D:$D,Request!$B$11)/MAX(SUMIFS(Capacity_By_SKU!$J:$J,Capacity_By_SKU!$A:$A,$A8,Capacity_By_SKU!$C:$C,"Prod",Capacity_By_SKU!$D:$D,Request!$B$11),1),0)),IF(OR(Request!$B$12="",Request!$C$12=""),1,IFERROR(SUMIFS(Capacity_By_SKU!$K:$K,Capacity_By_SKU!$A:$A,$A8,Capacity_By_SKU!$C:$C,"Prod",Capacity_By_SKU!$D:$D,Request!$B$12)/MAX(SUMIFS(Capacity_By_SKU!$J:$J,Capacity_By_SKU!$A:$A,$A8,Capacity_By_SKU!$C:$C,"Prod",Capacity_By_SKU!$D:$D,Request!$B$12),1),0)),IF(OR(Request!$B$13="",Request!$C$13=""),1,IFERROR(SUMIFS(Capacity_By_SKU!$K:$K,Capacity_By_SKU!$A:$A,$A8,Capacity_By_SKU!$C:$C,"Prod",Capacity_By_SKU!$D:$D,Request!$B$13)/MAX(SUMIFS(Capacity_By_SKU!$J:$J,Capacity_By_SKU!$A:$A,$A8,Capacity_By_SKU!$C:$C,"Prod",Capacity_By_SKU!$D:$D,Request!$B$13),1),0)),IF(OR(Request!$B$14="",Request!$C$14=""),1,IFERROR(SUMIFS(Capacity_By_SKU!$K:$K,Capacity_By_SKU!$A:$A,$A8,Capacity_By_SKU!$C:$C,"Prod",Capacity_By_SKU!$D:$D,Request!$B$14)/MAX(SUMIFS(Capacity_By_SKU!$J:$J,Capacity_By_SKU!$A:$A,$A8,Capacity_By_SKU!$C:$C,"Prod",Capacity_By_SKU!$D:$D,Request!$B$14),1),0)),IF(OR(Request!$B$15="",Request!$C$15=""),1,IFERROR(SUMIFS(Capacity_By_SKU!$K:$K,Capacity_By_SKU!$A:$A,$A8,Capacity_By_SKU!$C:$C,"Prod",Capacity_By_SKU!$D:$D,Request!$B$15)/MAX(SUMIFS(Capacity_By_SKU!$J:$J,Capacity_By_SKU!$A:$A,$A8,Capacity_By_SKU!$C:$C,"Prod",Capacity_By_SKU!$D:$D,Request!$B$15),1),0)))),0)</f>
        <v/>
      </c>
      <c r="M8" s="22">
        <f>IF(I8=1,ROUND(Policy!$B$4*J8+Policy!$B$5*K8+Policy!$B$6*L8,4),"")</f>
        <v/>
      </c>
      <c r="N8" s="16">
        <f>IF(I8=1,SUMPRODUCT(($I$4:$I$11=1)*($M$4:$M$11&gt;M8))+1,"")</f>
        <v/>
      </c>
      <c r="O8" s="16">
        <f>IF(I8=0,"N/A",IF(MIN(IF(OR(Request!$B$8="",Request!$C$8=""),1,IFERROR(SUMIFS(Capacity_By_SKU!$K:$K,Capacity_By_SKU!$A:$A,$A8,Capacity_By_SKU!$C:$C,"Prod",Capacity_By_SKU!$D:$D,Request!$B$8)/MAX(SUMIFS(Capacity_By_SKU!$J:$J,Capacity_By_SKU!$A:$A,$A8,Capacity_By_SKU!$C:$C,"Prod",Capacity_By_SKU!$D:$D,Request!$B$8),1),0)),IF(OR(Request!$B$9="",Request!$C$9=""),1,IFERROR(SUMIFS(Capacity_By_SKU!$K:$K,Capacity_By_SKU!$A:$A,$A8,Capacity_By_SKU!$C:$C,"Prod",Capacity_By_SKU!$D:$D,Request!$B$9)/MAX(SUMIFS(Capacity_By_SKU!$J:$J,Capacity_By_SKU!$A:$A,$A8,Capacity_By_SKU!$C:$C,"Prod",Capacity_By_SKU!$D:$D,Request!$B$9),1),0)),IF(OR(Request!$B$10="",Request!$C$10=""),1,IFERROR(SUMIFS(Capacity_By_SKU!$K:$K,Capacity_By_SKU!$A:$A,$A8,Capacity_By_SKU!$C:$C,"Prod",Capacity_By_SKU!$D:$D,Request!$B$10)/MAX(SUMIFS(Capacity_By_SKU!$J:$J,Capacity_By_SKU!$A:$A,$A8,Capacity_By_SKU!$C:$C,"Prod",Capacity_By_SKU!$D:$D,Request!$B$10),1),0)),IF(OR(Request!$B$11="",Request!$C$11=""),1,IFERROR(SUMIFS(Capacity_By_SKU!$K:$K,Capacity_By_SKU!$A:$A,$A8,Capacity_By_SKU!$C:$C,"Prod",Capacity_By_SKU!$D:$D,Request!$B$11)/MAX(SUMIFS(Capacity_By_SKU!$J:$J,Capacity_By_SKU!$A:$A,$A8,Capacity_By_SKU!$C:$C,"Prod",Capacity_By_SKU!$D:$D,Request!$B$11),1),0)),IF(OR(Request!$B$12="",Request!$C$12=""),1,IFERROR(SUMIFS(Capacity_By_SKU!$K:$K,Capacity_By_SKU!$A:$A,$A8,Capacity_By_SKU!$C:$C,"Prod",Capacity_By_SKU!$D:$D,Request!$B$12)/MAX(SUMIFS(Capacity_By_SKU!$J:$J,Capacity_By_SKU!$A:$A,$A8,Capacity_By_SKU!$C:$C,"Prod",Capacity_By_SKU!$D:$D,Request!$B$12),1),0)),IF(OR(Request!$B$13="",Request!$C$13=""),1,IFERROR(SUMIFS(Capacity_By_SKU!$K:$K,Capacity_By_SKU!$A:$A,$A8,Capacity_By_SKU!$C:$C,"Prod",Capacity_By_SKU!$D:$D,Request!$B$13)/MAX(SUMIFS(Capacity_By_SKU!$J:$J,Capacity_By_SKU!$A:$A,$A8,Capacity_By_SKU!$C:$C,"Prod",Capacity_By_SKU!$D:$D,Request!$B$13),1),0)),IF(OR(Request!$B$14="",Request!$C$14=""),1,IFERROR(SUMIFS(Capacity_By_SKU!$K:$K,Capacity_By_SKU!$A:$A,$A8,Capacity_By_SKU!$C:$C,"Prod",Capacity_By_SKU!$D:$D,Request!$B$14)/MAX(SUMIFS(Capacity_By_SKU!$J:$J,Capacity_By_SKU!$A:$A,$A8,Capacity_By_SKU!$C:$C,"Prod",Capacity_By_SKU!$D:$D,Request!$B$14),1),0)),IF(OR(Request!$B$15="",Request!$C$15=""),1,IFERROR(SUMIFS(Capacity_By_SKU!$K:$K,Capacity_By_SKU!$A:$A,$A8,Capacity_By_SKU!$C:$C,"Prod",Capacity_By_SKU!$D:$D,Request!$B$15)/MAX(SUMIFS(Capacity_By_SKU!$J:$J,Capacity_By_SKU!$A:$A,$A8,Capacity_By_SKU!$C:$C,"Prod",Capacity_By_SKU!$D:$D,Request!$B$15),1),0)))&lt;=MIN(IF(OR(Request!$B$8="",Request!$C$8=""),1,IFERROR(SUMIFS(Quota_Groups!$G:$G,Quota_Groups!$B:$B,$A8,Quota_Groups!$D:$D,IFERROR(VLOOKUP(Request!$B$8,SKU_Family_Map!$A:$B,2,FALSE),""))/MAX(SUMIFS(Quota_Groups!$E:$E,Quota_Groups!$B:$B,$A8,Quota_Groups!$D:$D,IFERROR(VLOOKUP(Request!$B$8,SKU_Family_Map!$A:$B,2,FALSE),"")),1),0)),IF(OR(Request!$B$9="",Request!$C$9=""),1,IFERROR(SUMIFS(Quota_Groups!$G:$G,Quota_Groups!$B:$B,$A8,Quota_Groups!$D:$D,IFERROR(VLOOKUP(Request!$B$9,SKU_Family_Map!$A:$B,2,FALSE),""))/MAX(SUMIFS(Quota_Groups!$E:$E,Quota_Groups!$B:$B,$A8,Quota_Groups!$D:$D,IFERROR(VLOOKUP(Request!$B$9,SKU_Family_Map!$A:$B,2,FALSE),"")),1),0)),IF(OR(Request!$B$10="",Request!$C$10=""),1,IFERROR(SUMIFS(Quota_Groups!$G:$G,Quota_Groups!$B:$B,$A8,Quota_Groups!$D:$D,IFERROR(VLOOKUP(Request!$B$10,SKU_Family_Map!$A:$B,2,FALSE),""))/MAX(SUMIFS(Quota_Groups!$E:$E,Quota_Groups!$B:$B,$A8,Quota_Groups!$D:$D,IFERROR(VLOOKUP(Request!$B$10,SKU_Family_Map!$A:$B,2,FALSE),"")),1),0)),IF(OR(Request!$B$11="",Request!$C$11=""),1,IFERROR(SUMIFS(Quota_Groups!$G:$G,Quota_Groups!$B:$B,$A8,Quota_Groups!$D:$D,IFERROR(VLOOKUP(Request!$B$11,SKU_Family_Map!$A:$B,2,FALSE),""))/MAX(SUMIFS(Quota_Groups!$E:$E,Quota_Groups!$B:$B,$A8,Quota_Groups!$D:$D,IFERROR(VLOOKUP(Request!$B$11,SKU_Family_Map!$A:$B,2,FALSE),"")),1),0)),IF(OR(Request!$B$12="",Request!$C$12=""),1,IFERROR(SUMIFS(Quota_Groups!$G:$G,Quota_Groups!$B:$B,$A8,Quota_Groups!$D:$D,IFERROR(VLOOKUP(Request!$B$12,SKU_Family_Map!$A:$B,2,FALSE),""))/MAX(SUMIFS(Quota_Groups!$E:$E,Quota_Groups!$B:$B,$A8,Quota_Groups!$D:$D,IFERROR(VLOOKUP(Request!$B$12,SKU_Family_Map!$A:$B,2,FALSE),"")),1),0)),IF(OR(Request!$B$13="",Request!$C$13=""),1,IFERROR(SUMIFS(Quota_Groups!$G:$G,Quota_Groups!$B:$B,$A8,Quota_Groups!$D:$D,IFERROR(VLOOKUP(Request!$B$13,SKU_Family_Map!$A:$B,2,FALSE),""))/MAX(SUMIFS(Quota_Groups!$E:$E,Quota_Groups!$B:$B,$A8,Quota_Groups!$D:$D,IFERROR(VLOOKUP(Request!$B$13,SKU_Family_Map!$A:$B,2,FALSE),"")),1),0)),IF(OR(Request!$B$14="",Request!$C$14=""),1,IFERROR(SUMIFS(Quota_Groups!$G:$G,Quota_Groups!$B:$B,$A8,Quota_Groups!$D:$D,IFERROR(VLOOKUP(Request!$B$14,SKU_Family_Map!$A:$B,2,FALSE),""))/MAX(SUMIFS(Quota_Groups!$E:$E,Quota_Groups!$B:$B,$A8,Quota_Groups!$D:$D,IFERROR(VLOOKUP(Request!$B$14,SKU_Family_Map!$A:$B,2,FALSE),"")),1),0)),IF(OR(Request!$B$15="",Request!$C$15=""),1,IFERROR(SUMIFS(Quota_Groups!$G:$G,Quota_Groups!$B:$B,$A8,Quota_Groups!$D:$D,IFERROR(VLOOKUP(Request!$B$15,SKU_Family_Map!$A:$B,2,FALSE),""))/MAX(SUMIFS(Quota_Groups!$E:$E,Quota_Groups!$B:$B,$A8,Quota_Groups!$D:$D,IFERROR(VLOOKUP(Request!$B$15,SKU_Family_Map!$A:$B,2,FALSE),"")),1),0))),"CAPACITY","QUOTA"))</f>
        <v/>
      </c>
    </row>
    <row r="9">
      <c r="A9" s="12" t="inlineStr">
        <is>
          <t>Sweden Central</t>
        </is>
      </c>
      <c r="B9" s="16" t="inlineStr">
        <is>
          <t>EU</t>
        </is>
      </c>
      <c r="C9" s="16" t="inlineStr">
        <is>
          <t>Prod</t>
        </is>
      </c>
      <c r="D9" s="16">
        <f>Request!$B$17</f>
        <v/>
      </c>
      <c r="E9" s="16">
        <f>Request!$B$18</f>
        <v/>
      </c>
      <c r="F9" s="16">
        <f>IF(B9=Request!$B$4,1,0)</f>
        <v/>
      </c>
      <c r="G9" s="18">
        <f>IF(Request!$B$17=0,0,MIN(IF(OR(Request!$B$8="",Request!$C$8=""),1,IF(MIN(SUMIFS(Capacity_By_SKU!$K:$K,Capacity_By_SKU!$A:$A,$A9,Capacity_By_SKU!$C:$C,"Prod",Capacity_By_SKU!$D:$D,Request!$B$8),SUMIFS(Quota_Groups!$G:$G,Quota_Groups!$B:$B,$A9,Quota_Groups!$D:$D,IFERROR(VLOOKUP(Request!$B$8,SKU_Family_Map!$A:$B,2,FALSE),"")))&gt;=Request!$E$8,1,0)),IF(OR(Request!$B$9="",Request!$C$9=""),1,IF(MIN(SUMIFS(Capacity_By_SKU!$K:$K,Capacity_By_SKU!$A:$A,$A9,Capacity_By_SKU!$C:$C,"Prod",Capacity_By_SKU!$D:$D,Request!$B$9),SUMIFS(Quota_Groups!$G:$G,Quota_Groups!$B:$B,$A9,Quota_Groups!$D:$D,IFERROR(VLOOKUP(Request!$B$9,SKU_Family_Map!$A:$B,2,FALSE),"")))&gt;=Request!$E$9,1,0)),IF(OR(Request!$B$10="",Request!$C$10=""),1,IF(MIN(SUMIFS(Capacity_By_SKU!$K:$K,Capacity_By_SKU!$A:$A,$A9,Capacity_By_SKU!$C:$C,"Prod",Capacity_By_SKU!$D:$D,Request!$B$10),SUMIFS(Quota_Groups!$G:$G,Quota_Groups!$B:$B,$A9,Quota_Groups!$D:$D,IFERROR(VLOOKUP(Request!$B$10,SKU_Family_Map!$A:$B,2,FALSE),"")))&gt;=Request!$E$10,1,0)),IF(OR(Request!$B$11="",Request!$C$11=""),1,IF(MIN(SUMIFS(Capacity_By_SKU!$K:$K,Capacity_By_SKU!$A:$A,$A9,Capacity_By_SKU!$C:$C,"Prod",Capacity_By_SKU!$D:$D,Request!$B$11),SUMIFS(Quota_Groups!$G:$G,Quota_Groups!$B:$B,$A9,Quota_Groups!$D:$D,IFERROR(VLOOKUP(Request!$B$11,SKU_Family_Map!$A:$B,2,FALSE),"")))&gt;=Request!$E$11,1,0)),IF(OR(Request!$B$12="",Request!$C$12=""),1,IF(MIN(SUMIFS(Capacity_By_SKU!$K:$K,Capacity_By_SKU!$A:$A,$A9,Capacity_By_SKU!$C:$C,"Prod",Capacity_By_SKU!$D:$D,Request!$B$12),SUMIFS(Quota_Groups!$G:$G,Quota_Groups!$B:$B,$A9,Quota_Groups!$D:$D,IFERROR(VLOOKUP(Request!$B$12,SKU_Family_Map!$A:$B,2,FALSE),"")))&gt;=Request!$E$12,1,0)),IF(OR(Request!$B$13="",Request!$C$13=""),1,IF(MIN(SUMIFS(Capacity_By_SKU!$K:$K,Capacity_By_SKU!$A:$A,$A9,Capacity_By_SKU!$C:$C,"Prod",Capacity_By_SKU!$D:$D,Request!$B$13),SUMIFS(Quota_Groups!$G:$G,Quota_Groups!$B:$B,$A9,Quota_Groups!$D:$D,IFERROR(VLOOKUP(Request!$B$13,SKU_Family_Map!$A:$B,2,FALSE),"")))&gt;=Request!$E$13,1,0)),IF(OR(Request!$B$14="",Request!$C$14=""),1,IF(MIN(SUMIFS(Capacity_By_SKU!$K:$K,Capacity_By_SKU!$A:$A,$A9,Capacity_By_SKU!$C:$C,"Prod",Capacity_By_SKU!$D:$D,Request!$B$14),SUMIFS(Quota_Groups!$G:$G,Quota_Groups!$B:$B,$A9,Quota_Groups!$D:$D,IFERROR(VLOOKUP(Request!$B$14,SKU_Family_Map!$A:$B,2,FALSE),"")))&gt;=Request!$E$14,1,0)),IF(OR(Request!$B$15="",Request!$C$15=""),1,IF(MIN(SUMIFS(Capacity_By_SKU!$K:$K,Capacity_By_SKU!$A:$A,$A9,Capacity_By_SKU!$C:$C,"Prod",Capacity_By_SKU!$D:$D,Request!$B$15),SUMIFS(Quota_Groups!$G:$G,Quota_Groups!$B:$B,$A9,Quota_Groups!$D:$D,IFERROR(VLOOKUP(Request!$B$15,SKU_Family_Map!$A:$B,2,FALSE),"")))&gt;=Request!$E$15,1,0))))</f>
        <v/>
      </c>
      <c r="H9" s="12">
        <f>IF(Request!$B$17=0,"NO_REQUEST",IF(SUM(IF(AND(Request!$B$8&lt;&gt;"",Request!$C$8&lt;&gt;"",SUMIFS(Capacity_By_SKU!$K:$K,Capacity_By_SKU!$A:$A,$A9,Capacity_By_SKU!$C:$C,"Prod",Capacity_By_SKU!$D:$D,Request!$B$8)&lt;=0),1,0),IF(AND(Request!$B$9&lt;&gt;"",Request!$C$9&lt;&gt;"",SUMIFS(Capacity_By_SKU!$K:$K,Capacity_By_SKU!$A:$A,$A9,Capacity_By_SKU!$C:$C,"Prod",Capacity_By_SKU!$D:$D,Request!$B$9)&lt;=0),1,0),IF(AND(Request!$B$10&lt;&gt;"",Request!$C$10&lt;&gt;"",SUMIFS(Capacity_By_SKU!$K:$K,Capacity_By_SKU!$A:$A,$A9,Capacity_By_SKU!$C:$C,"Prod",Capacity_By_SKU!$D:$D,Request!$B$10)&lt;=0),1,0),IF(AND(Request!$B$11&lt;&gt;"",Request!$C$11&lt;&gt;"",SUMIFS(Capacity_By_SKU!$K:$K,Capacity_By_SKU!$A:$A,$A9,Capacity_By_SKU!$C:$C,"Prod",Capacity_By_SKU!$D:$D,Request!$B$11)&lt;=0),1,0),IF(AND(Request!$B$12&lt;&gt;"",Request!$C$12&lt;&gt;"",SUMIFS(Capacity_By_SKU!$K:$K,Capacity_By_SKU!$A:$A,$A9,Capacity_By_SKU!$C:$C,"Prod",Capacity_By_SKU!$D:$D,Request!$B$12)&lt;=0),1,0),IF(AND(Request!$B$13&lt;&gt;"",Request!$C$13&lt;&gt;"",SUMIFS(Capacity_By_SKU!$K:$K,Capacity_By_SKU!$A:$A,$A9,Capacity_By_SKU!$C:$C,"Prod",Capacity_By_SKU!$D:$D,Request!$B$13)&lt;=0),1,0),IF(AND(Request!$B$14&lt;&gt;"",Request!$C$14&lt;&gt;"",SUMIFS(Capacity_By_SKU!$K:$K,Capacity_By_SKU!$A:$A,$A9,Capacity_By_SKU!$C:$C,"Prod",Capacity_By_SKU!$D:$D,Request!$B$14)&lt;=0),1,0),IF(AND(Request!$B$15&lt;&gt;"",Request!$C$15&lt;&gt;"",SUMIFS(Capacity_By_SKU!$K:$K,Capacity_By_SKU!$A:$A,$A9,Capacity_By_SKU!$C:$C,"Prod",Capacity_By_SKU!$D:$D,Request!$B$15)&lt;=0),1,0))&gt;0,"RESERVATION_DEFICIT",IF(SUM(IF(AND(Request!$B$8&lt;&gt;"",Request!$C$8&lt;&gt;"",SUMIFS(Quota_Groups!$G:$G,Quota_Groups!$B:$B,$A9,Quota_Groups!$D:$D,IFERROR(VLOOKUP(Request!$B$8,SKU_Family_Map!$A:$B,2,FALSE),""))&lt;=0),1,0),IF(AND(Request!$B$9&lt;&gt;"",Request!$C$9&lt;&gt;"",SUMIFS(Quota_Groups!$G:$G,Quota_Groups!$B:$B,$A9,Quota_Groups!$D:$D,IFERROR(VLOOKUP(Request!$B$9,SKU_Family_Map!$A:$B,2,FALSE),""))&lt;=0),1,0),IF(AND(Request!$B$10&lt;&gt;"",Request!$C$10&lt;&gt;"",SUMIFS(Quota_Groups!$G:$G,Quota_Groups!$B:$B,$A9,Quota_Groups!$D:$D,IFERROR(VLOOKUP(Request!$B$10,SKU_Family_Map!$A:$B,2,FALSE),""))&lt;=0),1,0),IF(AND(Request!$B$11&lt;&gt;"",Request!$C$11&lt;&gt;"",SUMIFS(Quota_Groups!$G:$G,Quota_Groups!$B:$B,$A9,Quota_Groups!$D:$D,IFERROR(VLOOKUP(Request!$B$11,SKU_Family_Map!$A:$B,2,FALSE),""))&lt;=0),1,0),IF(AND(Request!$B$12&lt;&gt;"",Request!$C$12&lt;&gt;"",SUMIFS(Quota_Groups!$G:$G,Quota_Groups!$B:$B,$A9,Quota_Groups!$D:$D,IFERROR(VLOOKUP(Request!$B$12,SKU_Family_Map!$A:$B,2,FALSE),""))&lt;=0),1,0),IF(AND(Request!$B$13&lt;&gt;"",Request!$C$13&lt;&gt;"",SUMIFS(Quota_Groups!$G:$G,Quota_Groups!$B:$B,$A9,Quota_Groups!$D:$D,IFERROR(VLOOKUP(Request!$B$13,SKU_Family_Map!$A:$B,2,FALSE),""))&lt;=0),1,0),IF(AND(Request!$B$14&lt;&gt;"",Request!$C$14&lt;&gt;"",SUMIFS(Quota_Groups!$G:$G,Quota_Groups!$B:$B,$A9,Quota_Groups!$D:$D,IFERROR(VLOOKUP(Request!$B$14,SKU_Family_Map!$A:$B,2,FALSE),""))&lt;=0),1,0),IF(AND(Request!$B$15&lt;&gt;"",Request!$C$15&lt;&gt;"",SUMIFS(Quota_Groups!$G:$G,Quota_Groups!$B:$B,$A9,Quota_Groups!$D:$D,IFERROR(VLOOKUP(Request!$B$15,SKU_Family_Map!$A:$B,2,FALSE),""))&lt;=0),1,0))&gt;0,"QUOTA_DEFICIT",IF(G9=0,"CAPACITY_DEFICIT",IF(MIN(IF(OR(Request!$B$8="",Request!$C$8=""),1,IFERROR(1-Request!$E$8/MIN(SUMIFS(Capacity_By_SKU!$K:$K,Capacity_By_SKU!$A:$A,$A9,Capacity_By_SKU!$C:$C,"Prod",Capacity_By_SKU!$D:$D,Request!$B$8),SUMIFS(Quota_Groups!$G:$G,Quota_Groups!$B:$B,$A9,Quota_Groups!$D:$D,IFERROR(VLOOKUP(Request!$B$8,SKU_Family_Map!$A:$B,2,FALSE),""))),0)),IF(OR(Request!$B$9="",Request!$C$9=""),1,IFERROR(1-Request!$E$9/MIN(SUMIFS(Capacity_By_SKU!$K:$K,Capacity_By_SKU!$A:$A,$A9,Capacity_By_SKU!$C:$C,"Prod",Capacity_By_SKU!$D:$D,Request!$B$9),SUMIFS(Quota_Groups!$G:$G,Quota_Groups!$B:$B,$A9,Quota_Groups!$D:$D,IFERROR(VLOOKUP(Request!$B$9,SKU_Family_Map!$A:$B,2,FALSE),""))),0)),IF(OR(Request!$B$10="",Request!$C$10=""),1,IFERROR(1-Request!$E$10/MIN(SUMIFS(Capacity_By_SKU!$K:$K,Capacity_By_SKU!$A:$A,$A9,Capacity_By_SKU!$C:$C,"Prod",Capacity_By_SKU!$D:$D,Request!$B$10),SUMIFS(Quota_Groups!$G:$G,Quota_Groups!$B:$B,$A9,Quota_Groups!$D:$D,IFERROR(VLOOKUP(Request!$B$10,SKU_Family_Map!$A:$B,2,FALSE),""))),0)),IF(OR(Request!$B$11="",Request!$C$11=""),1,IFERROR(1-Request!$E$11/MIN(SUMIFS(Capacity_By_SKU!$K:$K,Capacity_By_SKU!$A:$A,$A9,Capacity_By_SKU!$C:$C,"Prod",Capacity_By_SKU!$D:$D,Request!$B$11),SUMIFS(Quota_Groups!$G:$G,Quota_Groups!$B:$B,$A9,Quota_Groups!$D:$D,IFERROR(VLOOKUP(Request!$B$11,SKU_Family_Map!$A:$B,2,FALSE),""))),0)),IF(OR(Request!$B$12="",Request!$C$12=""),1,IFERROR(1-Request!$E$12/MIN(SUMIFS(Capacity_By_SKU!$K:$K,Capacity_By_SKU!$A:$A,$A9,Capacity_By_SKU!$C:$C,"Prod",Capacity_By_SKU!$D:$D,Request!$B$12),SUMIFS(Quota_Groups!$G:$G,Quota_Groups!$B:$B,$A9,Quota_Groups!$D:$D,IFERROR(VLOOKUP(Request!$B$12,SKU_Family_Map!$A:$B,2,FALSE),""))),0)),IF(OR(Request!$B$13="",Request!$C$13=""),1,IFERROR(1-Request!$E$13/MIN(SUMIFS(Capacity_By_SKU!$K:$K,Capacity_By_SKU!$A:$A,$A9,Capacity_By_SKU!$C:$C,"Prod",Capacity_By_SKU!$D:$D,Request!$B$13),SUMIFS(Quota_Groups!$G:$G,Quota_Groups!$B:$B,$A9,Quota_Groups!$D:$D,IFERROR(VLOOKUP(Request!$B$13,SKU_Family_Map!$A:$B,2,FALSE),""))),0)),IF(OR(Request!$B$14="",Request!$C$14=""),1,IFERROR(1-Request!$E$14/MIN(SUMIFS(Capacity_By_SKU!$K:$K,Capacity_By_SKU!$A:$A,$A9,Capacity_By_SKU!$C:$C,"Prod",Capacity_By_SKU!$D:$D,Request!$B$14),SUMIFS(Quota_Groups!$G:$G,Quota_Groups!$B:$B,$A9,Quota_Groups!$D:$D,IFERROR(VLOOKUP(Request!$B$14,SKU_Family_Map!$A:$B,2,FALSE),""))),0)),IF(OR(Request!$B$15="",Request!$C$15=""),1,IFERROR(1-Request!$E$15/MIN(SUMIFS(Capacity_By_SKU!$K:$K,Capacity_By_SKU!$A:$A,$A9,Capacity_By_SKU!$C:$C,"Prod",Capacity_By_SKU!$D:$D,Request!$B$15),SUMIFS(Quota_Groups!$G:$G,Quota_Groups!$B:$B,$A9,Quota_Groups!$D:$D,IFERROR(VLOOKUP(Request!$B$15,SKU_Family_Map!$A:$B,2,FALSE),""))),0)))&lt;Policy!$B$10,"READY_WITH_RISK","READY")))))</f>
        <v/>
      </c>
      <c r="I9" s="16">
        <f>IF(AND(F9=1,G9=1,OR(H9="READY",H9="READY_WITH_RISK")),1,0)</f>
        <v/>
      </c>
      <c r="J9" s="16">
        <f>IF(I9=1,MAX(0,MIN(IF(OR(Request!$B$8="",Request!$C$8=""),1,IFERROR(1-Request!$E$8/MIN(SUMIFS(Capacity_By_SKU!$K:$K,Capacity_By_SKU!$A:$A,$A9,Capacity_By_SKU!$C:$C,"Prod",Capacity_By_SKU!$D:$D,Request!$B$8),SUMIFS(Quota_Groups!$G:$G,Quota_Groups!$B:$B,$A9,Quota_Groups!$D:$D,IFERROR(VLOOKUP(Request!$B$8,SKU_Family_Map!$A:$B,2,FALSE),""))),0)),IF(OR(Request!$B$9="",Request!$C$9=""),1,IFERROR(1-Request!$E$9/MIN(SUMIFS(Capacity_By_SKU!$K:$K,Capacity_By_SKU!$A:$A,$A9,Capacity_By_SKU!$C:$C,"Prod",Capacity_By_SKU!$D:$D,Request!$B$9),SUMIFS(Quota_Groups!$G:$G,Quota_Groups!$B:$B,$A9,Quota_Groups!$D:$D,IFERROR(VLOOKUP(Request!$B$9,SKU_Family_Map!$A:$B,2,FALSE),""))),0)),IF(OR(Request!$B$10="",Request!$C$10=""),1,IFERROR(1-Request!$E$10/MIN(SUMIFS(Capacity_By_SKU!$K:$K,Capacity_By_SKU!$A:$A,$A9,Capacity_By_SKU!$C:$C,"Prod",Capacity_By_SKU!$D:$D,Request!$B$10),SUMIFS(Quota_Groups!$G:$G,Quota_Groups!$B:$B,$A9,Quota_Groups!$D:$D,IFERROR(VLOOKUP(Request!$B$10,SKU_Family_Map!$A:$B,2,FALSE),""))),0)),IF(OR(Request!$B$11="",Request!$C$11=""),1,IFERROR(1-Request!$E$11/MIN(SUMIFS(Capacity_By_SKU!$K:$K,Capacity_By_SKU!$A:$A,$A9,Capacity_By_SKU!$C:$C,"Prod",Capacity_By_SKU!$D:$D,Request!$B$11),SUMIFS(Quota_Groups!$G:$G,Quota_Groups!$B:$B,$A9,Quota_Groups!$D:$D,IFERROR(VLOOKUP(Request!$B$11,SKU_Family_Map!$A:$B,2,FALSE),""))),0)),IF(OR(Request!$B$12="",Request!$C$12=""),1,IFERROR(1-Request!$E$12/MIN(SUMIFS(Capacity_By_SKU!$K:$K,Capacity_By_SKU!$A:$A,$A9,Capacity_By_SKU!$C:$C,"Prod",Capacity_By_SKU!$D:$D,Request!$B$12),SUMIFS(Quota_Groups!$G:$G,Quota_Groups!$B:$B,$A9,Quota_Groups!$D:$D,IFERROR(VLOOKUP(Request!$B$12,SKU_Family_Map!$A:$B,2,FALSE),""))),0)),IF(OR(Request!$B$13="",Request!$C$13=""),1,IFERROR(1-Request!$E$13/MIN(SUMIFS(Capacity_By_SKU!$K:$K,Capacity_By_SKU!$A:$A,$A9,Capacity_By_SKU!$C:$C,"Prod",Capacity_By_SKU!$D:$D,Request!$B$13),SUMIFS(Quota_Groups!$G:$G,Quota_Groups!$B:$B,$A9,Quota_Groups!$D:$D,IFERROR(VLOOKUP(Request!$B$13,SKU_Family_Map!$A:$B,2,FALSE),""))),0)),IF(OR(Request!$B$14="",Request!$C$14=""),1,IFERROR(1-Request!$E$14/MIN(SUMIFS(Capacity_By_SKU!$K:$K,Capacity_By_SKU!$A:$A,$A9,Capacity_By_SKU!$C:$C,"Prod",Capacity_By_SKU!$D:$D,Request!$B$14),SUMIFS(Quota_Groups!$G:$G,Quota_Groups!$B:$B,$A9,Quota_Groups!$D:$D,IFERROR(VLOOKUP(Request!$B$14,SKU_Family_Map!$A:$B,2,FALSE),""))),0)),IF(OR(Request!$B$15="",Request!$C$15=""),1,IFERROR(1-Request!$E$15/MIN(SUMIFS(Capacity_By_SKU!$K:$K,Capacity_By_SKU!$A:$A,$A9,Capacity_By_SKU!$C:$C,"Prod",Capacity_By_SKU!$D:$D,Request!$B$15),SUMIFS(Quota_Groups!$G:$G,Quota_Groups!$B:$B,$A9,Quota_Groups!$D:$D,IFERROR(VLOOKUP(Request!$B$15,SKU_Family_Map!$A:$B,2,FALSE),""))),0)))),0)</f>
        <v/>
      </c>
      <c r="K9" s="16">
        <f>IF(I9=1,MAX(0,MIN(IF(OR(Request!$B$8="",Request!$C$8=""),1,IFERROR(SUMIFS(Quota_Groups!$G:$G,Quota_Groups!$B:$B,$A9,Quota_Groups!$D:$D,IFERROR(VLOOKUP(Request!$B$8,SKU_Family_Map!$A:$B,2,FALSE),""))/MAX(SUMIFS(Quota_Groups!$E:$E,Quota_Groups!$B:$B,$A9,Quota_Groups!$D:$D,IFERROR(VLOOKUP(Request!$B$8,SKU_Family_Map!$A:$B,2,FALSE),"")),1),0)),IF(OR(Request!$B$9="",Request!$C$9=""),1,IFERROR(SUMIFS(Quota_Groups!$G:$G,Quota_Groups!$B:$B,$A9,Quota_Groups!$D:$D,IFERROR(VLOOKUP(Request!$B$9,SKU_Family_Map!$A:$B,2,FALSE),""))/MAX(SUMIFS(Quota_Groups!$E:$E,Quota_Groups!$B:$B,$A9,Quota_Groups!$D:$D,IFERROR(VLOOKUP(Request!$B$9,SKU_Family_Map!$A:$B,2,FALSE),"")),1),0)),IF(OR(Request!$B$10="",Request!$C$10=""),1,IFERROR(SUMIFS(Quota_Groups!$G:$G,Quota_Groups!$B:$B,$A9,Quota_Groups!$D:$D,IFERROR(VLOOKUP(Request!$B$10,SKU_Family_Map!$A:$B,2,FALSE),""))/MAX(SUMIFS(Quota_Groups!$E:$E,Quota_Groups!$B:$B,$A9,Quota_Groups!$D:$D,IFERROR(VLOOKUP(Request!$B$10,SKU_Family_Map!$A:$B,2,FALSE),"")),1),0)),IF(OR(Request!$B$11="",Request!$C$11=""),1,IFERROR(SUMIFS(Quota_Groups!$G:$G,Quota_Groups!$B:$B,$A9,Quota_Groups!$D:$D,IFERROR(VLOOKUP(Request!$B$11,SKU_Family_Map!$A:$B,2,FALSE),""))/MAX(SUMIFS(Quota_Groups!$E:$E,Quota_Groups!$B:$B,$A9,Quota_Groups!$D:$D,IFERROR(VLOOKUP(Request!$B$11,SKU_Family_Map!$A:$B,2,FALSE),"")),1),0)),IF(OR(Request!$B$12="",Request!$C$12=""),1,IFERROR(SUMIFS(Quota_Groups!$G:$G,Quota_Groups!$B:$B,$A9,Quota_Groups!$D:$D,IFERROR(VLOOKUP(Request!$B$12,SKU_Family_Map!$A:$B,2,FALSE),""))/MAX(SUMIFS(Quota_Groups!$E:$E,Quota_Groups!$B:$B,$A9,Quota_Groups!$D:$D,IFERROR(VLOOKUP(Request!$B$12,SKU_Family_Map!$A:$B,2,FALSE),"")),1),0)),IF(OR(Request!$B$13="",Request!$C$13=""),1,IFERROR(SUMIFS(Quota_Groups!$G:$G,Quota_Groups!$B:$B,$A9,Quota_Groups!$D:$D,IFERROR(VLOOKUP(Request!$B$13,SKU_Family_Map!$A:$B,2,FALSE),""))/MAX(SUMIFS(Quota_Groups!$E:$E,Quota_Groups!$B:$B,$A9,Quota_Groups!$D:$D,IFERROR(VLOOKUP(Request!$B$13,SKU_Family_Map!$A:$B,2,FALSE),"")),1),0)),IF(OR(Request!$B$14="",Request!$C$14=""),1,IFERROR(SUMIFS(Quota_Groups!$G:$G,Quota_Groups!$B:$B,$A9,Quota_Groups!$D:$D,IFERROR(VLOOKUP(Request!$B$14,SKU_Family_Map!$A:$B,2,FALSE),""))/MAX(SUMIFS(Quota_Groups!$E:$E,Quota_Groups!$B:$B,$A9,Quota_Groups!$D:$D,IFERROR(VLOOKUP(Request!$B$14,SKU_Family_Map!$A:$B,2,FALSE),"")),1),0)),IF(OR(Request!$B$15="",Request!$C$15=""),1,IFERROR(SUMIFS(Quota_Groups!$G:$G,Quota_Groups!$B:$B,$A9,Quota_Groups!$D:$D,IFERROR(VLOOKUP(Request!$B$15,SKU_Family_Map!$A:$B,2,FALSE),""))/MAX(SUMIFS(Quota_Groups!$E:$E,Quota_Groups!$B:$B,$A9,Quota_Groups!$D:$D,IFERROR(VLOOKUP(Request!$B$15,SKU_Family_Map!$A:$B,2,FALSE),"")),1),0)))),0)</f>
        <v/>
      </c>
      <c r="L9" s="16">
        <f>IF(I9=1,MAX(0,MIN(IF(OR(Request!$B$8="",Request!$C$8=""),1,IFERROR(SUMIFS(Capacity_By_SKU!$K:$K,Capacity_By_SKU!$A:$A,$A9,Capacity_By_SKU!$C:$C,"Prod",Capacity_By_SKU!$D:$D,Request!$B$8)/MAX(SUMIFS(Capacity_By_SKU!$J:$J,Capacity_By_SKU!$A:$A,$A9,Capacity_By_SKU!$C:$C,"Prod",Capacity_By_SKU!$D:$D,Request!$B$8),1),0)),IF(OR(Request!$B$9="",Request!$C$9=""),1,IFERROR(SUMIFS(Capacity_By_SKU!$K:$K,Capacity_By_SKU!$A:$A,$A9,Capacity_By_SKU!$C:$C,"Prod",Capacity_By_SKU!$D:$D,Request!$B$9)/MAX(SUMIFS(Capacity_By_SKU!$J:$J,Capacity_By_SKU!$A:$A,$A9,Capacity_By_SKU!$C:$C,"Prod",Capacity_By_SKU!$D:$D,Request!$B$9),1),0)),IF(OR(Request!$B$10="",Request!$C$10=""),1,IFERROR(SUMIFS(Capacity_By_SKU!$K:$K,Capacity_By_SKU!$A:$A,$A9,Capacity_By_SKU!$C:$C,"Prod",Capacity_By_SKU!$D:$D,Request!$B$10)/MAX(SUMIFS(Capacity_By_SKU!$J:$J,Capacity_By_SKU!$A:$A,$A9,Capacity_By_SKU!$C:$C,"Prod",Capacity_By_SKU!$D:$D,Request!$B$10),1),0)),IF(OR(Request!$B$11="",Request!$C$11=""),1,IFERROR(SUMIFS(Capacity_By_SKU!$K:$K,Capacity_By_SKU!$A:$A,$A9,Capacity_By_SKU!$C:$C,"Prod",Capacity_By_SKU!$D:$D,Request!$B$11)/MAX(SUMIFS(Capacity_By_SKU!$J:$J,Capacity_By_SKU!$A:$A,$A9,Capacity_By_SKU!$C:$C,"Prod",Capacity_By_SKU!$D:$D,Request!$B$11),1),0)),IF(OR(Request!$B$12="",Request!$C$12=""),1,IFERROR(SUMIFS(Capacity_By_SKU!$K:$K,Capacity_By_SKU!$A:$A,$A9,Capacity_By_SKU!$C:$C,"Prod",Capacity_By_SKU!$D:$D,Request!$B$12)/MAX(SUMIFS(Capacity_By_SKU!$J:$J,Capacity_By_SKU!$A:$A,$A9,Capacity_By_SKU!$C:$C,"Prod",Capacity_By_SKU!$D:$D,Request!$B$12),1),0)),IF(OR(Request!$B$13="",Request!$C$13=""),1,IFERROR(SUMIFS(Capacity_By_SKU!$K:$K,Capacity_By_SKU!$A:$A,$A9,Capacity_By_SKU!$C:$C,"Prod",Capacity_By_SKU!$D:$D,Request!$B$13)/MAX(SUMIFS(Capacity_By_SKU!$J:$J,Capacity_By_SKU!$A:$A,$A9,Capacity_By_SKU!$C:$C,"Prod",Capacity_By_SKU!$D:$D,Request!$B$13),1),0)),IF(OR(Request!$B$14="",Request!$C$14=""),1,IFERROR(SUMIFS(Capacity_By_SKU!$K:$K,Capacity_By_SKU!$A:$A,$A9,Capacity_By_SKU!$C:$C,"Prod",Capacity_By_SKU!$D:$D,Request!$B$14)/MAX(SUMIFS(Capacity_By_SKU!$J:$J,Capacity_By_SKU!$A:$A,$A9,Capacity_By_SKU!$C:$C,"Prod",Capacity_By_SKU!$D:$D,Request!$B$14),1),0)),IF(OR(Request!$B$15="",Request!$C$15=""),1,IFERROR(SUMIFS(Capacity_By_SKU!$K:$K,Capacity_By_SKU!$A:$A,$A9,Capacity_By_SKU!$C:$C,"Prod",Capacity_By_SKU!$D:$D,Request!$B$15)/MAX(SUMIFS(Capacity_By_SKU!$J:$J,Capacity_By_SKU!$A:$A,$A9,Capacity_By_SKU!$C:$C,"Prod",Capacity_By_SKU!$D:$D,Request!$B$15),1),0)))),0)</f>
        <v/>
      </c>
      <c r="M9" s="22">
        <f>IF(I9=1,ROUND(Policy!$B$4*J9+Policy!$B$5*K9+Policy!$B$6*L9,4),"")</f>
        <v/>
      </c>
      <c r="N9" s="16">
        <f>IF(I9=1,SUMPRODUCT(($I$4:$I$11=1)*($M$4:$M$11&gt;M9))+1,"")</f>
        <v/>
      </c>
      <c r="O9" s="16">
        <f>IF(I9=0,"N/A",IF(MIN(IF(OR(Request!$B$8="",Request!$C$8=""),1,IFERROR(SUMIFS(Capacity_By_SKU!$K:$K,Capacity_By_SKU!$A:$A,$A9,Capacity_By_SKU!$C:$C,"Prod",Capacity_By_SKU!$D:$D,Request!$B$8)/MAX(SUMIFS(Capacity_By_SKU!$J:$J,Capacity_By_SKU!$A:$A,$A9,Capacity_By_SKU!$C:$C,"Prod",Capacity_By_SKU!$D:$D,Request!$B$8),1),0)),IF(OR(Request!$B$9="",Request!$C$9=""),1,IFERROR(SUMIFS(Capacity_By_SKU!$K:$K,Capacity_By_SKU!$A:$A,$A9,Capacity_By_SKU!$C:$C,"Prod",Capacity_By_SKU!$D:$D,Request!$B$9)/MAX(SUMIFS(Capacity_By_SKU!$J:$J,Capacity_By_SKU!$A:$A,$A9,Capacity_By_SKU!$C:$C,"Prod",Capacity_By_SKU!$D:$D,Request!$B$9),1),0)),IF(OR(Request!$B$10="",Request!$C$10=""),1,IFERROR(SUMIFS(Capacity_By_SKU!$K:$K,Capacity_By_SKU!$A:$A,$A9,Capacity_By_SKU!$C:$C,"Prod",Capacity_By_SKU!$D:$D,Request!$B$10)/MAX(SUMIFS(Capacity_By_SKU!$J:$J,Capacity_By_SKU!$A:$A,$A9,Capacity_By_SKU!$C:$C,"Prod",Capacity_By_SKU!$D:$D,Request!$B$10),1),0)),IF(OR(Request!$B$11="",Request!$C$11=""),1,IFERROR(SUMIFS(Capacity_By_SKU!$K:$K,Capacity_By_SKU!$A:$A,$A9,Capacity_By_SKU!$C:$C,"Prod",Capacity_By_SKU!$D:$D,Request!$B$11)/MAX(SUMIFS(Capacity_By_SKU!$J:$J,Capacity_By_SKU!$A:$A,$A9,Capacity_By_SKU!$C:$C,"Prod",Capacity_By_SKU!$D:$D,Request!$B$11),1),0)),IF(OR(Request!$B$12="",Request!$C$12=""),1,IFERROR(SUMIFS(Capacity_By_SKU!$K:$K,Capacity_By_SKU!$A:$A,$A9,Capacity_By_SKU!$C:$C,"Prod",Capacity_By_SKU!$D:$D,Request!$B$12)/MAX(SUMIFS(Capacity_By_SKU!$J:$J,Capacity_By_SKU!$A:$A,$A9,Capacity_By_SKU!$C:$C,"Prod",Capacity_By_SKU!$D:$D,Request!$B$12),1),0)),IF(OR(Request!$B$13="",Request!$C$13=""),1,IFERROR(SUMIFS(Capacity_By_SKU!$K:$K,Capacity_By_SKU!$A:$A,$A9,Capacity_By_SKU!$C:$C,"Prod",Capacity_By_SKU!$D:$D,Request!$B$13)/MAX(SUMIFS(Capacity_By_SKU!$J:$J,Capacity_By_SKU!$A:$A,$A9,Capacity_By_SKU!$C:$C,"Prod",Capacity_By_SKU!$D:$D,Request!$B$13),1),0)),IF(OR(Request!$B$14="",Request!$C$14=""),1,IFERROR(SUMIFS(Capacity_By_SKU!$K:$K,Capacity_By_SKU!$A:$A,$A9,Capacity_By_SKU!$C:$C,"Prod",Capacity_By_SKU!$D:$D,Request!$B$14)/MAX(SUMIFS(Capacity_By_SKU!$J:$J,Capacity_By_SKU!$A:$A,$A9,Capacity_By_SKU!$C:$C,"Prod",Capacity_By_SKU!$D:$D,Request!$B$14),1),0)),IF(OR(Request!$B$15="",Request!$C$15=""),1,IFERROR(SUMIFS(Capacity_By_SKU!$K:$K,Capacity_By_SKU!$A:$A,$A9,Capacity_By_SKU!$C:$C,"Prod",Capacity_By_SKU!$D:$D,Request!$B$15)/MAX(SUMIFS(Capacity_By_SKU!$J:$J,Capacity_By_SKU!$A:$A,$A9,Capacity_By_SKU!$C:$C,"Prod",Capacity_By_SKU!$D:$D,Request!$B$15),1),0)))&lt;=MIN(IF(OR(Request!$B$8="",Request!$C$8=""),1,IFERROR(SUMIFS(Quota_Groups!$G:$G,Quota_Groups!$B:$B,$A9,Quota_Groups!$D:$D,IFERROR(VLOOKUP(Request!$B$8,SKU_Family_Map!$A:$B,2,FALSE),""))/MAX(SUMIFS(Quota_Groups!$E:$E,Quota_Groups!$B:$B,$A9,Quota_Groups!$D:$D,IFERROR(VLOOKUP(Request!$B$8,SKU_Family_Map!$A:$B,2,FALSE),"")),1),0)),IF(OR(Request!$B$9="",Request!$C$9=""),1,IFERROR(SUMIFS(Quota_Groups!$G:$G,Quota_Groups!$B:$B,$A9,Quota_Groups!$D:$D,IFERROR(VLOOKUP(Request!$B$9,SKU_Family_Map!$A:$B,2,FALSE),""))/MAX(SUMIFS(Quota_Groups!$E:$E,Quota_Groups!$B:$B,$A9,Quota_Groups!$D:$D,IFERROR(VLOOKUP(Request!$B$9,SKU_Family_Map!$A:$B,2,FALSE),"")),1),0)),IF(OR(Request!$B$10="",Request!$C$10=""),1,IFERROR(SUMIFS(Quota_Groups!$G:$G,Quota_Groups!$B:$B,$A9,Quota_Groups!$D:$D,IFERROR(VLOOKUP(Request!$B$10,SKU_Family_Map!$A:$B,2,FALSE),""))/MAX(SUMIFS(Quota_Groups!$E:$E,Quota_Groups!$B:$B,$A9,Quota_Groups!$D:$D,IFERROR(VLOOKUP(Request!$B$10,SKU_Family_Map!$A:$B,2,FALSE),"")),1),0)),IF(OR(Request!$B$11="",Request!$C$11=""),1,IFERROR(SUMIFS(Quota_Groups!$G:$G,Quota_Groups!$B:$B,$A9,Quota_Groups!$D:$D,IFERROR(VLOOKUP(Request!$B$11,SKU_Family_Map!$A:$B,2,FALSE),""))/MAX(SUMIFS(Quota_Groups!$E:$E,Quota_Groups!$B:$B,$A9,Quota_Groups!$D:$D,IFERROR(VLOOKUP(Request!$B$11,SKU_Family_Map!$A:$B,2,FALSE),"")),1),0)),IF(OR(Request!$B$12="",Request!$C$12=""),1,IFERROR(SUMIFS(Quota_Groups!$G:$G,Quota_Groups!$B:$B,$A9,Quota_Groups!$D:$D,IFERROR(VLOOKUP(Request!$B$12,SKU_Family_Map!$A:$B,2,FALSE),""))/MAX(SUMIFS(Quota_Groups!$E:$E,Quota_Groups!$B:$B,$A9,Quota_Groups!$D:$D,IFERROR(VLOOKUP(Request!$B$12,SKU_Family_Map!$A:$B,2,FALSE),"")),1),0)),IF(OR(Request!$B$13="",Request!$C$13=""),1,IFERROR(SUMIFS(Quota_Groups!$G:$G,Quota_Groups!$B:$B,$A9,Quota_Groups!$D:$D,IFERROR(VLOOKUP(Request!$B$13,SKU_Family_Map!$A:$B,2,FALSE),""))/MAX(SUMIFS(Quota_Groups!$E:$E,Quota_Groups!$B:$B,$A9,Quota_Groups!$D:$D,IFERROR(VLOOKUP(Request!$B$13,SKU_Family_Map!$A:$B,2,FALSE),"")),1),0)),IF(OR(Request!$B$14="",Request!$C$14=""),1,IFERROR(SUMIFS(Quota_Groups!$G:$G,Quota_Groups!$B:$B,$A9,Quota_Groups!$D:$D,IFERROR(VLOOKUP(Request!$B$14,SKU_Family_Map!$A:$B,2,FALSE),""))/MAX(SUMIFS(Quota_Groups!$E:$E,Quota_Groups!$B:$B,$A9,Quota_Groups!$D:$D,IFERROR(VLOOKUP(Request!$B$14,SKU_Family_Map!$A:$B,2,FALSE),"")),1),0)),IF(OR(Request!$B$15="",Request!$C$15=""),1,IFERROR(SUMIFS(Quota_Groups!$G:$G,Quota_Groups!$B:$B,$A9,Quota_Groups!$D:$D,IFERROR(VLOOKUP(Request!$B$15,SKU_Family_Map!$A:$B,2,FALSE),""))/MAX(SUMIFS(Quota_Groups!$E:$E,Quota_Groups!$B:$B,$A9,Quota_Groups!$D:$D,IFERROR(VLOOKUP(Request!$B$15,SKU_Family_Map!$A:$B,2,FALSE),"")),1),0))),"CAPACITY","QUOTA"))</f>
        <v/>
      </c>
    </row>
    <row r="10">
      <c r="A10" s="12" t="inlineStr">
        <is>
          <t>North Europe</t>
        </is>
      </c>
      <c r="B10" s="16" t="inlineStr">
        <is>
          <t>EU</t>
        </is>
      </c>
      <c r="C10" s="16" t="inlineStr">
        <is>
          <t>Prod</t>
        </is>
      </c>
      <c r="D10" s="16">
        <f>Request!$B$17</f>
        <v/>
      </c>
      <c r="E10" s="16">
        <f>Request!$B$18</f>
        <v/>
      </c>
      <c r="F10" s="16">
        <f>IF(B10=Request!$B$4,1,0)</f>
        <v/>
      </c>
      <c r="G10" s="18">
        <f>IF(Request!$B$17=0,0,MIN(IF(OR(Request!$B$8="",Request!$C$8=""),1,IF(MIN(SUMIFS(Capacity_By_SKU!$K:$K,Capacity_By_SKU!$A:$A,$A10,Capacity_By_SKU!$C:$C,"Prod",Capacity_By_SKU!$D:$D,Request!$B$8),SUMIFS(Quota_Groups!$G:$G,Quota_Groups!$B:$B,$A10,Quota_Groups!$D:$D,IFERROR(VLOOKUP(Request!$B$8,SKU_Family_Map!$A:$B,2,FALSE),"")))&gt;=Request!$E$8,1,0)),IF(OR(Request!$B$9="",Request!$C$9=""),1,IF(MIN(SUMIFS(Capacity_By_SKU!$K:$K,Capacity_By_SKU!$A:$A,$A10,Capacity_By_SKU!$C:$C,"Prod",Capacity_By_SKU!$D:$D,Request!$B$9),SUMIFS(Quota_Groups!$G:$G,Quota_Groups!$B:$B,$A10,Quota_Groups!$D:$D,IFERROR(VLOOKUP(Request!$B$9,SKU_Family_Map!$A:$B,2,FALSE),"")))&gt;=Request!$E$9,1,0)),IF(OR(Request!$B$10="",Request!$C$10=""),1,IF(MIN(SUMIFS(Capacity_By_SKU!$K:$K,Capacity_By_SKU!$A:$A,$A10,Capacity_By_SKU!$C:$C,"Prod",Capacity_By_SKU!$D:$D,Request!$B$10),SUMIFS(Quota_Groups!$G:$G,Quota_Groups!$B:$B,$A10,Quota_Groups!$D:$D,IFERROR(VLOOKUP(Request!$B$10,SKU_Family_Map!$A:$B,2,FALSE),"")))&gt;=Request!$E$10,1,0)),IF(OR(Request!$B$11="",Request!$C$11=""),1,IF(MIN(SUMIFS(Capacity_By_SKU!$K:$K,Capacity_By_SKU!$A:$A,$A10,Capacity_By_SKU!$C:$C,"Prod",Capacity_By_SKU!$D:$D,Request!$B$11),SUMIFS(Quota_Groups!$G:$G,Quota_Groups!$B:$B,$A10,Quota_Groups!$D:$D,IFERROR(VLOOKUP(Request!$B$11,SKU_Family_Map!$A:$B,2,FALSE),"")))&gt;=Request!$E$11,1,0)),IF(OR(Request!$B$12="",Request!$C$12=""),1,IF(MIN(SUMIFS(Capacity_By_SKU!$K:$K,Capacity_By_SKU!$A:$A,$A10,Capacity_By_SKU!$C:$C,"Prod",Capacity_By_SKU!$D:$D,Request!$B$12),SUMIFS(Quota_Groups!$G:$G,Quota_Groups!$B:$B,$A10,Quota_Groups!$D:$D,IFERROR(VLOOKUP(Request!$B$12,SKU_Family_Map!$A:$B,2,FALSE),"")))&gt;=Request!$E$12,1,0)),IF(OR(Request!$B$13="",Request!$C$13=""),1,IF(MIN(SUMIFS(Capacity_By_SKU!$K:$K,Capacity_By_SKU!$A:$A,$A10,Capacity_By_SKU!$C:$C,"Prod",Capacity_By_SKU!$D:$D,Request!$B$13),SUMIFS(Quota_Groups!$G:$G,Quota_Groups!$B:$B,$A10,Quota_Groups!$D:$D,IFERROR(VLOOKUP(Request!$B$13,SKU_Family_Map!$A:$B,2,FALSE),"")))&gt;=Request!$E$13,1,0)),IF(OR(Request!$B$14="",Request!$C$14=""),1,IF(MIN(SUMIFS(Capacity_By_SKU!$K:$K,Capacity_By_SKU!$A:$A,$A10,Capacity_By_SKU!$C:$C,"Prod",Capacity_By_SKU!$D:$D,Request!$B$14),SUMIFS(Quota_Groups!$G:$G,Quota_Groups!$B:$B,$A10,Quota_Groups!$D:$D,IFERROR(VLOOKUP(Request!$B$14,SKU_Family_Map!$A:$B,2,FALSE),"")))&gt;=Request!$E$14,1,0)),IF(OR(Request!$B$15="",Request!$C$15=""),1,IF(MIN(SUMIFS(Capacity_By_SKU!$K:$K,Capacity_By_SKU!$A:$A,$A10,Capacity_By_SKU!$C:$C,"Prod",Capacity_By_SKU!$D:$D,Request!$B$15),SUMIFS(Quota_Groups!$G:$G,Quota_Groups!$B:$B,$A10,Quota_Groups!$D:$D,IFERROR(VLOOKUP(Request!$B$15,SKU_Family_Map!$A:$B,2,FALSE),"")))&gt;=Request!$E$15,1,0))))</f>
        <v/>
      </c>
      <c r="H10" s="12">
        <f>IF(Request!$B$17=0,"NO_REQUEST",IF(SUM(IF(AND(Request!$B$8&lt;&gt;"",Request!$C$8&lt;&gt;"",SUMIFS(Capacity_By_SKU!$K:$K,Capacity_By_SKU!$A:$A,$A10,Capacity_By_SKU!$C:$C,"Prod",Capacity_By_SKU!$D:$D,Request!$B$8)&lt;=0),1,0),IF(AND(Request!$B$9&lt;&gt;"",Request!$C$9&lt;&gt;"",SUMIFS(Capacity_By_SKU!$K:$K,Capacity_By_SKU!$A:$A,$A10,Capacity_By_SKU!$C:$C,"Prod",Capacity_By_SKU!$D:$D,Request!$B$9)&lt;=0),1,0),IF(AND(Request!$B$10&lt;&gt;"",Request!$C$10&lt;&gt;"",SUMIFS(Capacity_By_SKU!$K:$K,Capacity_By_SKU!$A:$A,$A10,Capacity_By_SKU!$C:$C,"Prod",Capacity_By_SKU!$D:$D,Request!$B$10)&lt;=0),1,0),IF(AND(Request!$B$11&lt;&gt;"",Request!$C$11&lt;&gt;"",SUMIFS(Capacity_By_SKU!$K:$K,Capacity_By_SKU!$A:$A,$A10,Capacity_By_SKU!$C:$C,"Prod",Capacity_By_SKU!$D:$D,Request!$B$11)&lt;=0),1,0),IF(AND(Request!$B$12&lt;&gt;"",Request!$C$12&lt;&gt;"",SUMIFS(Capacity_By_SKU!$K:$K,Capacity_By_SKU!$A:$A,$A10,Capacity_By_SKU!$C:$C,"Prod",Capacity_By_SKU!$D:$D,Request!$B$12)&lt;=0),1,0),IF(AND(Request!$B$13&lt;&gt;"",Request!$C$13&lt;&gt;"",SUMIFS(Capacity_By_SKU!$K:$K,Capacity_By_SKU!$A:$A,$A10,Capacity_By_SKU!$C:$C,"Prod",Capacity_By_SKU!$D:$D,Request!$B$13)&lt;=0),1,0),IF(AND(Request!$B$14&lt;&gt;"",Request!$C$14&lt;&gt;"",SUMIFS(Capacity_By_SKU!$K:$K,Capacity_By_SKU!$A:$A,$A10,Capacity_By_SKU!$C:$C,"Prod",Capacity_By_SKU!$D:$D,Request!$B$14)&lt;=0),1,0),IF(AND(Request!$B$15&lt;&gt;"",Request!$C$15&lt;&gt;"",SUMIFS(Capacity_By_SKU!$K:$K,Capacity_By_SKU!$A:$A,$A10,Capacity_By_SKU!$C:$C,"Prod",Capacity_By_SKU!$D:$D,Request!$B$15)&lt;=0),1,0))&gt;0,"RESERVATION_DEFICIT",IF(SUM(IF(AND(Request!$B$8&lt;&gt;"",Request!$C$8&lt;&gt;"",SUMIFS(Quota_Groups!$G:$G,Quota_Groups!$B:$B,$A10,Quota_Groups!$D:$D,IFERROR(VLOOKUP(Request!$B$8,SKU_Family_Map!$A:$B,2,FALSE),""))&lt;=0),1,0),IF(AND(Request!$B$9&lt;&gt;"",Request!$C$9&lt;&gt;"",SUMIFS(Quota_Groups!$G:$G,Quota_Groups!$B:$B,$A10,Quota_Groups!$D:$D,IFERROR(VLOOKUP(Request!$B$9,SKU_Family_Map!$A:$B,2,FALSE),""))&lt;=0),1,0),IF(AND(Request!$B$10&lt;&gt;"",Request!$C$10&lt;&gt;"",SUMIFS(Quota_Groups!$G:$G,Quota_Groups!$B:$B,$A10,Quota_Groups!$D:$D,IFERROR(VLOOKUP(Request!$B$10,SKU_Family_Map!$A:$B,2,FALSE),""))&lt;=0),1,0),IF(AND(Request!$B$11&lt;&gt;"",Request!$C$11&lt;&gt;"",SUMIFS(Quota_Groups!$G:$G,Quota_Groups!$B:$B,$A10,Quota_Groups!$D:$D,IFERROR(VLOOKUP(Request!$B$11,SKU_Family_Map!$A:$B,2,FALSE),""))&lt;=0),1,0),IF(AND(Request!$B$12&lt;&gt;"",Request!$C$12&lt;&gt;"",SUMIFS(Quota_Groups!$G:$G,Quota_Groups!$B:$B,$A10,Quota_Groups!$D:$D,IFERROR(VLOOKUP(Request!$B$12,SKU_Family_Map!$A:$B,2,FALSE),""))&lt;=0),1,0),IF(AND(Request!$B$13&lt;&gt;"",Request!$C$13&lt;&gt;"",SUMIFS(Quota_Groups!$G:$G,Quota_Groups!$B:$B,$A10,Quota_Groups!$D:$D,IFERROR(VLOOKUP(Request!$B$13,SKU_Family_Map!$A:$B,2,FALSE),""))&lt;=0),1,0),IF(AND(Request!$B$14&lt;&gt;"",Request!$C$14&lt;&gt;"",SUMIFS(Quota_Groups!$G:$G,Quota_Groups!$B:$B,$A10,Quota_Groups!$D:$D,IFERROR(VLOOKUP(Request!$B$14,SKU_Family_Map!$A:$B,2,FALSE),""))&lt;=0),1,0),IF(AND(Request!$B$15&lt;&gt;"",Request!$C$15&lt;&gt;"",SUMIFS(Quota_Groups!$G:$G,Quota_Groups!$B:$B,$A10,Quota_Groups!$D:$D,IFERROR(VLOOKUP(Request!$B$15,SKU_Family_Map!$A:$B,2,FALSE),""))&lt;=0),1,0))&gt;0,"QUOTA_DEFICIT",IF(G10=0,"CAPACITY_DEFICIT",IF(MIN(IF(OR(Request!$B$8="",Request!$C$8=""),1,IFERROR(1-Request!$E$8/MIN(SUMIFS(Capacity_By_SKU!$K:$K,Capacity_By_SKU!$A:$A,$A10,Capacity_By_SKU!$C:$C,"Prod",Capacity_By_SKU!$D:$D,Request!$B$8),SUMIFS(Quota_Groups!$G:$G,Quota_Groups!$B:$B,$A10,Quota_Groups!$D:$D,IFERROR(VLOOKUP(Request!$B$8,SKU_Family_Map!$A:$B,2,FALSE),""))),0)),IF(OR(Request!$B$9="",Request!$C$9=""),1,IFERROR(1-Request!$E$9/MIN(SUMIFS(Capacity_By_SKU!$K:$K,Capacity_By_SKU!$A:$A,$A10,Capacity_By_SKU!$C:$C,"Prod",Capacity_By_SKU!$D:$D,Request!$B$9),SUMIFS(Quota_Groups!$G:$G,Quota_Groups!$B:$B,$A10,Quota_Groups!$D:$D,IFERROR(VLOOKUP(Request!$B$9,SKU_Family_Map!$A:$B,2,FALSE),""))),0)),IF(OR(Request!$B$10="",Request!$C$10=""),1,IFERROR(1-Request!$E$10/MIN(SUMIFS(Capacity_By_SKU!$K:$K,Capacity_By_SKU!$A:$A,$A10,Capacity_By_SKU!$C:$C,"Prod",Capacity_By_SKU!$D:$D,Request!$B$10),SUMIFS(Quota_Groups!$G:$G,Quota_Groups!$B:$B,$A10,Quota_Groups!$D:$D,IFERROR(VLOOKUP(Request!$B$10,SKU_Family_Map!$A:$B,2,FALSE),""))),0)),IF(OR(Request!$B$11="",Request!$C$11=""),1,IFERROR(1-Request!$E$11/MIN(SUMIFS(Capacity_By_SKU!$K:$K,Capacity_By_SKU!$A:$A,$A10,Capacity_By_SKU!$C:$C,"Prod",Capacity_By_SKU!$D:$D,Request!$B$11),SUMIFS(Quota_Groups!$G:$G,Quota_Groups!$B:$B,$A10,Quota_Groups!$D:$D,IFERROR(VLOOKUP(Request!$B$11,SKU_Family_Map!$A:$B,2,FALSE),""))),0)),IF(OR(Request!$B$12="",Request!$C$12=""),1,IFERROR(1-Request!$E$12/MIN(SUMIFS(Capacity_By_SKU!$K:$K,Capacity_By_SKU!$A:$A,$A10,Capacity_By_SKU!$C:$C,"Prod",Capacity_By_SKU!$D:$D,Request!$B$12),SUMIFS(Quota_Groups!$G:$G,Quota_Groups!$B:$B,$A10,Quota_Groups!$D:$D,IFERROR(VLOOKUP(Request!$B$12,SKU_Family_Map!$A:$B,2,FALSE),""))),0)),IF(OR(Request!$B$13="",Request!$C$13=""),1,IFERROR(1-Request!$E$13/MIN(SUMIFS(Capacity_By_SKU!$K:$K,Capacity_By_SKU!$A:$A,$A10,Capacity_By_SKU!$C:$C,"Prod",Capacity_By_SKU!$D:$D,Request!$B$13),SUMIFS(Quota_Groups!$G:$G,Quota_Groups!$B:$B,$A10,Quota_Groups!$D:$D,IFERROR(VLOOKUP(Request!$B$13,SKU_Family_Map!$A:$B,2,FALSE),""))),0)),IF(OR(Request!$B$14="",Request!$C$14=""),1,IFERROR(1-Request!$E$14/MIN(SUMIFS(Capacity_By_SKU!$K:$K,Capacity_By_SKU!$A:$A,$A10,Capacity_By_SKU!$C:$C,"Prod",Capacity_By_SKU!$D:$D,Request!$B$14),SUMIFS(Quota_Groups!$G:$G,Quota_Groups!$B:$B,$A10,Quota_Groups!$D:$D,IFERROR(VLOOKUP(Request!$B$14,SKU_Family_Map!$A:$B,2,FALSE),""))),0)),IF(OR(Request!$B$15="",Request!$C$15=""),1,IFERROR(1-Request!$E$15/MIN(SUMIFS(Capacity_By_SKU!$K:$K,Capacity_By_SKU!$A:$A,$A10,Capacity_By_SKU!$C:$C,"Prod",Capacity_By_SKU!$D:$D,Request!$B$15),SUMIFS(Quota_Groups!$G:$G,Quota_Groups!$B:$B,$A10,Quota_Groups!$D:$D,IFERROR(VLOOKUP(Request!$B$15,SKU_Family_Map!$A:$B,2,FALSE),""))),0)))&lt;Policy!$B$10,"READY_WITH_RISK","READY")))))</f>
        <v/>
      </c>
      <c r="I10" s="16">
        <f>IF(AND(F10=1,G10=1,OR(H10="READY",H10="READY_WITH_RISK")),1,0)</f>
        <v/>
      </c>
      <c r="J10" s="16">
        <f>IF(I10=1,MAX(0,MIN(IF(OR(Request!$B$8="",Request!$C$8=""),1,IFERROR(1-Request!$E$8/MIN(SUMIFS(Capacity_By_SKU!$K:$K,Capacity_By_SKU!$A:$A,$A10,Capacity_By_SKU!$C:$C,"Prod",Capacity_By_SKU!$D:$D,Request!$B$8),SUMIFS(Quota_Groups!$G:$G,Quota_Groups!$B:$B,$A10,Quota_Groups!$D:$D,IFERROR(VLOOKUP(Request!$B$8,SKU_Family_Map!$A:$B,2,FALSE),""))),0)),IF(OR(Request!$B$9="",Request!$C$9=""),1,IFERROR(1-Request!$E$9/MIN(SUMIFS(Capacity_By_SKU!$K:$K,Capacity_By_SKU!$A:$A,$A10,Capacity_By_SKU!$C:$C,"Prod",Capacity_By_SKU!$D:$D,Request!$B$9),SUMIFS(Quota_Groups!$G:$G,Quota_Groups!$B:$B,$A10,Quota_Groups!$D:$D,IFERROR(VLOOKUP(Request!$B$9,SKU_Family_Map!$A:$B,2,FALSE),""))),0)),IF(OR(Request!$B$10="",Request!$C$10=""),1,IFERROR(1-Request!$E$10/MIN(SUMIFS(Capacity_By_SKU!$K:$K,Capacity_By_SKU!$A:$A,$A10,Capacity_By_SKU!$C:$C,"Prod",Capacity_By_SKU!$D:$D,Request!$B$10),SUMIFS(Quota_Groups!$G:$G,Quota_Groups!$B:$B,$A10,Quota_Groups!$D:$D,IFERROR(VLOOKUP(Request!$B$10,SKU_Family_Map!$A:$B,2,FALSE),""))),0)),IF(OR(Request!$B$11="",Request!$C$11=""),1,IFERROR(1-Request!$E$11/MIN(SUMIFS(Capacity_By_SKU!$K:$K,Capacity_By_SKU!$A:$A,$A10,Capacity_By_SKU!$C:$C,"Prod",Capacity_By_SKU!$D:$D,Request!$B$11),SUMIFS(Quota_Groups!$G:$G,Quota_Groups!$B:$B,$A10,Quota_Groups!$D:$D,IFERROR(VLOOKUP(Request!$B$11,SKU_Family_Map!$A:$B,2,FALSE),""))),0)),IF(OR(Request!$B$12="",Request!$C$12=""),1,IFERROR(1-Request!$E$12/MIN(SUMIFS(Capacity_By_SKU!$K:$K,Capacity_By_SKU!$A:$A,$A10,Capacity_By_SKU!$C:$C,"Prod",Capacity_By_SKU!$D:$D,Request!$B$12),SUMIFS(Quota_Groups!$G:$G,Quota_Groups!$B:$B,$A10,Quota_Groups!$D:$D,IFERROR(VLOOKUP(Request!$B$12,SKU_Family_Map!$A:$B,2,FALSE),""))),0)),IF(OR(Request!$B$13="",Request!$C$13=""),1,IFERROR(1-Request!$E$13/MIN(SUMIFS(Capacity_By_SKU!$K:$K,Capacity_By_SKU!$A:$A,$A10,Capacity_By_SKU!$C:$C,"Prod",Capacity_By_SKU!$D:$D,Request!$B$13),SUMIFS(Quota_Groups!$G:$G,Quota_Groups!$B:$B,$A10,Quota_Groups!$D:$D,IFERROR(VLOOKUP(Request!$B$13,SKU_Family_Map!$A:$B,2,FALSE),""))),0)),IF(OR(Request!$B$14="",Request!$C$14=""),1,IFERROR(1-Request!$E$14/MIN(SUMIFS(Capacity_By_SKU!$K:$K,Capacity_By_SKU!$A:$A,$A10,Capacity_By_SKU!$C:$C,"Prod",Capacity_By_SKU!$D:$D,Request!$B$14),SUMIFS(Quota_Groups!$G:$G,Quota_Groups!$B:$B,$A10,Quota_Groups!$D:$D,IFERROR(VLOOKUP(Request!$B$14,SKU_Family_Map!$A:$B,2,FALSE),""))),0)),IF(OR(Request!$B$15="",Request!$C$15=""),1,IFERROR(1-Request!$E$15/MIN(SUMIFS(Capacity_By_SKU!$K:$K,Capacity_By_SKU!$A:$A,$A10,Capacity_By_SKU!$C:$C,"Prod",Capacity_By_SKU!$D:$D,Request!$B$15),SUMIFS(Quota_Groups!$G:$G,Quota_Groups!$B:$B,$A10,Quota_Groups!$D:$D,IFERROR(VLOOKUP(Request!$B$15,SKU_Family_Map!$A:$B,2,FALSE),""))),0)))),0)</f>
        <v/>
      </c>
      <c r="K10" s="16">
        <f>IF(I10=1,MAX(0,MIN(IF(OR(Request!$B$8="",Request!$C$8=""),1,IFERROR(SUMIFS(Quota_Groups!$G:$G,Quota_Groups!$B:$B,$A10,Quota_Groups!$D:$D,IFERROR(VLOOKUP(Request!$B$8,SKU_Family_Map!$A:$B,2,FALSE),""))/MAX(SUMIFS(Quota_Groups!$E:$E,Quota_Groups!$B:$B,$A10,Quota_Groups!$D:$D,IFERROR(VLOOKUP(Request!$B$8,SKU_Family_Map!$A:$B,2,FALSE),"")),1),0)),IF(OR(Request!$B$9="",Request!$C$9=""),1,IFERROR(SUMIFS(Quota_Groups!$G:$G,Quota_Groups!$B:$B,$A10,Quota_Groups!$D:$D,IFERROR(VLOOKUP(Request!$B$9,SKU_Family_Map!$A:$B,2,FALSE),""))/MAX(SUMIFS(Quota_Groups!$E:$E,Quota_Groups!$B:$B,$A10,Quota_Groups!$D:$D,IFERROR(VLOOKUP(Request!$B$9,SKU_Family_Map!$A:$B,2,FALSE),"")),1),0)),IF(OR(Request!$B$10="",Request!$C$10=""),1,IFERROR(SUMIFS(Quota_Groups!$G:$G,Quota_Groups!$B:$B,$A10,Quota_Groups!$D:$D,IFERROR(VLOOKUP(Request!$B$10,SKU_Family_Map!$A:$B,2,FALSE),""))/MAX(SUMIFS(Quota_Groups!$E:$E,Quota_Groups!$B:$B,$A10,Quota_Groups!$D:$D,IFERROR(VLOOKUP(Request!$B$10,SKU_Family_Map!$A:$B,2,FALSE),"")),1),0)),IF(OR(Request!$B$11="",Request!$C$11=""),1,IFERROR(SUMIFS(Quota_Groups!$G:$G,Quota_Groups!$B:$B,$A10,Quota_Groups!$D:$D,IFERROR(VLOOKUP(Request!$B$11,SKU_Family_Map!$A:$B,2,FALSE),""))/MAX(SUMIFS(Quota_Groups!$E:$E,Quota_Groups!$B:$B,$A10,Quota_Groups!$D:$D,IFERROR(VLOOKUP(Request!$B$11,SKU_Family_Map!$A:$B,2,FALSE),"")),1),0)),IF(OR(Request!$B$12="",Request!$C$12=""),1,IFERROR(SUMIFS(Quota_Groups!$G:$G,Quota_Groups!$B:$B,$A10,Quota_Groups!$D:$D,IFERROR(VLOOKUP(Request!$B$12,SKU_Family_Map!$A:$B,2,FALSE),""))/MAX(SUMIFS(Quota_Groups!$E:$E,Quota_Groups!$B:$B,$A10,Quota_Groups!$D:$D,IFERROR(VLOOKUP(Request!$B$12,SKU_Family_Map!$A:$B,2,FALSE),"")),1),0)),IF(OR(Request!$B$13="",Request!$C$13=""),1,IFERROR(SUMIFS(Quota_Groups!$G:$G,Quota_Groups!$B:$B,$A10,Quota_Groups!$D:$D,IFERROR(VLOOKUP(Request!$B$13,SKU_Family_Map!$A:$B,2,FALSE),""))/MAX(SUMIFS(Quota_Groups!$E:$E,Quota_Groups!$B:$B,$A10,Quota_Groups!$D:$D,IFERROR(VLOOKUP(Request!$B$13,SKU_Family_Map!$A:$B,2,FALSE),"")),1),0)),IF(OR(Request!$B$14="",Request!$C$14=""),1,IFERROR(SUMIFS(Quota_Groups!$G:$G,Quota_Groups!$B:$B,$A10,Quota_Groups!$D:$D,IFERROR(VLOOKUP(Request!$B$14,SKU_Family_Map!$A:$B,2,FALSE),""))/MAX(SUMIFS(Quota_Groups!$E:$E,Quota_Groups!$B:$B,$A10,Quota_Groups!$D:$D,IFERROR(VLOOKUP(Request!$B$14,SKU_Family_Map!$A:$B,2,FALSE),"")),1),0)),IF(OR(Request!$B$15="",Request!$C$15=""),1,IFERROR(SUMIFS(Quota_Groups!$G:$G,Quota_Groups!$B:$B,$A10,Quota_Groups!$D:$D,IFERROR(VLOOKUP(Request!$B$15,SKU_Family_Map!$A:$B,2,FALSE),""))/MAX(SUMIFS(Quota_Groups!$E:$E,Quota_Groups!$B:$B,$A10,Quota_Groups!$D:$D,IFERROR(VLOOKUP(Request!$B$15,SKU_Family_Map!$A:$B,2,FALSE),"")),1),0)))),0)</f>
        <v/>
      </c>
      <c r="L10" s="16">
        <f>IF(I10=1,MAX(0,MIN(IF(OR(Request!$B$8="",Request!$C$8=""),1,IFERROR(SUMIFS(Capacity_By_SKU!$K:$K,Capacity_By_SKU!$A:$A,$A10,Capacity_By_SKU!$C:$C,"Prod",Capacity_By_SKU!$D:$D,Request!$B$8)/MAX(SUMIFS(Capacity_By_SKU!$J:$J,Capacity_By_SKU!$A:$A,$A10,Capacity_By_SKU!$C:$C,"Prod",Capacity_By_SKU!$D:$D,Request!$B$8),1),0)),IF(OR(Request!$B$9="",Request!$C$9=""),1,IFERROR(SUMIFS(Capacity_By_SKU!$K:$K,Capacity_By_SKU!$A:$A,$A10,Capacity_By_SKU!$C:$C,"Prod",Capacity_By_SKU!$D:$D,Request!$B$9)/MAX(SUMIFS(Capacity_By_SKU!$J:$J,Capacity_By_SKU!$A:$A,$A10,Capacity_By_SKU!$C:$C,"Prod",Capacity_By_SKU!$D:$D,Request!$B$9),1),0)),IF(OR(Request!$B$10="",Request!$C$10=""),1,IFERROR(SUMIFS(Capacity_By_SKU!$K:$K,Capacity_By_SKU!$A:$A,$A10,Capacity_By_SKU!$C:$C,"Prod",Capacity_By_SKU!$D:$D,Request!$B$10)/MAX(SUMIFS(Capacity_By_SKU!$J:$J,Capacity_By_SKU!$A:$A,$A10,Capacity_By_SKU!$C:$C,"Prod",Capacity_By_SKU!$D:$D,Request!$B$10),1),0)),IF(OR(Request!$B$11="",Request!$C$11=""),1,IFERROR(SUMIFS(Capacity_By_SKU!$K:$K,Capacity_By_SKU!$A:$A,$A10,Capacity_By_SKU!$C:$C,"Prod",Capacity_By_SKU!$D:$D,Request!$B$11)/MAX(SUMIFS(Capacity_By_SKU!$J:$J,Capacity_By_SKU!$A:$A,$A10,Capacity_By_SKU!$C:$C,"Prod",Capacity_By_SKU!$D:$D,Request!$B$11),1),0)),IF(OR(Request!$B$12="",Request!$C$12=""),1,IFERROR(SUMIFS(Capacity_By_SKU!$K:$K,Capacity_By_SKU!$A:$A,$A10,Capacity_By_SKU!$C:$C,"Prod",Capacity_By_SKU!$D:$D,Request!$B$12)/MAX(SUMIFS(Capacity_By_SKU!$J:$J,Capacity_By_SKU!$A:$A,$A10,Capacity_By_SKU!$C:$C,"Prod",Capacity_By_SKU!$D:$D,Request!$B$12),1),0)),IF(OR(Request!$B$13="",Request!$C$13=""),1,IFERROR(SUMIFS(Capacity_By_SKU!$K:$K,Capacity_By_SKU!$A:$A,$A10,Capacity_By_SKU!$C:$C,"Prod",Capacity_By_SKU!$D:$D,Request!$B$13)/MAX(SUMIFS(Capacity_By_SKU!$J:$J,Capacity_By_SKU!$A:$A,$A10,Capacity_By_SKU!$C:$C,"Prod",Capacity_By_SKU!$D:$D,Request!$B$13),1),0)),IF(OR(Request!$B$14="",Request!$C$14=""),1,IFERROR(SUMIFS(Capacity_By_SKU!$K:$K,Capacity_By_SKU!$A:$A,$A10,Capacity_By_SKU!$C:$C,"Prod",Capacity_By_SKU!$D:$D,Request!$B$14)/MAX(SUMIFS(Capacity_By_SKU!$J:$J,Capacity_By_SKU!$A:$A,$A10,Capacity_By_SKU!$C:$C,"Prod",Capacity_By_SKU!$D:$D,Request!$B$14),1),0)),IF(OR(Request!$B$15="",Request!$C$15=""),1,IFERROR(SUMIFS(Capacity_By_SKU!$K:$K,Capacity_By_SKU!$A:$A,$A10,Capacity_By_SKU!$C:$C,"Prod",Capacity_By_SKU!$D:$D,Request!$B$15)/MAX(SUMIFS(Capacity_By_SKU!$J:$J,Capacity_By_SKU!$A:$A,$A10,Capacity_By_SKU!$C:$C,"Prod",Capacity_By_SKU!$D:$D,Request!$B$15),1),0)))),0)</f>
        <v/>
      </c>
      <c r="M10" s="22">
        <f>IF(I10=1,ROUND(Policy!$B$4*J10+Policy!$B$5*K10+Policy!$B$6*L10,4),"")</f>
        <v/>
      </c>
      <c r="N10" s="16">
        <f>IF(I10=1,SUMPRODUCT(($I$4:$I$11=1)*($M$4:$M$11&gt;M10))+1,"")</f>
        <v/>
      </c>
      <c r="O10" s="16">
        <f>IF(I10=0,"N/A",IF(MIN(IF(OR(Request!$B$8="",Request!$C$8=""),1,IFERROR(SUMIFS(Capacity_By_SKU!$K:$K,Capacity_By_SKU!$A:$A,$A10,Capacity_By_SKU!$C:$C,"Prod",Capacity_By_SKU!$D:$D,Request!$B$8)/MAX(SUMIFS(Capacity_By_SKU!$J:$J,Capacity_By_SKU!$A:$A,$A10,Capacity_By_SKU!$C:$C,"Prod",Capacity_By_SKU!$D:$D,Request!$B$8),1),0)),IF(OR(Request!$B$9="",Request!$C$9=""),1,IFERROR(SUMIFS(Capacity_By_SKU!$K:$K,Capacity_By_SKU!$A:$A,$A10,Capacity_By_SKU!$C:$C,"Prod",Capacity_By_SKU!$D:$D,Request!$B$9)/MAX(SUMIFS(Capacity_By_SKU!$J:$J,Capacity_By_SKU!$A:$A,$A10,Capacity_By_SKU!$C:$C,"Prod",Capacity_By_SKU!$D:$D,Request!$B$9),1),0)),IF(OR(Request!$B$10="",Request!$C$10=""),1,IFERROR(SUMIFS(Capacity_By_SKU!$K:$K,Capacity_By_SKU!$A:$A,$A10,Capacity_By_SKU!$C:$C,"Prod",Capacity_By_SKU!$D:$D,Request!$B$10)/MAX(SUMIFS(Capacity_By_SKU!$J:$J,Capacity_By_SKU!$A:$A,$A10,Capacity_By_SKU!$C:$C,"Prod",Capacity_By_SKU!$D:$D,Request!$B$10),1),0)),IF(OR(Request!$B$11="",Request!$C$11=""),1,IFERROR(SUMIFS(Capacity_By_SKU!$K:$K,Capacity_By_SKU!$A:$A,$A10,Capacity_By_SKU!$C:$C,"Prod",Capacity_By_SKU!$D:$D,Request!$B$11)/MAX(SUMIFS(Capacity_By_SKU!$J:$J,Capacity_By_SKU!$A:$A,$A10,Capacity_By_SKU!$C:$C,"Prod",Capacity_By_SKU!$D:$D,Request!$B$11),1),0)),IF(OR(Request!$B$12="",Request!$C$12=""),1,IFERROR(SUMIFS(Capacity_By_SKU!$K:$K,Capacity_By_SKU!$A:$A,$A10,Capacity_By_SKU!$C:$C,"Prod",Capacity_By_SKU!$D:$D,Request!$B$12)/MAX(SUMIFS(Capacity_By_SKU!$J:$J,Capacity_By_SKU!$A:$A,$A10,Capacity_By_SKU!$C:$C,"Prod",Capacity_By_SKU!$D:$D,Request!$B$12),1),0)),IF(OR(Request!$B$13="",Request!$C$13=""),1,IFERROR(SUMIFS(Capacity_By_SKU!$K:$K,Capacity_By_SKU!$A:$A,$A10,Capacity_By_SKU!$C:$C,"Prod",Capacity_By_SKU!$D:$D,Request!$B$13)/MAX(SUMIFS(Capacity_By_SKU!$J:$J,Capacity_By_SKU!$A:$A,$A10,Capacity_By_SKU!$C:$C,"Prod",Capacity_By_SKU!$D:$D,Request!$B$13),1),0)),IF(OR(Request!$B$14="",Request!$C$14=""),1,IFERROR(SUMIFS(Capacity_By_SKU!$K:$K,Capacity_By_SKU!$A:$A,$A10,Capacity_By_SKU!$C:$C,"Prod",Capacity_By_SKU!$D:$D,Request!$B$14)/MAX(SUMIFS(Capacity_By_SKU!$J:$J,Capacity_By_SKU!$A:$A,$A10,Capacity_By_SKU!$C:$C,"Prod",Capacity_By_SKU!$D:$D,Request!$B$14),1),0)),IF(OR(Request!$B$15="",Request!$C$15=""),1,IFERROR(SUMIFS(Capacity_By_SKU!$K:$K,Capacity_By_SKU!$A:$A,$A10,Capacity_By_SKU!$C:$C,"Prod",Capacity_By_SKU!$D:$D,Request!$B$15)/MAX(SUMIFS(Capacity_By_SKU!$J:$J,Capacity_By_SKU!$A:$A,$A10,Capacity_By_SKU!$C:$C,"Prod",Capacity_By_SKU!$D:$D,Request!$B$15),1),0)))&lt;=MIN(IF(OR(Request!$B$8="",Request!$C$8=""),1,IFERROR(SUMIFS(Quota_Groups!$G:$G,Quota_Groups!$B:$B,$A10,Quota_Groups!$D:$D,IFERROR(VLOOKUP(Request!$B$8,SKU_Family_Map!$A:$B,2,FALSE),""))/MAX(SUMIFS(Quota_Groups!$E:$E,Quota_Groups!$B:$B,$A10,Quota_Groups!$D:$D,IFERROR(VLOOKUP(Request!$B$8,SKU_Family_Map!$A:$B,2,FALSE),"")),1),0)),IF(OR(Request!$B$9="",Request!$C$9=""),1,IFERROR(SUMIFS(Quota_Groups!$G:$G,Quota_Groups!$B:$B,$A10,Quota_Groups!$D:$D,IFERROR(VLOOKUP(Request!$B$9,SKU_Family_Map!$A:$B,2,FALSE),""))/MAX(SUMIFS(Quota_Groups!$E:$E,Quota_Groups!$B:$B,$A10,Quota_Groups!$D:$D,IFERROR(VLOOKUP(Request!$B$9,SKU_Family_Map!$A:$B,2,FALSE),"")),1),0)),IF(OR(Request!$B$10="",Request!$C$10=""),1,IFERROR(SUMIFS(Quota_Groups!$G:$G,Quota_Groups!$B:$B,$A10,Quota_Groups!$D:$D,IFERROR(VLOOKUP(Request!$B$10,SKU_Family_Map!$A:$B,2,FALSE),""))/MAX(SUMIFS(Quota_Groups!$E:$E,Quota_Groups!$B:$B,$A10,Quota_Groups!$D:$D,IFERROR(VLOOKUP(Request!$B$10,SKU_Family_Map!$A:$B,2,FALSE),"")),1),0)),IF(OR(Request!$B$11="",Request!$C$11=""),1,IFERROR(SUMIFS(Quota_Groups!$G:$G,Quota_Groups!$B:$B,$A10,Quota_Groups!$D:$D,IFERROR(VLOOKUP(Request!$B$11,SKU_Family_Map!$A:$B,2,FALSE),""))/MAX(SUMIFS(Quota_Groups!$E:$E,Quota_Groups!$B:$B,$A10,Quota_Groups!$D:$D,IFERROR(VLOOKUP(Request!$B$11,SKU_Family_Map!$A:$B,2,FALSE),"")),1),0)),IF(OR(Request!$B$12="",Request!$C$12=""),1,IFERROR(SUMIFS(Quota_Groups!$G:$G,Quota_Groups!$B:$B,$A10,Quota_Groups!$D:$D,IFERROR(VLOOKUP(Request!$B$12,SKU_Family_Map!$A:$B,2,FALSE),""))/MAX(SUMIFS(Quota_Groups!$E:$E,Quota_Groups!$B:$B,$A10,Quota_Groups!$D:$D,IFERROR(VLOOKUP(Request!$B$12,SKU_Family_Map!$A:$B,2,FALSE),"")),1),0)),IF(OR(Request!$B$13="",Request!$C$13=""),1,IFERROR(SUMIFS(Quota_Groups!$G:$G,Quota_Groups!$B:$B,$A10,Quota_Groups!$D:$D,IFERROR(VLOOKUP(Request!$B$13,SKU_Family_Map!$A:$B,2,FALSE),""))/MAX(SUMIFS(Quota_Groups!$E:$E,Quota_Groups!$B:$B,$A10,Quota_Groups!$D:$D,IFERROR(VLOOKUP(Request!$B$13,SKU_Family_Map!$A:$B,2,FALSE),"")),1),0)),IF(OR(Request!$B$14="",Request!$C$14=""),1,IFERROR(SUMIFS(Quota_Groups!$G:$G,Quota_Groups!$B:$B,$A10,Quota_Groups!$D:$D,IFERROR(VLOOKUP(Request!$B$14,SKU_Family_Map!$A:$B,2,FALSE),""))/MAX(SUMIFS(Quota_Groups!$E:$E,Quota_Groups!$B:$B,$A10,Quota_Groups!$D:$D,IFERROR(VLOOKUP(Request!$B$14,SKU_Family_Map!$A:$B,2,FALSE),"")),1),0)),IF(OR(Request!$B$15="",Request!$C$15=""),1,IFERROR(SUMIFS(Quota_Groups!$G:$G,Quota_Groups!$B:$B,$A10,Quota_Groups!$D:$D,IFERROR(VLOOKUP(Request!$B$15,SKU_Family_Map!$A:$B,2,FALSE),""))/MAX(SUMIFS(Quota_Groups!$E:$E,Quota_Groups!$B:$B,$A10,Quota_Groups!$D:$D,IFERROR(VLOOKUP(Request!$B$15,SKU_Family_Map!$A:$B,2,FALSE),"")),1),0))),"CAPACITY","QUOTA"))</f>
        <v/>
      </c>
    </row>
    <row r="11">
      <c r="A11" s="12" t="inlineStr">
        <is>
          <t>West Europe</t>
        </is>
      </c>
      <c r="B11" s="16" t="inlineStr">
        <is>
          <t>EU</t>
        </is>
      </c>
      <c r="C11" s="16" t="inlineStr">
        <is>
          <t>Prod</t>
        </is>
      </c>
      <c r="D11" s="16">
        <f>Request!$B$17</f>
        <v/>
      </c>
      <c r="E11" s="16">
        <f>Request!$B$18</f>
        <v/>
      </c>
      <c r="F11" s="16">
        <f>IF(B11=Request!$B$4,1,0)</f>
        <v/>
      </c>
      <c r="G11" s="18">
        <f>IF(Request!$B$17=0,0,MIN(IF(OR(Request!$B$8="",Request!$C$8=""),1,IF(MIN(SUMIFS(Capacity_By_SKU!$K:$K,Capacity_By_SKU!$A:$A,$A11,Capacity_By_SKU!$C:$C,"Prod",Capacity_By_SKU!$D:$D,Request!$B$8),SUMIFS(Quota_Groups!$G:$G,Quota_Groups!$B:$B,$A11,Quota_Groups!$D:$D,IFERROR(VLOOKUP(Request!$B$8,SKU_Family_Map!$A:$B,2,FALSE),"")))&gt;=Request!$E$8,1,0)),IF(OR(Request!$B$9="",Request!$C$9=""),1,IF(MIN(SUMIFS(Capacity_By_SKU!$K:$K,Capacity_By_SKU!$A:$A,$A11,Capacity_By_SKU!$C:$C,"Prod",Capacity_By_SKU!$D:$D,Request!$B$9),SUMIFS(Quota_Groups!$G:$G,Quota_Groups!$B:$B,$A11,Quota_Groups!$D:$D,IFERROR(VLOOKUP(Request!$B$9,SKU_Family_Map!$A:$B,2,FALSE),"")))&gt;=Request!$E$9,1,0)),IF(OR(Request!$B$10="",Request!$C$10=""),1,IF(MIN(SUMIFS(Capacity_By_SKU!$K:$K,Capacity_By_SKU!$A:$A,$A11,Capacity_By_SKU!$C:$C,"Prod",Capacity_By_SKU!$D:$D,Request!$B$10),SUMIFS(Quota_Groups!$G:$G,Quota_Groups!$B:$B,$A11,Quota_Groups!$D:$D,IFERROR(VLOOKUP(Request!$B$10,SKU_Family_Map!$A:$B,2,FALSE),"")))&gt;=Request!$E$10,1,0)),IF(OR(Request!$B$11="",Request!$C$11=""),1,IF(MIN(SUMIFS(Capacity_By_SKU!$K:$K,Capacity_By_SKU!$A:$A,$A11,Capacity_By_SKU!$C:$C,"Prod",Capacity_By_SKU!$D:$D,Request!$B$11),SUMIFS(Quota_Groups!$G:$G,Quota_Groups!$B:$B,$A11,Quota_Groups!$D:$D,IFERROR(VLOOKUP(Request!$B$11,SKU_Family_Map!$A:$B,2,FALSE),"")))&gt;=Request!$E$11,1,0)),IF(OR(Request!$B$12="",Request!$C$12=""),1,IF(MIN(SUMIFS(Capacity_By_SKU!$K:$K,Capacity_By_SKU!$A:$A,$A11,Capacity_By_SKU!$C:$C,"Prod",Capacity_By_SKU!$D:$D,Request!$B$12),SUMIFS(Quota_Groups!$G:$G,Quota_Groups!$B:$B,$A11,Quota_Groups!$D:$D,IFERROR(VLOOKUP(Request!$B$12,SKU_Family_Map!$A:$B,2,FALSE),"")))&gt;=Request!$E$12,1,0)),IF(OR(Request!$B$13="",Request!$C$13=""),1,IF(MIN(SUMIFS(Capacity_By_SKU!$K:$K,Capacity_By_SKU!$A:$A,$A11,Capacity_By_SKU!$C:$C,"Prod",Capacity_By_SKU!$D:$D,Request!$B$13),SUMIFS(Quota_Groups!$G:$G,Quota_Groups!$B:$B,$A11,Quota_Groups!$D:$D,IFERROR(VLOOKUP(Request!$B$13,SKU_Family_Map!$A:$B,2,FALSE),"")))&gt;=Request!$E$13,1,0)),IF(OR(Request!$B$14="",Request!$C$14=""),1,IF(MIN(SUMIFS(Capacity_By_SKU!$K:$K,Capacity_By_SKU!$A:$A,$A11,Capacity_By_SKU!$C:$C,"Prod",Capacity_By_SKU!$D:$D,Request!$B$14),SUMIFS(Quota_Groups!$G:$G,Quota_Groups!$B:$B,$A11,Quota_Groups!$D:$D,IFERROR(VLOOKUP(Request!$B$14,SKU_Family_Map!$A:$B,2,FALSE),"")))&gt;=Request!$E$14,1,0)),IF(OR(Request!$B$15="",Request!$C$15=""),1,IF(MIN(SUMIFS(Capacity_By_SKU!$K:$K,Capacity_By_SKU!$A:$A,$A11,Capacity_By_SKU!$C:$C,"Prod",Capacity_By_SKU!$D:$D,Request!$B$15),SUMIFS(Quota_Groups!$G:$G,Quota_Groups!$B:$B,$A11,Quota_Groups!$D:$D,IFERROR(VLOOKUP(Request!$B$15,SKU_Family_Map!$A:$B,2,FALSE),"")))&gt;=Request!$E$15,1,0))))</f>
        <v/>
      </c>
      <c r="H11" s="12">
        <f>IF(Request!$B$17=0,"NO_REQUEST",IF(SUM(IF(AND(Request!$B$8&lt;&gt;"",Request!$C$8&lt;&gt;"",SUMIFS(Capacity_By_SKU!$K:$K,Capacity_By_SKU!$A:$A,$A11,Capacity_By_SKU!$C:$C,"Prod",Capacity_By_SKU!$D:$D,Request!$B$8)&lt;=0),1,0),IF(AND(Request!$B$9&lt;&gt;"",Request!$C$9&lt;&gt;"",SUMIFS(Capacity_By_SKU!$K:$K,Capacity_By_SKU!$A:$A,$A11,Capacity_By_SKU!$C:$C,"Prod",Capacity_By_SKU!$D:$D,Request!$B$9)&lt;=0),1,0),IF(AND(Request!$B$10&lt;&gt;"",Request!$C$10&lt;&gt;"",SUMIFS(Capacity_By_SKU!$K:$K,Capacity_By_SKU!$A:$A,$A11,Capacity_By_SKU!$C:$C,"Prod",Capacity_By_SKU!$D:$D,Request!$B$10)&lt;=0),1,0),IF(AND(Request!$B$11&lt;&gt;"",Request!$C$11&lt;&gt;"",SUMIFS(Capacity_By_SKU!$K:$K,Capacity_By_SKU!$A:$A,$A11,Capacity_By_SKU!$C:$C,"Prod",Capacity_By_SKU!$D:$D,Request!$B$11)&lt;=0),1,0),IF(AND(Request!$B$12&lt;&gt;"",Request!$C$12&lt;&gt;"",SUMIFS(Capacity_By_SKU!$K:$K,Capacity_By_SKU!$A:$A,$A11,Capacity_By_SKU!$C:$C,"Prod",Capacity_By_SKU!$D:$D,Request!$B$12)&lt;=0),1,0),IF(AND(Request!$B$13&lt;&gt;"",Request!$C$13&lt;&gt;"",SUMIFS(Capacity_By_SKU!$K:$K,Capacity_By_SKU!$A:$A,$A11,Capacity_By_SKU!$C:$C,"Prod",Capacity_By_SKU!$D:$D,Request!$B$13)&lt;=0),1,0),IF(AND(Request!$B$14&lt;&gt;"",Request!$C$14&lt;&gt;"",SUMIFS(Capacity_By_SKU!$K:$K,Capacity_By_SKU!$A:$A,$A11,Capacity_By_SKU!$C:$C,"Prod",Capacity_By_SKU!$D:$D,Request!$B$14)&lt;=0),1,0),IF(AND(Request!$B$15&lt;&gt;"",Request!$C$15&lt;&gt;"",SUMIFS(Capacity_By_SKU!$K:$K,Capacity_By_SKU!$A:$A,$A11,Capacity_By_SKU!$C:$C,"Prod",Capacity_By_SKU!$D:$D,Request!$B$15)&lt;=0),1,0))&gt;0,"RESERVATION_DEFICIT",IF(SUM(IF(AND(Request!$B$8&lt;&gt;"",Request!$C$8&lt;&gt;"",SUMIFS(Quota_Groups!$G:$G,Quota_Groups!$B:$B,$A11,Quota_Groups!$D:$D,IFERROR(VLOOKUP(Request!$B$8,SKU_Family_Map!$A:$B,2,FALSE),""))&lt;=0),1,0),IF(AND(Request!$B$9&lt;&gt;"",Request!$C$9&lt;&gt;"",SUMIFS(Quota_Groups!$G:$G,Quota_Groups!$B:$B,$A11,Quota_Groups!$D:$D,IFERROR(VLOOKUP(Request!$B$9,SKU_Family_Map!$A:$B,2,FALSE),""))&lt;=0),1,0),IF(AND(Request!$B$10&lt;&gt;"",Request!$C$10&lt;&gt;"",SUMIFS(Quota_Groups!$G:$G,Quota_Groups!$B:$B,$A11,Quota_Groups!$D:$D,IFERROR(VLOOKUP(Request!$B$10,SKU_Family_Map!$A:$B,2,FALSE),""))&lt;=0),1,0),IF(AND(Request!$B$11&lt;&gt;"",Request!$C$11&lt;&gt;"",SUMIFS(Quota_Groups!$G:$G,Quota_Groups!$B:$B,$A11,Quota_Groups!$D:$D,IFERROR(VLOOKUP(Request!$B$11,SKU_Family_Map!$A:$B,2,FALSE),""))&lt;=0),1,0),IF(AND(Request!$B$12&lt;&gt;"",Request!$C$12&lt;&gt;"",SUMIFS(Quota_Groups!$G:$G,Quota_Groups!$B:$B,$A11,Quota_Groups!$D:$D,IFERROR(VLOOKUP(Request!$B$12,SKU_Family_Map!$A:$B,2,FALSE),""))&lt;=0),1,0),IF(AND(Request!$B$13&lt;&gt;"",Request!$C$13&lt;&gt;"",SUMIFS(Quota_Groups!$G:$G,Quota_Groups!$B:$B,$A11,Quota_Groups!$D:$D,IFERROR(VLOOKUP(Request!$B$13,SKU_Family_Map!$A:$B,2,FALSE),""))&lt;=0),1,0),IF(AND(Request!$B$14&lt;&gt;"",Request!$C$14&lt;&gt;"",SUMIFS(Quota_Groups!$G:$G,Quota_Groups!$B:$B,$A11,Quota_Groups!$D:$D,IFERROR(VLOOKUP(Request!$B$14,SKU_Family_Map!$A:$B,2,FALSE),""))&lt;=0),1,0),IF(AND(Request!$B$15&lt;&gt;"",Request!$C$15&lt;&gt;"",SUMIFS(Quota_Groups!$G:$G,Quota_Groups!$B:$B,$A11,Quota_Groups!$D:$D,IFERROR(VLOOKUP(Request!$B$15,SKU_Family_Map!$A:$B,2,FALSE),""))&lt;=0),1,0))&gt;0,"QUOTA_DEFICIT",IF(G11=0,"CAPACITY_DEFICIT",IF(MIN(IF(OR(Request!$B$8="",Request!$C$8=""),1,IFERROR(1-Request!$E$8/MIN(SUMIFS(Capacity_By_SKU!$K:$K,Capacity_By_SKU!$A:$A,$A11,Capacity_By_SKU!$C:$C,"Prod",Capacity_By_SKU!$D:$D,Request!$B$8),SUMIFS(Quota_Groups!$G:$G,Quota_Groups!$B:$B,$A11,Quota_Groups!$D:$D,IFERROR(VLOOKUP(Request!$B$8,SKU_Family_Map!$A:$B,2,FALSE),""))),0)),IF(OR(Request!$B$9="",Request!$C$9=""),1,IFERROR(1-Request!$E$9/MIN(SUMIFS(Capacity_By_SKU!$K:$K,Capacity_By_SKU!$A:$A,$A11,Capacity_By_SKU!$C:$C,"Prod",Capacity_By_SKU!$D:$D,Request!$B$9),SUMIFS(Quota_Groups!$G:$G,Quota_Groups!$B:$B,$A11,Quota_Groups!$D:$D,IFERROR(VLOOKUP(Request!$B$9,SKU_Family_Map!$A:$B,2,FALSE),""))),0)),IF(OR(Request!$B$10="",Request!$C$10=""),1,IFERROR(1-Request!$E$10/MIN(SUMIFS(Capacity_By_SKU!$K:$K,Capacity_By_SKU!$A:$A,$A11,Capacity_By_SKU!$C:$C,"Prod",Capacity_By_SKU!$D:$D,Request!$B$10),SUMIFS(Quota_Groups!$G:$G,Quota_Groups!$B:$B,$A11,Quota_Groups!$D:$D,IFERROR(VLOOKUP(Request!$B$10,SKU_Family_Map!$A:$B,2,FALSE),""))),0)),IF(OR(Request!$B$11="",Request!$C$11=""),1,IFERROR(1-Request!$E$11/MIN(SUMIFS(Capacity_By_SKU!$K:$K,Capacity_By_SKU!$A:$A,$A11,Capacity_By_SKU!$C:$C,"Prod",Capacity_By_SKU!$D:$D,Request!$B$11),SUMIFS(Quota_Groups!$G:$G,Quota_Groups!$B:$B,$A11,Quota_Groups!$D:$D,IFERROR(VLOOKUP(Request!$B$11,SKU_Family_Map!$A:$B,2,FALSE),""))),0)),IF(OR(Request!$B$12="",Request!$C$12=""),1,IFERROR(1-Request!$E$12/MIN(SUMIFS(Capacity_By_SKU!$K:$K,Capacity_By_SKU!$A:$A,$A11,Capacity_By_SKU!$C:$C,"Prod",Capacity_By_SKU!$D:$D,Request!$B$12),SUMIFS(Quota_Groups!$G:$G,Quota_Groups!$B:$B,$A11,Quota_Groups!$D:$D,IFERROR(VLOOKUP(Request!$B$12,SKU_Family_Map!$A:$B,2,FALSE),""))),0)),IF(OR(Request!$B$13="",Request!$C$13=""),1,IFERROR(1-Request!$E$13/MIN(SUMIFS(Capacity_By_SKU!$K:$K,Capacity_By_SKU!$A:$A,$A11,Capacity_By_SKU!$C:$C,"Prod",Capacity_By_SKU!$D:$D,Request!$B$13),SUMIFS(Quota_Groups!$G:$G,Quota_Groups!$B:$B,$A11,Quota_Groups!$D:$D,IFERROR(VLOOKUP(Request!$B$13,SKU_Family_Map!$A:$B,2,FALSE),""))),0)),IF(OR(Request!$B$14="",Request!$C$14=""),1,IFERROR(1-Request!$E$14/MIN(SUMIFS(Capacity_By_SKU!$K:$K,Capacity_By_SKU!$A:$A,$A11,Capacity_By_SKU!$C:$C,"Prod",Capacity_By_SKU!$D:$D,Request!$B$14),SUMIFS(Quota_Groups!$G:$G,Quota_Groups!$B:$B,$A11,Quota_Groups!$D:$D,IFERROR(VLOOKUP(Request!$B$14,SKU_Family_Map!$A:$B,2,FALSE),""))),0)),IF(OR(Request!$B$15="",Request!$C$15=""),1,IFERROR(1-Request!$E$15/MIN(SUMIFS(Capacity_By_SKU!$K:$K,Capacity_By_SKU!$A:$A,$A11,Capacity_By_SKU!$C:$C,"Prod",Capacity_By_SKU!$D:$D,Request!$B$15),SUMIFS(Quota_Groups!$G:$G,Quota_Groups!$B:$B,$A11,Quota_Groups!$D:$D,IFERROR(VLOOKUP(Request!$B$15,SKU_Family_Map!$A:$B,2,FALSE),""))),0)))&lt;Policy!$B$10,"READY_WITH_RISK","READY")))))</f>
        <v/>
      </c>
      <c r="I11" s="16">
        <f>IF(AND(F11=1,G11=1,OR(H11="READY",H11="READY_WITH_RISK")),1,0)</f>
        <v/>
      </c>
      <c r="J11" s="16">
        <f>IF(I11=1,MAX(0,MIN(IF(OR(Request!$B$8="",Request!$C$8=""),1,IFERROR(1-Request!$E$8/MIN(SUMIFS(Capacity_By_SKU!$K:$K,Capacity_By_SKU!$A:$A,$A11,Capacity_By_SKU!$C:$C,"Prod",Capacity_By_SKU!$D:$D,Request!$B$8),SUMIFS(Quota_Groups!$G:$G,Quota_Groups!$B:$B,$A11,Quota_Groups!$D:$D,IFERROR(VLOOKUP(Request!$B$8,SKU_Family_Map!$A:$B,2,FALSE),""))),0)),IF(OR(Request!$B$9="",Request!$C$9=""),1,IFERROR(1-Request!$E$9/MIN(SUMIFS(Capacity_By_SKU!$K:$K,Capacity_By_SKU!$A:$A,$A11,Capacity_By_SKU!$C:$C,"Prod",Capacity_By_SKU!$D:$D,Request!$B$9),SUMIFS(Quota_Groups!$G:$G,Quota_Groups!$B:$B,$A11,Quota_Groups!$D:$D,IFERROR(VLOOKUP(Request!$B$9,SKU_Family_Map!$A:$B,2,FALSE),""))),0)),IF(OR(Request!$B$10="",Request!$C$10=""),1,IFERROR(1-Request!$E$10/MIN(SUMIFS(Capacity_By_SKU!$K:$K,Capacity_By_SKU!$A:$A,$A11,Capacity_By_SKU!$C:$C,"Prod",Capacity_By_SKU!$D:$D,Request!$B$10),SUMIFS(Quota_Groups!$G:$G,Quota_Groups!$B:$B,$A11,Quota_Groups!$D:$D,IFERROR(VLOOKUP(Request!$B$10,SKU_Family_Map!$A:$B,2,FALSE),""))),0)),IF(OR(Request!$B$11="",Request!$C$11=""),1,IFERROR(1-Request!$E$11/MIN(SUMIFS(Capacity_By_SKU!$K:$K,Capacity_By_SKU!$A:$A,$A11,Capacity_By_SKU!$C:$C,"Prod",Capacity_By_SKU!$D:$D,Request!$B$11),SUMIFS(Quota_Groups!$G:$G,Quota_Groups!$B:$B,$A11,Quota_Groups!$D:$D,IFERROR(VLOOKUP(Request!$B$11,SKU_Family_Map!$A:$B,2,FALSE),""))),0)),IF(OR(Request!$B$12="",Request!$C$12=""),1,IFERROR(1-Request!$E$12/MIN(SUMIFS(Capacity_By_SKU!$K:$K,Capacity_By_SKU!$A:$A,$A11,Capacity_By_SKU!$C:$C,"Prod",Capacity_By_SKU!$D:$D,Request!$B$12),SUMIFS(Quota_Groups!$G:$G,Quota_Groups!$B:$B,$A11,Quota_Groups!$D:$D,IFERROR(VLOOKUP(Request!$B$12,SKU_Family_Map!$A:$B,2,FALSE),""))),0)),IF(OR(Request!$B$13="",Request!$C$13=""),1,IFERROR(1-Request!$E$13/MIN(SUMIFS(Capacity_By_SKU!$K:$K,Capacity_By_SKU!$A:$A,$A11,Capacity_By_SKU!$C:$C,"Prod",Capacity_By_SKU!$D:$D,Request!$B$13),SUMIFS(Quota_Groups!$G:$G,Quota_Groups!$B:$B,$A11,Quota_Groups!$D:$D,IFERROR(VLOOKUP(Request!$B$13,SKU_Family_Map!$A:$B,2,FALSE),""))),0)),IF(OR(Request!$B$14="",Request!$C$14=""),1,IFERROR(1-Request!$E$14/MIN(SUMIFS(Capacity_By_SKU!$K:$K,Capacity_By_SKU!$A:$A,$A11,Capacity_By_SKU!$C:$C,"Prod",Capacity_By_SKU!$D:$D,Request!$B$14),SUMIFS(Quota_Groups!$G:$G,Quota_Groups!$B:$B,$A11,Quota_Groups!$D:$D,IFERROR(VLOOKUP(Request!$B$14,SKU_Family_Map!$A:$B,2,FALSE),""))),0)),IF(OR(Request!$B$15="",Request!$C$15=""),1,IFERROR(1-Request!$E$15/MIN(SUMIFS(Capacity_By_SKU!$K:$K,Capacity_By_SKU!$A:$A,$A11,Capacity_By_SKU!$C:$C,"Prod",Capacity_By_SKU!$D:$D,Request!$B$15),SUMIFS(Quota_Groups!$G:$G,Quota_Groups!$B:$B,$A11,Quota_Groups!$D:$D,IFERROR(VLOOKUP(Request!$B$15,SKU_Family_Map!$A:$B,2,FALSE),""))),0)))),0)</f>
        <v/>
      </c>
      <c r="K11" s="16">
        <f>IF(I11=1,MAX(0,MIN(IF(OR(Request!$B$8="",Request!$C$8=""),1,IFERROR(SUMIFS(Quota_Groups!$G:$G,Quota_Groups!$B:$B,$A11,Quota_Groups!$D:$D,IFERROR(VLOOKUP(Request!$B$8,SKU_Family_Map!$A:$B,2,FALSE),""))/MAX(SUMIFS(Quota_Groups!$E:$E,Quota_Groups!$B:$B,$A11,Quota_Groups!$D:$D,IFERROR(VLOOKUP(Request!$B$8,SKU_Family_Map!$A:$B,2,FALSE),"")),1),0)),IF(OR(Request!$B$9="",Request!$C$9=""),1,IFERROR(SUMIFS(Quota_Groups!$G:$G,Quota_Groups!$B:$B,$A11,Quota_Groups!$D:$D,IFERROR(VLOOKUP(Request!$B$9,SKU_Family_Map!$A:$B,2,FALSE),""))/MAX(SUMIFS(Quota_Groups!$E:$E,Quota_Groups!$B:$B,$A11,Quota_Groups!$D:$D,IFERROR(VLOOKUP(Request!$B$9,SKU_Family_Map!$A:$B,2,FALSE),"")),1),0)),IF(OR(Request!$B$10="",Request!$C$10=""),1,IFERROR(SUMIFS(Quota_Groups!$G:$G,Quota_Groups!$B:$B,$A11,Quota_Groups!$D:$D,IFERROR(VLOOKUP(Request!$B$10,SKU_Family_Map!$A:$B,2,FALSE),""))/MAX(SUMIFS(Quota_Groups!$E:$E,Quota_Groups!$B:$B,$A11,Quota_Groups!$D:$D,IFERROR(VLOOKUP(Request!$B$10,SKU_Family_Map!$A:$B,2,FALSE),"")),1),0)),IF(OR(Request!$B$11="",Request!$C$11=""),1,IFERROR(SUMIFS(Quota_Groups!$G:$G,Quota_Groups!$B:$B,$A11,Quota_Groups!$D:$D,IFERROR(VLOOKUP(Request!$B$11,SKU_Family_Map!$A:$B,2,FALSE),""))/MAX(SUMIFS(Quota_Groups!$E:$E,Quota_Groups!$B:$B,$A11,Quota_Groups!$D:$D,IFERROR(VLOOKUP(Request!$B$11,SKU_Family_Map!$A:$B,2,FALSE),"")),1),0)),IF(OR(Request!$B$12="",Request!$C$12=""),1,IFERROR(SUMIFS(Quota_Groups!$G:$G,Quota_Groups!$B:$B,$A11,Quota_Groups!$D:$D,IFERROR(VLOOKUP(Request!$B$12,SKU_Family_Map!$A:$B,2,FALSE),""))/MAX(SUMIFS(Quota_Groups!$E:$E,Quota_Groups!$B:$B,$A11,Quota_Groups!$D:$D,IFERROR(VLOOKUP(Request!$B$12,SKU_Family_Map!$A:$B,2,FALSE),"")),1),0)),IF(OR(Request!$B$13="",Request!$C$13=""),1,IFERROR(SUMIFS(Quota_Groups!$G:$G,Quota_Groups!$B:$B,$A11,Quota_Groups!$D:$D,IFERROR(VLOOKUP(Request!$B$13,SKU_Family_Map!$A:$B,2,FALSE),""))/MAX(SUMIFS(Quota_Groups!$E:$E,Quota_Groups!$B:$B,$A11,Quota_Groups!$D:$D,IFERROR(VLOOKUP(Request!$B$13,SKU_Family_Map!$A:$B,2,FALSE),"")),1),0)),IF(OR(Request!$B$14="",Request!$C$14=""),1,IFERROR(SUMIFS(Quota_Groups!$G:$G,Quota_Groups!$B:$B,$A11,Quota_Groups!$D:$D,IFERROR(VLOOKUP(Request!$B$14,SKU_Family_Map!$A:$B,2,FALSE),""))/MAX(SUMIFS(Quota_Groups!$E:$E,Quota_Groups!$B:$B,$A11,Quota_Groups!$D:$D,IFERROR(VLOOKUP(Request!$B$14,SKU_Family_Map!$A:$B,2,FALSE),"")),1),0)),IF(OR(Request!$B$15="",Request!$C$15=""),1,IFERROR(SUMIFS(Quota_Groups!$G:$G,Quota_Groups!$B:$B,$A11,Quota_Groups!$D:$D,IFERROR(VLOOKUP(Request!$B$15,SKU_Family_Map!$A:$B,2,FALSE),""))/MAX(SUMIFS(Quota_Groups!$E:$E,Quota_Groups!$B:$B,$A11,Quota_Groups!$D:$D,IFERROR(VLOOKUP(Request!$B$15,SKU_Family_Map!$A:$B,2,FALSE),"")),1),0)))),0)</f>
        <v/>
      </c>
      <c r="L11" s="16">
        <f>IF(I11=1,MAX(0,MIN(IF(OR(Request!$B$8="",Request!$C$8=""),1,IFERROR(SUMIFS(Capacity_By_SKU!$K:$K,Capacity_By_SKU!$A:$A,$A11,Capacity_By_SKU!$C:$C,"Prod",Capacity_By_SKU!$D:$D,Request!$B$8)/MAX(SUMIFS(Capacity_By_SKU!$J:$J,Capacity_By_SKU!$A:$A,$A11,Capacity_By_SKU!$C:$C,"Prod",Capacity_By_SKU!$D:$D,Request!$B$8),1),0)),IF(OR(Request!$B$9="",Request!$C$9=""),1,IFERROR(SUMIFS(Capacity_By_SKU!$K:$K,Capacity_By_SKU!$A:$A,$A11,Capacity_By_SKU!$C:$C,"Prod",Capacity_By_SKU!$D:$D,Request!$B$9)/MAX(SUMIFS(Capacity_By_SKU!$J:$J,Capacity_By_SKU!$A:$A,$A11,Capacity_By_SKU!$C:$C,"Prod",Capacity_By_SKU!$D:$D,Request!$B$9),1),0)),IF(OR(Request!$B$10="",Request!$C$10=""),1,IFERROR(SUMIFS(Capacity_By_SKU!$K:$K,Capacity_By_SKU!$A:$A,$A11,Capacity_By_SKU!$C:$C,"Prod",Capacity_By_SKU!$D:$D,Request!$B$10)/MAX(SUMIFS(Capacity_By_SKU!$J:$J,Capacity_By_SKU!$A:$A,$A11,Capacity_By_SKU!$C:$C,"Prod",Capacity_By_SKU!$D:$D,Request!$B$10),1),0)),IF(OR(Request!$B$11="",Request!$C$11=""),1,IFERROR(SUMIFS(Capacity_By_SKU!$K:$K,Capacity_By_SKU!$A:$A,$A11,Capacity_By_SKU!$C:$C,"Prod",Capacity_By_SKU!$D:$D,Request!$B$11)/MAX(SUMIFS(Capacity_By_SKU!$J:$J,Capacity_By_SKU!$A:$A,$A11,Capacity_By_SKU!$C:$C,"Prod",Capacity_By_SKU!$D:$D,Request!$B$11),1),0)),IF(OR(Request!$B$12="",Request!$C$12=""),1,IFERROR(SUMIFS(Capacity_By_SKU!$K:$K,Capacity_By_SKU!$A:$A,$A11,Capacity_By_SKU!$C:$C,"Prod",Capacity_By_SKU!$D:$D,Request!$B$12)/MAX(SUMIFS(Capacity_By_SKU!$J:$J,Capacity_By_SKU!$A:$A,$A11,Capacity_By_SKU!$C:$C,"Prod",Capacity_By_SKU!$D:$D,Request!$B$12),1),0)),IF(OR(Request!$B$13="",Request!$C$13=""),1,IFERROR(SUMIFS(Capacity_By_SKU!$K:$K,Capacity_By_SKU!$A:$A,$A11,Capacity_By_SKU!$C:$C,"Prod",Capacity_By_SKU!$D:$D,Request!$B$13)/MAX(SUMIFS(Capacity_By_SKU!$J:$J,Capacity_By_SKU!$A:$A,$A11,Capacity_By_SKU!$C:$C,"Prod",Capacity_By_SKU!$D:$D,Request!$B$13),1),0)),IF(OR(Request!$B$14="",Request!$C$14=""),1,IFERROR(SUMIFS(Capacity_By_SKU!$K:$K,Capacity_By_SKU!$A:$A,$A11,Capacity_By_SKU!$C:$C,"Prod",Capacity_By_SKU!$D:$D,Request!$B$14)/MAX(SUMIFS(Capacity_By_SKU!$J:$J,Capacity_By_SKU!$A:$A,$A11,Capacity_By_SKU!$C:$C,"Prod",Capacity_By_SKU!$D:$D,Request!$B$14),1),0)),IF(OR(Request!$B$15="",Request!$C$15=""),1,IFERROR(SUMIFS(Capacity_By_SKU!$K:$K,Capacity_By_SKU!$A:$A,$A11,Capacity_By_SKU!$C:$C,"Prod",Capacity_By_SKU!$D:$D,Request!$B$15)/MAX(SUMIFS(Capacity_By_SKU!$J:$J,Capacity_By_SKU!$A:$A,$A11,Capacity_By_SKU!$C:$C,"Prod",Capacity_By_SKU!$D:$D,Request!$B$15),1),0)))),0)</f>
        <v/>
      </c>
      <c r="M11" s="22">
        <f>IF(I11=1,ROUND(Policy!$B$4*J11+Policy!$B$5*K11+Policy!$B$6*L11,4),"")</f>
        <v/>
      </c>
      <c r="N11" s="16">
        <f>IF(I11=1,SUMPRODUCT(($I$4:$I$11=1)*($M$4:$M$11&gt;M11))+1,"")</f>
        <v/>
      </c>
      <c r="O11" s="16">
        <f>IF(I11=0,"N/A",IF(MIN(IF(OR(Request!$B$8="",Request!$C$8=""),1,IFERROR(SUMIFS(Capacity_By_SKU!$K:$K,Capacity_By_SKU!$A:$A,$A11,Capacity_By_SKU!$C:$C,"Prod",Capacity_By_SKU!$D:$D,Request!$B$8)/MAX(SUMIFS(Capacity_By_SKU!$J:$J,Capacity_By_SKU!$A:$A,$A11,Capacity_By_SKU!$C:$C,"Prod",Capacity_By_SKU!$D:$D,Request!$B$8),1),0)),IF(OR(Request!$B$9="",Request!$C$9=""),1,IFERROR(SUMIFS(Capacity_By_SKU!$K:$K,Capacity_By_SKU!$A:$A,$A11,Capacity_By_SKU!$C:$C,"Prod",Capacity_By_SKU!$D:$D,Request!$B$9)/MAX(SUMIFS(Capacity_By_SKU!$J:$J,Capacity_By_SKU!$A:$A,$A11,Capacity_By_SKU!$C:$C,"Prod",Capacity_By_SKU!$D:$D,Request!$B$9),1),0)),IF(OR(Request!$B$10="",Request!$C$10=""),1,IFERROR(SUMIFS(Capacity_By_SKU!$K:$K,Capacity_By_SKU!$A:$A,$A11,Capacity_By_SKU!$C:$C,"Prod",Capacity_By_SKU!$D:$D,Request!$B$10)/MAX(SUMIFS(Capacity_By_SKU!$J:$J,Capacity_By_SKU!$A:$A,$A11,Capacity_By_SKU!$C:$C,"Prod",Capacity_By_SKU!$D:$D,Request!$B$10),1),0)),IF(OR(Request!$B$11="",Request!$C$11=""),1,IFERROR(SUMIFS(Capacity_By_SKU!$K:$K,Capacity_By_SKU!$A:$A,$A11,Capacity_By_SKU!$C:$C,"Prod",Capacity_By_SKU!$D:$D,Request!$B$11)/MAX(SUMIFS(Capacity_By_SKU!$J:$J,Capacity_By_SKU!$A:$A,$A11,Capacity_By_SKU!$C:$C,"Prod",Capacity_By_SKU!$D:$D,Request!$B$11),1),0)),IF(OR(Request!$B$12="",Request!$C$12=""),1,IFERROR(SUMIFS(Capacity_By_SKU!$K:$K,Capacity_By_SKU!$A:$A,$A11,Capacity_By_SKU!$C:$C,"Prod",Capacity_By_SKU!$D:$D,Request!$B$12)/MAX(SUMIFS(Capacity_By_SKU!$J:$J,Capacity_By_SKU!$A:$A,$A11,Capacity_By_SKU!$C:$C,"Prod",Capacity_By_SKU!$D:$D,Request!$B$12),1),0)),IF(OR(Request!$B$13="",Request!$C$13=""),1,IFERROR(SUMIFS(Capacity_By_SKU!$K:$K,Capacity_By_SKU!$A:$A,$A11,Capacity_By_SKU!$C:$C,"Prod",Capacity_By_SKU!$D:$D,Request!$B$13)/MAX(SUMIFS(Capacity_By_SKU!$J:$J,Capacity_By_SKU!$A:$A,$A11,Capacity_By_SKU!$C:$C,"Prod",Capacity_By_SKU!$D:$D,Request!$B$13),1),0)),IF(OR(Request!$B$14="",Request!$C$14=""),1,IFERROR(SUMIFS(Capacity_By_SKU!$K:$K,Capacity_By_SKU!$A:$A,$A11,Capacity_By_SKU!$C:$C,"Prod",Capacity_By_SKU!$D:$D,Request!$B$14)/MAX(SUMIFS(Capacity_By_SKU!$J:$J,Capacity_By_SKU!$A:$A,$A11,Capacity_By_SKU!$C:$C,"Prod",Capacity_By_SKU!$D:$D,Request!$B$14),1),0)),IF(OR(Request!$B$15="",Request!$C$15=""),1,IFERROR(SUMIFS(Capacity_By_SKU!$K:$K,Capacity_By_SKU!$A:$A,$A11,Capacity_By_SKU!$C:$C,"Prod",Capacity_By_SKU!$D:$D,Request!$B$15)/MAX(SUMIFS(Capacity_By_SKU!$J:$J,Capacity_By_SKU!$A:$A,$A11,Capacity_By_SKU!$C:$C,"Prod",Capacity_By_SKU!$D:$D,Request!$B$15),1),0)))&lt;=MIN(IF(OR(Request!$B$8="",Request!$C$8=""),1,IFERROR(SUMIFS(Quota_Groups!$G:$G,Quota_Groups!$B:$B,$A11,Quota_Groups!$D:$D,IFERROR(VLOOKUP(Request!$B$8,SKU_Family_Map!$A:$B,2,FALSE),""))/MAX(SUMIFS(Quota_Groups!$E:$E,Quota_Groups!$B:$B,$A11,Quota_Groups!$D:$D,IFERROR(VLOOKUP(Request!$B$8,SKU_Family_Map!$A:$B,2,FALSE),"")),1),0)),IF(OR(Request!$B$9="",Request!$C$9=""),1,IFERROR(SUMIFS(Quota_Groups!$G:$G,Quota_Groups!$B:$B,$A11,Quota_Groups!$D:$D,IFERROR(VLOOKUP(Request!$B$9,SKU_Family_Map!$A:$B,2,FALSE),""))/MAX(SUMIFS(Quota_Groups!$E:$E,Quota_Groups!$B:$B,$A11,Quota_Groups!$D:$D,IFERROR(VLOOKUP(Request!$B$9,SKU_Family_Map!$A:$B,2,FALSE),"")),1),0)),IF(OR(Request!$B$10="",Request!$C$10=""),1,IFERROR(SUMIFS(Quota_Groups!$G:$G,Quota_Groups!$B:$B,$A11,Quota_Groups!$D:$D,IFERROR(VLOOKUP(Request!$B$10,SKU_Family_Map!$A:$B,2,FALSE),""))/MAX(SUMIFS(Quota_Groups!$E:$E,Quota_Groups!$B:$B,$A11,Quota_Groups!$D:$D,IFERROR(VLOOKUP(Request!$B$10,SKU_Family_Map!$A:$B,2,FALSE),"")),1),0)),IF(OR(Request!$B$11="",Request!$C$11=""),1,IFERROR(SUMIFS(Quota_Groups!$G:$G,Quota_Groups!$B:$B,$A11,Quota_Groups!$D:$D,IFERROR(VLOOKUP(Request!$B$11,SKU_Family_Map!$A:$B,2,FALSE),""))/MAX(SUMIFS(Quota_Groups!$E:$E,Quota_Groups!$B:$B,$A11,Quota_Groups!$D:$D,IFERROR(VLOOKUP(Request!$B$11,SKU_Family_Map!$A:$B,2,FALSE),"")),1),0)),IF(OR(Request!$B$12="",Request!$C$12=""),1,IFERROR(SUMIFS(Quota_Groups!$G:$G,Quota_Groups!$B:$B,$A11,Quota_Groups!$D:$D,IFERROR(VLOOKUP(Request!$B$12,SKU_Family_Map!$A:$B,2,FALSE),""))/MAX(SUMIFS(Quota_Groups!$E:$E,Quota_Groups!$B:$B,$A11,Quota_Groups!$D:$D,IFERROR(VLOOKUP(Request!$B$12,SKU_Family_Map!$A:$B,2,FALSE),"")),1),0)),IF(OR(Request!$B$13="",Request!$C$13=""),1,IFERROR(SUMIFS(Quota_Groups!$G:$G,Quota_Groups!$B:$B,$A11,Quota_Groups!$D:$D,IFERROR(VLOOKUP(Request!$B$13,SKU_Family_Map!$A:$B,2,FALSE),""))/MAX(SUMIFS(Quota_Groups!$E:$E,Quota_Groups!$B:$B,$A11,Quota_Groups!$D:$D,IFERROR(VLOOKUP(Request!$B$13,SKU_Family_Map!$A:$B,2,FALSE),"")),1),0)),IF(OR(Request!$B$14="",Request!$C$14=""),1,IFERROR(SUMIFS(Quota_Groups!$G:$G,Quota_Groups!$B:$B,$A11,Quota_Groups!$D:$D,IFERROR(VLOOKUP(Request!$B$14,SKU_Family_Map!$A:$B,2,FALSE),""))/MAX(SUMIFS(Quota_Groups!$E:$E,Quota_Groups!$B:$B,$A11,Quota_Groups!$D:$D,IFERROR(VLOOKUP(Request!$B$14,SKU_Family_Map!$A:$B,2,FALSE),"")),1),0)),IF(OR(Request!$B$15="",Request!$C$15=""),1,IFERROR(SUMIFS(Quota_Groups!$G:$G,Quota_Groups!$B:$B,$A11,Quota_Groups!$D:$D,IFERROR(VLOOKUP(Request!$B$15,SKU_Family_Map!$A:$B,2,FALSE),""))/MAX(SUMIFS(Quota_Groups!$E:$E,Quota_Groups!$B:$B,$A11,Quota_Groups!$D:$D,IFERROR(VLOOKUP(Request!$B$15,SKU_Family_Map!$A:$B,2,FALSE),"")),1),0))),"CAPACITY","QUOTA")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1" customWidth="1" min="4" max="4"/>
    <col width="13" customWidth="1" min="5" max="5"/>
    <col width="7" customWidth="1" min="6" max="6"/>
    <col width="11" customWidth="1" min="7" max="7"/>
    <col width="20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7" customWidth="1" min="14" max="14"/>
    <col width="10" customWidth="1" min="15" max="15"/>
    <col width="10" customWidth="1" min="17" max="17"/>
    <col width="16" customWidth="1" min="18" max="18"/>
  </cols>
  <sheetData>
    <row r="1">
      <c r="A1" s="5" t="inlineStr">
        <is>
          <t>SCORE_CVAL  —  SKU-grain placement score (CVAL / NonProd)</t>
        </is>
      </c>
      <c r="Q1" s="20" t="inlineStr">
        <is>
          <t>TOP PICK</t>
        </is>
      </c>
    </row>
    <row r="2">
      <c r="A2" s="6" t="inlineStr">
        <is>
          <t>Meets-All = 1 only when EVERY active SKU line has GROUP AVAIL ≥ Line Cores. Alpha=MIN(1−cores/GAVAIL), Beta=MIN(quota-avail/quota-limit), Eps=MIN(res-free/res) across all active lines.</t>
        </is>
      </c>
      <c r="Q2" s="14" t="inlineStr">
        <is>
          <t>Region</t>
        </is>
      </c>
      <c r="R2" s="21">
        <f>IFERROR(INDEX($A$4:$A$11,MATCH(1,$N$4:$N$11,0)),"NONE ELIGIBLE")</f>
        <v/>
      </c>
    </row>
    <row r="3">
      <c r="A3" s="15" t="inlineStr">
        <is>
          <t>Region</t>
        </is>
      </c>
      <c r="B3" s="15" t="inlineStr">
        <is>
          <t>Geo</t>
        </is>
      </c>
      <c r="C3" s="15" t="inlineStr">
        <is>
          <t>Env</t>
        </is>
      </c>
      <c r="D3" s="15" t="inlineStr">
        <is>
          <t>Active Lines</t>
        </is>
      </c>
      <c r="E3" s="15" t="inlineStr">
        <is>
          <t>Total Req Cores</t>
        </is>
      </c>
      <c r="F3" s="15" t="inlineStr">
        <is>
          <t>InGeo</t>
        </is>
      </c>
      <c r="G3" s="15" t="inlineStr">
        <is>
          <t>Meets-All</t>
        </is>
      </c>
      <c r="H3" s="15" t="inlineStr">
        <is>
          <t>Readiness (RDY-002)</t>
        </is>
      </c>
      <c r="I3" s="15" t="inlineStr">
        <is>
          <t>Eligible</t>
        </is>
      </c>
      <c r="J3" s="15" t="inlineStr">
        <is>
          <t>alpha_c</t>
        </is>
      </c>
      <c r="K3" s="15" t="inlineStr">
        <is>
          <t>beta_c</t>
        </is>
      </c>
      <c r="L3" s="15" t="inlineStr">
        <is>
          <t>eps_c</t>
        </is>
      </c>
      <c r="M3" s="15" t="inlineStr">
        <is>
          <t>PS</t>
        </is>
      </c>
      <c r="N3" s="15" t="inlineStr">
        <is>
          <t>Rank</t>
        </is>
      </c>
      <c r="O3" s="15" t="inlineStr">
        <is>
          <t>Binding</t>
        </is>
      </c>
      <c r="Q3" s="14" t="inlineStr">
        <is>
          <t>PS</t>
        </is>
      </c>
      <c r="R3" s="21">
        <f>IFERROR(INDEX($M$4:$M$11,MATCH(1,$N$4:$N$11,0)),"")</f>
        <v/>
      </c>
    </row>
    <row r="4">
      <c r="A4" s="12" t="inlineStr">
        <is>
          <t>West US 3</t>
        </is>
      </c>
      <c r="B4" s="16" t="inlineStr">
        <is>
          <t>US</t>
        </is>
      </c>
      <c r="C4" s="16" t="inlineStr">
        <is>
          <t>NonProd</t>
        </is>
      </c>
      <c r="D4" s="16">
        <f>Request!$B$17</f>
        <v/>
      </c>
      <c r="E4" s="16">
        <f>Request!$B$18</f>
        <v/>
      </c>
      <c r="F4" s="16">
        <f>IF(B4=Request!$B$4,1,0)</f>
        <v/>
      </c>
      <c r="G4" s="18">
        <f>IF(Request!$B$17=0,0,MIN(IF(OR(Request!$B$8="",Request!$C$8=""),1,IF(MIN(SUMIFS(Capacity_By_SKU!$K:$K,Capacity_By_SKU!$A:$A,$A4,Capacity_By_SKU!$C:$C,"NonProd",Capacity_By_SKU!$D:$D,Request!$B$8),SUMIFS(Quota_Groups!$G:$G,Quota_Groups!$B:$B,$A4,Quota_Groups!$D:$D,IFERROR(VLOOKUP(Request!$B$8,SKU_Family_Map!$A:$B,2,FALSE),"")))&gt;=Request!$E$8,1,0)),IF(OR(Request!$B$9="",Request!$C$9=""),1,IF(MIN(SUMIFS(Capacity_By_SKU!$K:$K,Capacity_By_SKU!$A:$A,$A4,Capacity_By_SKU!$C:$C,"NonProd",Capacity_By_SKU!$D:$D,Request!$B$9),SUMIFS(Quota_Groups!$G:$G,Quota_Groups!$B:$B,$A4,Quota_Groups!$D:$D,IFERROR(VLOOKUP(Request!$B$9,SKU_Family_Map!$A:$B,2,FALSE),"")))&gt;=Request!$E$9,1,0)),IF(OR(Request!$B$10="",Request!$C$10=""),1,IF(MIN(SUMIFS(Capacity_By_SKU!$K:$K,Capacity_By_SKU!$A:$A,$A4,Capacity_By_SKU!$C:$C,"NonProd",Capacity_By_SKU!$D:$D,Request!$B$10),SUMIFS(Quota_Groups!$G:$G,Quota_Groups!$B:$B,$A4,Quota_Groups!$D:$D,IFERROR(VLOOKUP(Request!$B$10,SKU_Family_Map!$A:$B,2,FALSE),"")))&gt;=Request!$E$10,1,0)),IF(OR(Request!$B$11="",Request!$C$11=""),1,IF(MIN(SUMIFS(Capacity_By_SKU!$K:$K,Capacity_By_SKU!$A:$A,$A4,Capacity_By_SKU!$C:$C,"NonProd",Capacity_By_SKU!$D:$D,Request!$B$11),SUMIFS(Quota_Groups!$G:$G,Quota_Groups!$B:$B,$A4,Quota_Groups!$D:$D,IFERROR(VLOOKUP(Request!$B$11,SKU_Family_Map!$A:$B,2,FALSE),"")))&gt;=Request!$E$11,1,0)),IF(OR(Request!$B$12="",Request!$C$12=""),1,IF(MIN(SUMIFS(Capacity_By_SKU!$K:$K,Capacity_By_SKU!$A:$A,$A4,Capacity_By_SKU!$C:$C,"NonProd",Capacity_By_SKU!$D:$D,Request!$B$12),SUMIFS(Quota_Groups!$G:$G,Quota_Groups!$B:$B,$A4,Quota_Groups!$D:$D,IFERROR(VLOOKUP(Request!$B$12,SKU_Family_Map!$A:$B,2,FALSE),"")))&gt;=Request!$E$12,1,0)),IF(OR(Request!$B$13="",Request!$C$13=""),1,IF(MIN(SUMIFS(Capacity_By_SKU!$K:$K,Capacity_By_SKU!$A:$A,$A4,Capacity_By_SKU!$C:$C,"NonProd",Capacity_By_SKU!$D:$D,Request!$B$13),SUMIFS(Quota_Groups!$G:$G,Quota_Groups!$B:$B,$A4,Quota_Groups!$D:$D,IFERROR(VLOOKUP(Request!$B$13,SKU_Family_Map!$A:$B,2,FALSE),"")))&gt;=Request!$E$13,1,0)),IF(OR(Request!$B$14="",Request!$C$14=""),1,IF(MIN(SUMIFS(Capacity_By_SKU!$K:$K,Capacity_By_SKU!$A:$A,$A4,Capacity_By_SKU!$C:$C,"NonProd",Capacity_By_SKU!$D:$D,Request!$B$14),SUMIFS(Quota_Groups!$G:$G,Quota_Groups!$B:$B,$A4,Quota_Groups!$D:$D,IFERROR(VLOOKUP(Request!$B$14,SKU_Family_Map!$A:$B,2,FALSE),"")))&gt;=Request!$E$14,1,0)),IF(OR(Request!$B$15="",Request!$C$15=""),1,IF(MIN(SUMIFS(Capacity_By_SKU!$K:$K,Capacity_By_SKU!$A:$A,$A4,Capacity_By_SKU!$C:$C,"NonProd",Capacity_By_SKU!$D:$D,Request!$B$15),SUMIFS(Quota_Groups!$G:$G,Quota_Groups!$B:$B,$A4,Quota_Groups!$D:$D,IFERROR(VLOOKUP(Request!$B$15,SKU_Family_Map!$A:$B,2,FALSE),"")))&gt;=Request!$E$15,1,0))))</f>
        <v/>
      </c>
      <c r="H4" s="12">
        <f>IF(Request!$B$17=0,"NO_REQUEST",IF(SUM(IF(AND(Request!$B$8&lt;&gt;"",Request!$C$8&lt;&gt;"",SUMIFS(Capacity_By_SKU!$K:$K,Capacity_By_SKU!$A:$A,$A4,Capacity_By_SKU!$C:$C,"NonProd",Capacity_By_SKU!$D:$D,Request!$B$8)&lt;=0),1,0),IF(AND(Request!$B$9&lt;&gt;"",Request!$C$9&lt;&gt;"",SUMIFS(Capacity_By_SKU!$K:$K,Capacity_By_SKU!$A:$A,$A4,Capacity_By_SKU!$C:$C,"NonProd",Capacity_By_SKU!$D:$D,Request!$B$9)&lt;=0),1,0),IF(AND(Request!$B$10&lt;&gt;"",Request!$C$10&lt;&gt;"",SUMIFS(Capacity_By_SKU!$K:$K,Capacity_By_SKU!$A:$A,$A4,Capacity_By_SKU!$C:$C,"NonProd",Capacity_By_SKU!$D:$D,Request!$B$10)&lt;=0),1,0),IF(AND(Request!$B$11&lt;&gt;"",Request!$C$11&lt;&gt;"",SUMIFS(Capacity_By_SKU!$K:$K,Capacity_By_SKU!$A:$A,$A4,Capacity_By_SKU!$C:$C,"NonProd",Capacity_By_SKU!$D:$D,Request!$B$11)&lt;=0),1,0),IF(AND(Request!$B$12&lt;&gt;"",Request!$C$12&lt;&gt;"",SUMIFS(Capacity_By_SKU!$K:$K,Capacity_By_SKU!$A:$A,$A4,Capacity_By_SKU!$C:$C,"NonProd",Capacity_By_SKU!$D:$D,Request!$B$12)&lt;=0),1,0),IF(AND(Request!$B$13&lt;&gt;"",Request!$C$13&lt;&gt;"",SUMIFS(Capacity_By_SKU!$K:$K,Capacity_By_SKU!$A:$A,$A4,Capacity_By_SKU!$C:$C,"NonProd",Capacity_By_SKU!$D:$D,Request!$B$13)&lt;=0),1,0),IF(AND(Request!$B$14&lt;&gt;"",Request!$C$14&lt;&gt;"",SUMIFS(Capacity_By_SKU!$K:$K,Capacity_By_SKU!$A:$A,$A4,Capacity_By_SKU!$C:$C,"NonProd",Capacity_By_SKU!$D:$D,Request!$B$14)&lt;=0),1,0),IF(AND(Request!$B$15&lt;&gt;"",Request!$C$15&lt;&gt;"",SUMIFS(Capacity_By_SKU!$K:$K,Capacity_By_SKU!$A:$A,$A4,Capacity_By_SKU!$C:$C,"NonProd",Capacity_By_SKU!$D:$D,Request!$B$15)&lt;=0),1,0))&gt;0,"RESERVATION_DEFICIT",IF(SUM(IF(AND(Request!$B$8&lt;&gt;"",Request!$C$8&lt;&gt;"",SUMIFS(Quota_Groups!$G:$G,Quota_Groups!$B:$B,$A4,Quota_Groups!$D:$D,IFERROR(VLOOKUP(Request!$B$8,SKU_Family_Map!$A:$B,2,FALSE),""))&lt;=0),1,0),IF(AND(Request!$B$9&lt;&gt;"",Request!$C$9&lt;&gt;"",SUMIFS(Quota_Groups!$G:$G,Quota_Groups!$B:$B,$A4,Quota_Groups!$D:$D,IFERROR(VLOOKUP(Request!$B$9,SKU_Family_Map!$A:$B,2,FALSE),""))&lt;=0),1,0),IF(AND(Request!$B$10&lt;&gt;"",Request!$C$10&lt;&gt;"",SUMIFS(Quota_Groups!$G:$G,Quota_Groups!$B:$B,$A4,Quota_Groups!$D:$D,IFERROR(VLOOKUP(Request!$B$10,SKU_Family_Map!$A:$B,2,FALSE),""))&lt;=0),1,0),IF(AND(Request!$B$11&lt;&gt;"",Request!$C$11&lt;&gt;"",SUMIFS(Quota_Groups!$G:$G,Quota_Groups!$B:$B,$A4,Quota_Groups!$D:$D,IFERROR(VLOOKUP(Request!$B$11,SKU_Family_Map!$A:$B,2,FALSE),""))&lt;=0),1,0),IF(AND(Request!$B$12&lt;&gt;"",Request!$C$12&lt;&gt;"",SUMIFS(Quota_Groups!$G:$G,Quota_Groups!$B:$B,$A4,Quota_Groups!$D:$D,IFERROR(VLOOKUP(Request!$B$12,SKU_Family_Map!$A:$B,2,FALSE),""))&lt;=0),1,0),IF(AND(Request!$B$13&lt;&gt;"",Request!$C$13&lt;&gt;"",SUMIFS(Quota_Groups!$G:$G,Quota_Groups!$B:$B,$A4,Quota_Groups!$D:$D,IFERROR(VLOOKUP(Request!$B$13,SKU_Family_Map!$A:$B,2,FALSE),""))&lt;=0),1,0),IF(AND(Request!$B$14&lt;&gt;"",Request!$C$14&lt;&gt;"",SUMIFS(Quota_Groups!$G:$G,Quota_Groups!$B:$B,$A4,Quota_Groups!$D:$D,IFERROR(VLOOKUP(Request!$B$14,SKU_Family_Map!$A:$B,2,FALSE),""))&lt;=0),1,0),IF(AND(Request!$B$15&lt;&gt;"",Request!$C$15&lt;&gt;"",SUMIFS(Quota_Groups!$G:$G,Quota_Groups!$B:$B,$A4,Quota_Groups!$D:$D,IFERROR(VLOOKUP(Request!$B$15,SKU_Family_Map!$A:$B,2,FALSE),""))&lt;=0),1,0))&gt;0,"QUOTA_DEFICIT",IF(G4=0,"CAPACITY_DEFICIT",IF(MIN(IF(OR(Request!$B$8="",Request!$C$8=""),1,IFERROR(1-Request!$E$8/MIN(SUMIFS(Capacity_By_SKU!$K:$K,Capacity_By_SKU!$A:$A,$A4,Capacity_By_SKU!$C:$C,"NonProd",Capacity_By_SKU!$D:$D,Request!$B$8),SUMIFS(Quota_Groups!$G:$G,Quota_Groups!$B:$B,$A4,Quota_Groups!$D:$D,IFERROR(VLOOKUP(Request!$B$8,SKU_Family_Map!$A:$B,2,FALSE),""))),0)),IF(OR(Request!$B$9="",Request!$C$9=""),1,IFERROR(1-Request!$E$9/MIN(SUMIFS(Capacity_By_SKU!$K:$K,Capacity_By_SKU!$A:$A,$A4,Capacity_By_SKU!$C:$C,"NonProd",Capacity_By_SKU!$D:$D,Request!$B$9),SUMIFS(Quota_Groups!$G:$G,Quota_Groups!$B:$B,$A4,Quota_Groups!$D:$D,IFERROR(VLOOKUP(Request!$B$9,SKU_Family_Map!$A:$B,2,FALSE),""))),0)),IF(OR(Request!$B$10="",Request!$C$10=""),1,IFERROR(1-Request!$E$10/MIN(SUMIFS(Capacity_By_SKU!$K:$K,Capacity_By_SKU!$A:$A,$A4,Capacity_By_SKU!$C:$C,"NonProd",Capacity_By_SKU!$D:$D,Request!$B$10),SUMIFS(Quota_Groups!$G:$G,Quota_Groups!$B:$B,$A4,Quota_Groups!$D:$D,IFERROR(VLOOKUP(Request!$B$10,SKU_Family_Map!$A:$B,2,FALSE),""))),0)),IF(OR(Request!$B$11="",Request!$C$11=""),1,IFERROR(1-Request!$E$11/MIN(SUMIFS(Capacity_By_SKU!$K:$K,Capacity_By_SKU!$A:$A,$A4,Capacity_By_SKU!$C:$C,"NonProd",Capacity_By_SKU!$D:$D,Request!$B$11),SUMIFS(Quota_Groups!$G:$G,Quota_Groups!$B:$B,$A4,Quota_Groups!$D:$D,IFERROR(VLOOKUP(Request!$B$11,SKU_Family_Map!$A:$B,2,FALSE),""))),0)),IF(OR(Request!$B$12="",Request!$C$12=""),1,IFERROR(1-Request!$E$12/MIN(SUMIFS(Capacity_By_SKU!$K:$K,Capacity_By_SKU!$A:$A,$A4,Capacity_By_SKU!$C:$C,"NonProd",Capacity_By_SKU!$D:$D,Request!$B$12),SUMIFS(Quota_Groups!$G:$G,Quota_Groups!$B:$B,$A4,Quota_Groups!$D:$D,IFERROR(VLOOKUP(Request!$B$12,SKU_Family_Map!$A:$B,2,FALSE),""))),0)),IF(OR(Request!$B$13="",Request!$C$13=""),1,IFERROR(1-Request!$E$13/MIN(SUMIFS(Capacity_By_SKU!$K:$K,Capacity_By_SKU!$A:$A,$A4,Capacity_By_SKU!$C:$C,"NonProd",Capacity_By_SKU!$D:$D,Request!$B$13),SUMIFS(Quota_Groups!$G:$G,Quota_Groups!$B:$B,$A4,Quota_Groups!$D:$D,IFERROR(VLOOKUP(Request!$B$13,SKU_Family_Map!$A:$B,2,FALSE),""))),0)),IF(OR(Request!$B$14="",Request!$C$14=""),1,IFERROR(1-Request!$E$14/MIN(SUMIFS(Capacity_By_SKU!$K:$K,Capacity_By_SKU!$A:$A,$A4,Capacity_By_SKU!$C:$C,"NonProd",Capacity_By_SKU!$D:$D,Request!$B$14),SUMIFS(Quota_Groups!$G:$G,Quota_Groups!$B:$B,$A4,Quota_Groups!$D:$D,IFERROR(VLOOKUP(Request!$B$14,SKU_Family_Map!$A:$B,2,FALSE),""))),0)),IF(OR(Request!$B$15="",Request!$C$15=""),1,IFERROR(1-Request!$E$15/MIN(SUMIFS(Capacity_By_SKU!$K:$K,Capacity_By_SKU!$A:$A,$A4,Capacity_By_SKU!$C:$C,"NonProd",Capacity_By_SKU!$D:$D,Request!$B$15),SUMIFS(Quota_Groups!$G:$G,Quota_Groups!$B:$B,$A4,Quota_Groups!$D:$D,IFERROR(VLOOKUP(Request!$B$15,SKU_Family_Map!$A:$B,2,FALSE),""))),0)))&lt;Policy!$B$10,"READY_WITH_RISK","READY")))))</f>
        <v/>
      </c>
      <c r="I4" s="16">
        <f>IF(AND(F4=1,G4=1,OR(H4="READY",H4="READY_WITH_RISK")),1,0)</f>
        <v/>
      </c>
      <c r="J4" s="16">
        <f>IF(I4=1,MAX(0,MIN(IF(OR(Request!$B$8="",Request!$C$8=""),1,IFERROR(1-Request!$E$8/MIN(SUMIFS(Capacity_By_SKU!$K:$K,Capacity_By_SKU!$A:$A,$A4,Capacity_By_SKU!$C:$C,"NonProd",Capacity_By_SKU!$D:$D,Request!$B$8),SUMIFS(Quota_Groups!$G:$G,Quota_Groups!$B:$B,$A4,Quota_Groups!$D:$D,IFERROR(VLOOKUP(Request!$B$8,SKU_Family_Map!$A:$B,2,FALSE),""))),0)),IF(OR(Request!$B$9="",Request!$C$9=""),1,IFERROR(1-Request!$E$9/MIN(SUMIFS(Capacity_By_SKU!$K:$K,Capacity_By_SKU!$A:$A,$A4,Capacity_By_SKU!$C:$C,"NonProd",Capacity_By_SKU!$D:$D,Request!$B$9),SUMIFS(Quota_Groups!$G:$G,Quota_Groups!$B:$B,$A4,Quota_Groups!$D:$D,IFERROR(VLOOKUP(Request!$B$9,SKU_Family_Map!$A:$B,2,FALSE),""))),0)),IF(OR(Request!$B$10="",Request!$C$10=""),1,IFERROR(1-Request!$E$10/MIN(SUMIFS(Capacity_By_SKU!$K:$K,Capacity_By_SKU!$A:$A,$A4,Capacity_By_SKU!$C:$C,"NonProd",Capacity_By_SKU!$D:$D,Request!$B$10),SUMIFS(Quota_Groups!$G:$G,Quota_Groups!$B:$B,$A4,Quota_Groups!$D:$D,IFERROR(VLOOKUP(Request!$B$10,SKU_Family_Map!$A:$B,2,FALSE),""))),0)),IF(OR(Request!$B$11="",Request!$C$11=""),1,IFERROR(1-Request!$E$11/MIN(SUMIFS(Capacity_By_SKU!$K:$K,Capacity_By_SKU!$A:$A,$A4,Capacity_By_SKU!$C:$C,"NonProd",Capacity_By_SKU!$D:$D,Request!$B$11),SUMIFS(Quota_Groups!$G:$G,Quota_Groups!$B:$B,$A4,Quota_Groups!$D:$D,IFERROR(VLOOKUP(Request!$B$11,SKU_Family_Map!$A:$B,2,FALSE),""))),0)),IF(OR(Request!$B$12="",Request!$C$12=""),1,IFERROR(1-Request!$E$12/MIN(SUMIFS(Capacity_By_SKU!$K:$K,Capacity_By_SKU!$A:$A,$A4,Capacity_By_SKU!$C:$C,"NonProd",Capacity_By_SKU!$D:$D,Request!$B$12),SUMIFS(Quota_Groups!$G:$G,Quota_Groups!$B:$B,$A4,Quota_Groups!$D:$D,IFERROR(VLOOKUP(Request!$B$12,SKU_Family_Map!$A:$B,2,FALSE),""))),0)),IF(OR(Request!$B$13="",Request!$C$13=""),1,IFERROR(1-Request!$E$13/MIN(SUMIFS(Capacity_By_SKU!$K:$K,Capacity_By_SKU!$A:$A,$A4,Capacity_By_SKU!$C:$C,"NonProd",Capacity_By_SKU!$D:$D,Request!$B$13),SUMIFS(Quota_Groups!$G:$G,Quota_Groups!$B:$B,$A4,Quota_Groups!$D:$D,IFERROR(VLOOKUP(Request!$B$13,SKU_Family_Map!$A:$B,2,FALSE),""))),0)),IF(OR(Request!$B$14="",Request!$C$14=""),1,IFERROR(1-Request!$E$14/MIN(SUMIFS(Capacity_By_SKU!$K:$K,Capacity_By_SKU!$A:$A,$A4,Capacity_By_SKU!$C:$C,"NonProd",Capacity_By_SKU!$D:$D,Request!$B$14),SUMIFS(Quota_Groups!$G:$G,Quota_Groups!$B:$B,$A4,Quota_Groups!$D:$D,IFERROR(VLOOKUP(Request!$B$14,SKU_Family_Map!$A:$B,2,FALSE),""))),0)),IF(OR(Request!$B$15="",Request!$C$15=""),1,IFERROR(1-Request!$E$15/MIN(SUMIFS(Capacity_By_SKU!$K:$K,Capacity_By_SKU!$A:$A,$A4,Capacity_By_SKU!$C:$C,"NonProd",Capacity_By_SKU!$D:$D,Request!$B$15),SUMIFS(Quota_Groups!$G:$G,Quota_Groups!$B:$B,$A4,Quota_Groups!$D:$D,IFERROR(VLOOKUP(Request!$B$15,SKU_Family_Map!$A:$B,2,FALSE),""))),0)))),0)</f>
        <v/>
      </c>
      <c r="K4" s="16">
        <f>IF(I4=1,MAX(0,MIN(IF(OR(Request!$B$8="",Request!$C$8=""),1,IFERROR(SUMIFS(Quota_Groups!$G:$G,Quota_Groups!$B:$B,$A4,Quota_Groups!$D:$D,IFERROR(VLOOKUP(Request!$B$8,SKU_Family_Map!$A:$B,2,FALSE),""))/MAX(SUMIFS(Quota_Groups!$E:$E,Quota_Groups!$B:$B,$A4,Quota_Groups!$D:$D,IFERROR(VLOOKUP(Request!$B$8,SKU_Family_Map!$A:$B,2,FALSE),"")),1),0)),IF(OR(Request!$B$9="",Request!$C$9=""),1,IFERROR(SUMIFS(Quota_Groups!$G:$G,Quota_Groups!$B:$B,$A4,Quota_Groups!$D:$D,IFERROR(VLOOKUP(Request!$B$9,SKU_Family_Map!$A:$B,2,FALSE),""))/MAX(SUMIFS(Quota_Groups!$E:$E,Quota_Groups!$B:$B,$A4,Quota_Groups!$D:$D,IFERROR(VLOOKUP(Request!$B$9,SKU_Family_Map!$A:$B,2,FALSE),"")),1),0)),IF(OR(Request!$B$10="",Request!$C$10=""),1,IFERROR(SUMIFS(Quota_Groups!$G:$G,Quota_Groups!$B:$B,$A4,Quota_Groups!$D:$D,IFERROR(VLOOKUP(Request!$B$10,SKU_Family_Map!$A:$B,2,FALSE),""))/MAX(SUMIFS(Quota_Groups!$E:$E,Quota_Groups!$B:$B,$A4,Quota_Groups!$D:$D,IFERROR(VLOOKUP(Request!$B$10,SKU_Family_Map!$A:$B,2,FALSE),"")),1),0)),IF(OR(Request!$B$11="",Request!$C$11=""),1,IFERROR(SUMIFS(Quota_Groups!$G:$G,Quota_Groups!$B:$B,$A4,Quota_Groups!$D:$D,IFERROR(VLOOKUP(Request!$B$11,SKU_Family_Map!$A:$B,2,FALSE),""))/MAX(SUMIFS(Quota_Groups!$E:$E,Quota_Groups!$B:$B,$A4,Quota_Groups!$D:$D,IFERROR(VLOOKUP(Request!$B$11,SKU_Family_Map!$A:$B,2,FALSE),"")),1),0)),IF(OR(Request!$B$12="",Request!$C$12=""),1,IFERROR(SUMIFS(Quota_Groups!$G:$G,Quota_Groups!$B:$B,$A4,Quota_Groups!$D:$D,IFERROR(VLOOKUP(Request!$B$12,SKU_Family_Map!$A:$B,2,FALSE),""))/MAX(SUMIFS(Quota_Groups!$E:$E,Quota_Groups!$B:$B,$A4,Quota_Groups!$D:$D,IFERROR(VLOOKUP(Request!$B$12,SKU_Family_Map!$A:$B,2,FALSE),"")),1),0)),IF(OR(Request!$B$13="",Request!$C$13=""),1,IFERROR(SUMIFS(Quota_Groups!$G:$G,Quota_Groups!$B:$B,$A4,Quota_Groups!$D:$D,IFERROR(VLOOKUP(Request!$B$13,SKU_Family_Map!$A:$B,2,FALSE),""))/MAX(SUMIFS(Quota_Groups!$E:$E,Quota_Groups!$B:$B,$A4,Quota_Groups!$D:$D,IFERROR(VLOOKUP(Request!$B$13,SKU_Family_Map!$A:$B,2,FALSE),"")),1),0)),IF(OR(Request!$B$14="",Request!$C$14=""),1,IFERROR(SUMIFS(Quota_Groups!$G:$G,Quota_Groups!$B:$B,$A4,Quota_Groups!$D:$D,IFERROR(VLOOKUP(Request!$B$14,SKU_Family_Map!$A:$B,2,FALSE),""))/MAX(SUMIFS(Quota_Groups!$E:$E,Quota_Groups!$B:$B,$A4,Quota_Groups!$D:$D,IFERROR(VLOOKUP(Request!$B$14,SKU_Family_Map!$A:$B,2,FALSE),"")),1),0)),IF(OR(Request!$B$15="",Request!$C$15=""),1,IFERROR(SUMIFS(Quota_Groups!$G:$G,Quota_Groups!$B:$B,$A4,Quota_Groups!$D:$D,IFERROR(VLOOKUP(Request!$B$15,SKU_Family_Map!$A:$B,2,FALSE),""))/MAX(SUMIFS(Quota_Groups!$E:$E,Quota_Groups!$B:$B,$A4,Quota_Groups!$D:$D,IFERROR(VLOOKUP(Request!$B$15,SKU_Family_Map!$A:$B,2,FALSE),"")),1),0)))),0)</f>
        <v/>
      </c>
      <c r="L4" s="16">
        <f>IF(I4=1,MAX(0,MIN(IF(OR(Request!$B$8="",Request!$C$8=""),1,IFERROR(SUMIFS(Capacity_By_SKU!$K:$K,Capacity_By_SKU!$A:$A,$A4,Capacity_By_SKU!$C:$C,"NonProd",Capacity_By_SKU!$D:$D,Request!$B$8)/MAX(SUMIFS(Capacity_By_SKU!$J:$J,Capacity_By_SKU!$A:$A,$A4,Capacity_By_SKU!$C:$C,"NonProd",Capacity_By_SKU!$D:$D,Request!$B$8),1),0)),IF(OR(Request!$B$9="",Request!$C$9=""),1,IFERROR(SUMIFS(Capacity_By_SKU!$K:$K,Capacity_By_SKU!$A:$A,$A4,Capacity_By_SKU!$C:$C,"NonProd",Capacity_By_SKU!$D:$D,Request!$B$9)/MAX(SUMIFS(Capacity_By_SKU!$J:$J,Capacity_By_SKU!$A:$A,$A4,Capacity_By_SKU!$C:$C,"NonProd",Capacity_By_SKU!$D:$D,Request!$B$9),1),0)),IF(OR(Request!$B$10="",Request!$C$10=""),1,IFERROR(SUMIFS(Capacity_By_SKU!$K:$K,Capacity_By_SKU!$A:$A,$A4,Capacity_By_SKU!$C:$C,"NonProd",Capacity_By_SKU!$D:$D,Request!$B$10)/MAX(SUMIFS(Capacity_By_SKU!$J:$J,Capacity_By_SKU!$A:$A,$A4,Capacity_By_SKU!$C:$C,"NonProd",Capacity_By_SKU!$D:$D,Request!$B$10),1),0)),IF(OR(Request!$B$11="",Request!$C$11=""),1,IFERROR(SUMIFS(Capacity_By_SKU!$K:$K,Capacity_By_SKU!$A:$A,$A4,Capacity_By_SKU!$C:$C,"NonProd",Capacity_By_SKU!$D:$D,Request!$B$11)/MAX(SUMIFS(Capacity_By_SKU!$J:$J,Capacity_By_SKU!$A:$A,$A4,Capacity_By_SKU!$C:$C,"NonProd",Capacity_By_SKU!$D:$D,Request!$B$11),1),0)),IF(OR(Request!$B$12="",Request!$C$12=""),1,IFERROR(SUMIFS(Capacity_By_SKU!$K:$K,Capacity_By_SKU!$A:$A,$A4,Capacity_By_SKU!$C:$C,"NonProd",Capacity_By_SKU!$D:$D,Request!$B$12)/MAX(SUMIFS(Capacity_By_SKU!$J:$J,Capacity_By_SKU!$A:$A,$A4,Capacity_By_SKU!$C:$C,"NonProd",Capacity_By_SKU!$D:$D,Request!$B$12),1),0)),IF(OR(Request!$B$13="",Request!$C$13=""),1,IFERROR(SUMIFS(Capacity_By_SKU!$K:$K,Capacity_By_SKU!$A:$A,$A4,Capacity_By_SKU!$C:$C,"NonProd",Capacity_By_SKU!$D:$D,Request!$B$13)/MAX(SUMIFS(Capacity_By_SKU!$J:$J,Capacity_By_SKU!$A:$A,$A4,Capacity_By_SKU!$C:$C,"NonProd",Capacity_By_SKU!$D:$D,Request!$B$13),1),0)),IF(OR(Request!$B$14="",Request!$C$14=""),1,IFERROR(SUMIFS(Capacity_By_SKU!$K:$K,Capacity_By_SKU!$A:$A,$A4,Capacity_By_SKU!$C:$C,"NonProd",Capacity_By_SKU!$D:$D,Request!$B$14)/MAX(SUMIFS(Capacity_By_SKU!$J:$J,Capacity_By_SKU!$A:$A,$A4,Capacity_By_SKU!$C:$C,"NonProd",Capacity_By_SKU!$D:$D,Request!$B$14),1),0)),IF(OR(Request!$B$15="",Request!$C$15=""),1,IFERROR(SUMIFS(Capacity_By_SKU!$K:$K,Capacity_By_SKU!$A:$A,$A4,Capacity_By_SKU!$C:$C,"NonProd",Capacity_By_SKU!$D:$D,Request!$B$15)/MAX(SUMIFS(Capacity_By_SKU!$J:$J,Capacity_By_SKU!$A:$A,$A4,Capacity_By_SKU!$C:$C,"NonProd",Capacity_By_SKU!$D:$D,Request!$B$15),1),0)))),0)</f>
        <v/>
      </c>
      <c r="M4" s="22">
        <f>IF(I4=1,ROUND(Policy!$B$4*J4+Policy!$B$5*K4+Policy!$B$6*L4,4),"")</f>
        <v/>
      </c>
      <c r="N4" s="16">
        <f>IF(I4=1,SUMPRODUCT(($I$4:$I$11=1)*($M$4:$M$11&gt;M4))+1,"")</f>
        <v/>
      </c>
      <c r="O4" s="16">
        <f>IF(I4=0,"N/A",IF(MIN(IF(OR(Request!$B$8="",Request!$C$8=""),1,IFERROR(SUMIFS(Capacity_By_SKU!$K:$K,Capacity_By_SKU!$A:$A,$A4,Capacity_By_SKU!$C:$C,"NonProd",Capacity_By_SKU!$D:$D,Request!$B$8)/MAX(SUMIFS(Capacity_By_SKU!$J:$J,Capacity_By_SKU!$A:$A,$A4,Capacity_By_SKU!$C:$C,"NonProd",Capacity_By_SKU!$D:$D,Request!$B$8),1),0)),IF(OR(Request!$B$9="",Request!$C$9=""),1,IFERROR(SUMIFS(Capacity_By_SKU!$K:$K,Capacity_By_SKU!$A:$A,$A4,Capacity_By_SKU!$C:$C,"NonProd",Capacity_By_SKU!$D:$D,Request!$B$9)/MAX(SUMIFS(Capacity_By_SKU!$J:$J,Capacity_By_SKU!$A:$A,$A4,Capacity_By_SKU!$C:$C,"NonProd",Capacity_By_SKU!$D:$D,Request!$B$9),1),0)),IF(OR(Request!$B$10="",Request!$C$10=""),1,IFERROR(SUMIFS(Capacity_By_SKU!$K:$K,Capacity_By_SKU!$A:$A,$A4,Capacity_By_SKU!$C:$C,"NonProd",Capacity_By_SKU!$D:$D,Request!$B$10)/MAX(SUMIFS(Capacity_By_SKU!$J:$J,Capacity_By_SKU!$A:$A,$A4,Capacity_By_SKU!$C:$C,"NonProd",Capacity_By_SKU!$D:$D,Request!$B$10),1),0)),IF(OR(Request!$B$11="",Request!$C$11=""),1,IFERROR(SUMIFS(Capacity_By_SKU!$K:$K,Capacity_By_SKU!$A:$A,$A4,Capacity_By_SKU!$C:$C,"NonProd",Capacity_By_SKU!$D:$D,Request!$B$11)/MAX(SUMIFS(Capacity_By_SKU!$J:$J,Capacity_By_SKU!$A:$A,$A4,Capacity_By_SKU!$C:$C,"NonProd",Capacity_By_SKU!$D:$D,Request!$B$11),1),0)),IF(OR(Request!$B$12="",Request!$C$12=""),1,IFERROR(SUMIFS(Capacity_By_SKU!$K:$K,Capacity_By_SKU!$A:$A,$A4,Capacity_By_SKU!$C:$C,"NonProd",Capacity_By_SKU!$D:$D,Request!$B$12)/MAX(SUMIFS(Capacity_By_SKU!$J:$J,Capacity_By_SKU!$A:$A,$A4,Capacity_By_SKU!$C:$C,"NonProd",Capacity_By_SKU!$D:$D,Request!$B$12),1),0)),IF(OR(Request!$B$13="",Request!$C$13=""),1,IFERROR(SUMIFS(Capacity_By_SKU!$K:$K,Capacity_By_SKU!$A:$A,$A4,Capacity_By_SKU!$C:$C,"NonProd",Capacity_By_SKU!$D:$D,Request!$B$13)/MAX(SUMIFS(Capacity_By_SKU!$J:$J,Capacity_By_SKU!$A:$A,$A4,Capacity_By_SKU!$C:$C,"NonProd",Capacity_By_SKU!$D:$D,Request!$B$13),1),0)),IF(OR(Request!$B$14="",Request!$C$14=""),1,IFERROR(SUMIFS(Capacity_By_SKU!$K:$K,Capacity_By_SKU!$A:$A,$A4,Capacity_By_SKU!$C:$C,"NonProd",Capacity_By_SKU!$D:$D,Request!$B$14)/MAX(SUMIFS(Capacity_By_SKU!$J:$J,Capacity_By_SKU!$A:$A,$A4,Capacity_By_SKU!$C:$C,"NonProd",Capacity_By_SKU!$D:$D,Request!$B$14),1),0)),IF(OR(Request!$B$15="",Request!$C$15=""),1,IFERROR(SUMIFS(Capacity_By_SKU!$K:$K,Capacity_By_SKU!$A:$A,$A4,Capacity_By_SKU!$C:$C,"NonProd",Capacity_By_SKU!$D:$D,Request!$B$15)/MAX(SUMIFS(Capacity_By_SKU!$J:$J,Capacity_By_SKU!$A:$A,$A4,Capacity_By_SKU!$C:$C,"NonProd",Capacity_By_SKU!$D:$D,Request!$B$15),1),0)))&lt;=MIN(IF(OR(Request!$B$8="",Request!$C$8=""),1,IFERROR(SUMIFS(Quota_Groups!$G:$G,Quota_Groups!$B:$B,$A4,Quota_Groups!$D:$D,IFERROR(VLOOKUP(Request!$B$8,SKU_Family_Map!$A:$B,2,FALSE),""))/MAX(SUMIFS(Quota_Groups!$E:$E,Quota_Groups!$B:$B,$A4,Quota_Groups!$D:$D,IFERROR(VLOOKUP(Request!$B$8,SKU_Family_Map!$A:$B,2,FALSE),"")),1),0)),IF(OR(Request!$B$9="",Request!$C$9=""),1,IFERROR(SUMIFS(Quota_Groups!$G:$G,Quota_Groups!$B:$B,$A4,Quota_Groups!$D:$D,IFERROR(VLOOKUP(Request!$B$9,SKU_Family_Map!$A:$B,2,FALSE),""))/MAX(SUMIFS(Quota_Groups!$E:$E,Quota_Groups!$B:$B,$A4,Quota_Groups!$D:$D,IFERROR(VLOOKUP(Request!$B$9,SKU_Family_Map!$A:$B,2,FALSE),"")),1),0)),IF(OR(Request!$B$10="",Request!$C$10=""),1,IFERROR(SUMIFS(Quota_Groups!$G:$G,Quota_Groups!$B:$B,$A4,Quota_Groups!$D:$D,IFERROR(VLOOKUP(Request!$B$10,SKU_Family_Map!$A:$B,2,FALSE),""))/MAX(SUMIFS(Quota_Groups!$E:$E,Quota_Groups!$B:$B,$A4,Quota_Groups!$D:$D,IFERROR(VLOOKUP(Request!$B$10,SKU_Family_Map!$A:$B,2,FALSE),"")),1),0)),IF(OR(Request!$B$11="",Request!$C$11=""),1,IFERROR(SUMIFS(Quota_Groups!$G:$G,Quota_Groups!$B:$B,$A4,Quota_Groups!$D:$D,IFERROR(VLOOKUP(Request!$B$11,SKU_Family_Map!$A:$B,2,FALSE),""))/MAX(SUMIFS(Quota_Groups!$E:$E,Quota_Groups!$B:$B,$A4,Quota_Groups!$D:$D,IFERROR(VLOOKUP(Request!$B$11,SKU_Family_Map!$A:$B,2,FALSE),"")),1),0)),IF(OR(Request!$B$12="",Request!$C$12=""),1,IFERROR(SUMIFS(Quota_Groups!$G:$G,Quota_Groups!$B:$B,$A4,Quota_Groups!$D:$D,IFERROR(VLOOKUP(Request!$B$12,SKU_Family_Map!$A:$B,2,FALSE),""))/MAX(SUMIFS(Quota_Groups!$E:$E,Quota_Groups!$B:$B,$A4,Quota_Groups!$D:$D,IFERROR(VLOOKUP(Request!$B$12,SKU_Family_Map!$A:$B,2,FALSE),"")),1),0)),IF(OR(Request!$B$13="",Request!$C$13=""),1,IFERROR(SUMIFS(Quota_Groups!$G:$G,Quota_Groups!$B:$B,$A4,Quota_Groups!$D:$D,IFERROR(VLOOKUP(Request!$B$13,SKU_Family_Map!$A:$B,2,FALSE),""))/MAX(SUMIFS(Quota_Groups!$E:$E,Quota_Groups!$B:$B,$A4,Quota_Groups!$D:$D,IFERROR(VLOOKUP(Request!$B$13,SKU_Family_Map!$A:$B,2,FALSE),"")),1),0)),IF(OR(Request!$B$14="",Request!$C$14=""),1,IFERROR(SUMIFS(Quota_Groups!$G:$G,Quota_Groups!$B:$B,$A4,Quota_Groups!$D:$D,IFERROR(VLOOKUP(Request!$B$14,SKU_Family_Map!$A:$B,2,FALSE),""))/MAX(SUMIFS(Quota_Groups!$E:$E,Quota_Groups!$B:$B,$A4,Quota_Groups!$D:$D,IFERROR(VLOOKUP(Request!$B$14,SKU_Family_Map!$A:$B,2,FALSE),"")),1),0)),IF(OR(Request!$B$15="",Request!$C$15=""),1,IFERROR(SUMIFS(Quota_Groups!$G:$G,Quota_Groups!$B:$B,$A4,Quota_Groups!$D:$D,IFERROR(VLOOKUP(Request!$B$15,SKU_Family_Map!$A:$B,2,FALSE),""))/MAX(SUMIFS(Quota_Groups!$E:$E,Quota_Groups!$B:$B,$A4,Quota_Groups!$D:$D,IFERROR(VLOOKUP(Request!$B$15,SKU_Family_Map!$A:$B,2,FALSE),"")),1),0))),"CAPACITY","QUOTA"))</f>
        <v/>
      </c>
      <c r="Q4" s="14" t="inlineStr">
        <is>
          <t>Readiness</t>
        </is>
      </c>
      <c r="R4" s="21">
        <f>IFERROR(INDEX($H$4:$H$11,MATCH(1,$N$4:$N$11,0)),"")</f>
        <v/>
      </c>
    </row>
    <row r="5">
      <c r="A5" s="12" t="inlineStr">
        <is>
          <t>Central US</t>
        </is>
      </c>
      <c r="B5" s="16" t="inlineStr">
        <is>
          <t>US</t>
        </is>
      </c>
      <c r="C5" s="16" t="inlineStr">
        <is>
          <t>NonProd</t>
        </is>
      </c>
      <c r="D5" s="16">
        <f>Request!$B$17</f>
        <v/>
      </c>
      <c r="E5" s="16">
        <f>Request!$B$18</f>
        <v/>
      </c>
      <c r="F5" s="16">
        <f>IF(B5=Request!$B$4,1,0)</f>
        <v/>
      </c>
      <c r="G5" s="18">
        <f>IF(Request!$B$17=0,0,MIN(IF(OR(Request!$B$8="",Request!$C$8=""),1,IF(MIN(SUMIFS(Capacity_By_SKU!$K:$K,Capacity_By_SKU!$A:$A,$A5,Capacity_By_SKU!$C:$C,"NonProd",Capacity_By_SKU!$D:$D,Request!$B$8),SUMIFS(Quota_Groups!$G:$G,Quota_Groups!$B:$B,$A5,Quota_Groups!$D:$D,IFERROR(VLOOKUP(Request!$B$8,SKU_Family_Map!$A:$B,2,FALSE),"")))&gt;=Request!$E$8,1,0)),IF(OR(Request!$B$9="",Request!$C$9=""),1,IF(MIN(SUMIFS(Capacity_By_SKU!$K:$K,Capacity_By_SKU!$A:$A,$A5,Capacity_By_SKU!$C:$C,"NonProd",Capacity_By_SKU!$D:$D,Request!$B$9),SUMIFS(Quota_Groups!$G:$G,Quota_Groups!$B:$B,$A5,Quota_Groups!$D:$D,IFERROR(VLOOKUP(Request!$B$9,SKU_Family_Map!$A:$B,2,FALSE),"")))&gt;=Request!$E$9,1,0)),IF(OR(Request!$B$10="",Request!$C$10=""),1,IF(MIN(SUMIFS(Capacity_By_SKU!$K:$K,Capacity_By_SKU!$A:$A,$A5,Capacity_By_SKU!$C:$C,"NonProd",Capacity_By_SKU!$D:$D,Request!$B$10),SUMIFS(Quota_Groups!$G:$G,Quota_Groups!$B:$B,$A5,Quota_Groups!$D:$D,IFERROR(VLOOKUP(Request!$B$10,SKU_Family_Map!$A:$B,2,FALSE),"")))&gt;=Request!$E$10,1,0)),IF(OR(Request!$B$11="",Request!$C$11=""),1,IF(MIN(SUMIFS(Capacity_By_SKU!$K:$K,Capacity_By_SKU!$A:$A,$A5,Capacity_By_SKU!$C:$C,"NonProd",Capacity_By_SKU!$D:$D,Request!$B$11),SUMIFS(Quota_Groups!$G:$G,Quota_Groups!$B:$B,$A5,Quota_Groups!$D:$D,IFERROR(VLOOKUP(Request!$B$11,SKU_Family_Map!$A:$B,2,FALSE),"")))&gt;=Request!$E$11,1,0)),IF(OR(Request!$B$12="",Request!$C$12=""),1,IF(MIN(SUMIFS(Capacity_By_SKU!$K:$K,Capacity_By_SKU!$A:$A,$A5,Capacity_By_SKU!$C:$C,"NonProd",Capacity_By_SKU!$D:$D,Request!$B$12),SUMIFS(Quota_Groups!$G:$G,Quota_Groups!$B:$B,$A5,Quota_Groups!$D:$D,IFERROR(VLOOKUP(Request!$B$12,SKU_Family_Map!$A:$B,2,FALSE),"")))&gt;=Request!$E$12,1,0)),IF(OR(Request!$B$13="",Request!$C$13=""),1,IF(MIN(SUMIFS(Capacity_By_SKU!$K:$K,Capacity_By_SKU!$A:$A,$A5,Capacity_By_SKU!$C:$C,"NonProd",Capacity_By_SKU!$D:$D,Request!$B$13),SUMIFS(Quota_Groups!$G:$G,Quota_Groups!$B:$B,$A5,Quota_Groups!$D:$D,IFERROR(VLOOKUP(Request!$B$13,SKU_Family_Map!$A:$B,2,FALSE),"")))&gt;=Request!$E$13,1,0)),IF(OR(Request!$B$14="",Request!$C$14=""),1,IF(MIN(SUMIFS(Capacity_By_SKU!$K:$K,Capacity_By_SKU!$A:$A,$A5,Capacity_By_SKU!$C:$C,"NonProd",Capacity_By_SKU!$D:$D,Request!$B$14),SUMIFS(Quota_Groups!$G:$G,Quota_Groups!$B:$B,$A5,Quota_Groups!$D:$D,IFERROR(VLOOKUP(Request!$B$14,SKU_Family_Map!$A:$B,2,FALSE),"")))&gt;=Request!$E$14,1,0)),IF(OR(Request!$B$15="",Request!$C$15=""),1,IF(MIN(SUMIFS(Capacity_By_SKU!$K:$K,Capacity_By_SKU!$A:$A,$A5,Capacity_By_SKU!$C:$C,"NonProd",Capacity_By_SKU!$D:$D,Request!$B$15),SUMIFS(Quota_Groups!$G:$G,Quota_Groups!$B:$B,$A5,Quota_Groups!$D:$D,IFERROR(VLOOKUP(Request!$B$15,SKU_Family_Map!$A:$B,2,FALSE),"")))&gt;=Request!$E$15,1,0))))</f>
        <v/>
      </c>
      <c r="H5" s="12">
        <f>IF(Request!$B$17=0,"NO_REQUEST",IF(SUM(IF(AND(Request!$B$8&lt;&gt;"",Request!$C$8&lt;&gt;"",SUMIFS(Capacity_By_SKU!$K:$K,Capacity_By_SKU!$A:$A,$A5,Capacity_By_SKU!$C:$C,"NonProd",Capacity_By_SKU!$D:$D,Request!$B$8)&lt;=0),1,0),IF(AND(Request!$B$9&lt;&gt;"",Request!$C$9&lt;&gt;"",SUMIFS(Capacity_By_SKU!$K:$K,Capacity_By_SKU!$A:$A,$A5,Capacity_By_SKU!$C:$C,"NonProd",Capacity_By_SKU!$D:$D,Request!$B$9)&lt;=0),1,0),IF(AND(Request!$B$10&lt;&gt;"",Request!$C$10&lt;&gt;"",SUMIFS(Capacity_By_SKU!$K:$K,Capacity_By_SKU!$A:$A,$A5,Capacity_By_SKU!$C:$C,"NonProd",Capacity_By_SKU!$D:$D,Request!$B$10)&lt;=0),1,0),IF(AND(Request!$B$11&lt;&gt;"",Request!$C$11&lt;&gt;"",SUMIFS(Capacity_By_SKU!$K:$K,Capacity_By_SKU!$A:$A,$A5,Capacity_By_SKU!$C:$C,"NonProd",Capacity_By_SKU!$D:$D,Request!$B$11)&lt;=0),1,0),IF(AND(Request!$B$12&lt;&gt;"",Request!$C$12&lt;&gt;"",SUMIFS(Capacity_By_SKU!$K:$K,Capacity_By_SKU!$A:$A,$A5,Capacity_By_SKU!$C:$C,"NonProd",Capacity_By_SKU!$D:$D,Request!$B$12)&lt;=0),1,0),IF(AND(Request!$B$13&lt;&gt;"",Request!$C$13&lt;&gt;"",SUMIFS(Capacity_By_SKU!$K:$K,Capacity_By_SKU!$A:$A,$A5,Capacity_By_SKU!$C:$C,"NonProd",Capacity_By_SKU!$D:$D,Request!$B$13)&lt;=0),1,0),IF(AND(Request!$B$14&lt;&gt;"",Request!$C$14&lt;&gt;"",SUMIFS(Capacity_By_SKU!$K:$K,Capacity_By_SKU!$A:$A,$A5,Capacity_By_SKU!$C:$C,"NonProd",Capacity_By_SKU!$D:$D,Request!$B$14)&lt;=0),1,0),IF(AND(Request!$B$15&lt;&gt;"",Request!$C$15&lt;&gt;"",SUMIFS(Capacity_By_SKU!$K:$K,Capacity_By_SKU!$A:$A,$A5,Capacity_By_SKU!$C:$C,"NonProd",Capacity_By_SKU!$D:$D,Request!$B$15)&lt;=0),1,0))&gt;0,"RESERVATION_DEFICIT",IF(SUM(IF(AND(Request!$B$8&lt;&gt;"",Request!$C$8&lt;&gt;"",SUMIFS(Quota_Groups!$G:$G,Quota_Groups!$B:$B,$A5,Quota_Groups!$D:$D,IFERROR(VLOOKUP(Request!$B$8,SKU_Family_Map!$A:$B,2,FALSE),""))&lt;=0),1,0),IF(AND(Request!$B$9&lt;&gt;"",Request!$C$9&lt;&gt;"",SUMIFS(Quota_Groups!$G:$G,Quota_Groups!$B:$B,$A5,Quota_Groups!$D:$D,IFERROR(VLOOKUP(Request!$B$9,SKU_Family_Map!$A:$B,2,FALSE),""))&lt;=0),1,0),IF(AND(Request!$B$10&lt;&gt;"",Request!$C$10&lt;&gt;"",SUMIFS(Quota_Groups!$G:$G,Quota_Groups!$B:$B,$A5,Quota_Groups!$D:$D,IFERROR(VLOOKUP(Request!$B$10,SKU_Family_Map!$A:$B,2,FALSE),""))&lt;=0),1,0),IF(AND(Request!$B$11&lt;&gt;"",Request!$C$11&lt;&gt;"",SUMIFS(Quota_Groups!$G:$G,Quota_Groups!$B:$B,$A5,Quota_Groups!$D:$D,IFERROR(VLOOKUP(Request!$B$11,SKU_Family_Map!$A:$B,2,FALSE),""))&lt;=0),1,0),IF(AND(Request!$B$12&lt;&gt;"",Request!$C$12&lt;&gt;"",SUMIFS(Quota_Groups!$G:$G,Quota_Groups!$B:$B,$A5,Quota_Groups!$D:$D,IFERROR(VLOOKUP(Request!$B$12,SKU_Family_Map!$A:$B,2,FALSE),""))&lt;=0),1,0),IF(AND(Request!$B$13&lt;&gt;"",Request!$C$13&lt;&gt;"",SUMIFS(Quota_Groups!$G:$G,Quota_Groups!$B:$B,$A5,Quota_Groups!$D:$D,IFERROR(VLOOKUP(Request!$B$13,SKU_Family_Map!$A:$B,2,FALSE),""))&lt;=0),1,0),IF(AND(Request!$B$14&lt;&gt;"",Request!$C$14&lt;&gt;"",SUMIFS(Quota_Groups!$G:$G,Quota_Groups!$B:$B,$A5,Quota_Groups!$D:$D,IFERROR(VLOOKUP(Request!$B$14,SKU_Family_Map!$A:$B,2,FALSE),""))&lt;=0),1,0),IF(AND(Request!$B$15&lt;&gt;"",Request!$C$15&lt;&gt;"",SUMIFS(Quota_Groups!$G:$G,Quota_Groups!$B:$B,$A5,Quota_Groups!$D:$D,IFERROR(VLOOKUP(Request!$B$15,SKU_Family_Map!$A:$B,2,FALSE),""))&lt;=0),1,0))&gt;0,"QUOTA_DEFICIT",IF(G5=0,"CAPACITY_DEFICIT",IF(MIN(IF(OR(Request!$B$8="",Request!$C$8=""),1,IFERROR(1-Request!$E$8/MIN(SUMIFS(Capacity_By_SKU!$K:$K,Capacity_By_SKU!$A:$A,$A5,Capacity_By_SKU!$C:$C,"NonProd",Capacity_By_SKU!$D:$D,Request!$B$8),SUMIFS(Quota_Groups!$G:$G,Quota_Groups!$B:$B,$A5,Quota_Groups!$D:$D,IFERROR(VLOOKUP(Request!$B$8,SKU_Family_Map!$A:$B,2,FALSE),""))),0)),IF(OR(Request!$B$9="",Request!$C$9=""),1,IFERROR(1-Request!$E$9/MIN(SUMIFS(Capacity_By_SKU!$K:$K,Capacity_By_SKU!$A:$A,$A5,Capacity_By_SKU!$C:$C,"NonProd",Capacity_By_SKU!$D:$D,Request!$B$9),SUMIFS(Quota_Groups!$G:$G,Quota_Groups!$B:$B,$A5,Quota_Groups!$D:$D,IFERROR(VLOOKUP(Request!$B$9,SKU_Family_Map!$A:$B,2,FALSE),""))),0)),IF(OR(Request!$B$10="",Request!$C$10=""),1,IFERROR(1-Request!$E$10/MIN(SUMIFS(Capacity_By_SKU!$K:$K,Capacity_By_SKU!$A:$A,$A5,Capacity_By_SKU!$C:$C,"NonProd",Capacity_By_SKU!$D:$D,Request!$B$10),SUMIFS(Quota_Groups!$G:$G,Quota_Groups!$B:$B,$A5,Quota_Groups!$D:$D,IFERROR(VLOOKUP(Request!$B$10,SKU_Family_Map!$A:$B,2,FALSE),""))),0)),IF(OR(Request!$B$11="",Request!$C$11=""),1,IFERROR(1-Request!$E$11/MIN(SUMIFS(Capacity_By_SKU!$K:$K,Capacity_By_SKU!$A:$A,$A5,Capacity_By_SKU!$C:$C,"NonProd",Capacity_By_SKU!$D:$D,Request!$B$11),SUMIFS(Quota_Groups!$G:$G,Quota_Groups!$B:$B,$A5,Quota_Groups!$D:$D,IFERROR(VLOOKUP(Request!$B$11,SKU_Family_Map!$A:$B,2,FALSE),""))),0)),IF(OR(Request!$B$12="",Request!$C$12=""),1,IFERROR(1-Request!$E$12/MIN(SUMIFS(Capacity_By_SKU!$K:$K,Capacity_By_SKU!$A:$A,$A5,Capacity_By_SKU!$C:$C,"NonProd",Capacity_By_SKU!$D:$D,Request!$B$12),SUMIFS(Quota_Groups!$G:$G,Quota_Groups!$B:$B,$A5,Quota_Groups!$D:$D,IFERROR(VLOOKUP(Request!$B$12,SKU_Family_Map!$A:$B,2,FALSE),""))),0)),IF(OR(Request!$B$13="",Request!$C$13=""),1,IFERROR(1-Request!$E$13/MIN(SUMIFS(Capacity_By_SKU!$K:$K,Capacity_By_SKU!$A:$A,$A5,Capacity_By_SKU!$C:$C,"NonProd",Capacity_By_SKU!$D:$D,Request!$B$13),SUMIFS(Quota_Groups!$G:$G,Quota_Groups!$B:$B,$A5,Quota_Groups!$D:$D,IFERROR(VLOOKUP(Request!$B$13,SKU_Family_Map!$A:$B,2,FALSE),""))),0)),IF(OR(Request!$B$14="",Request!$C$14=""),1,IFERROR(1-Request!$E$14/MIN(SUMIFS(Capacity_By_SKU!$K:$K,Capacity_By_SKU!$A:$A,$A5,Capacity_By_SKU!$C:$C,"NonProd",Capacity_By_SKU!$D:$D,Request!$B$14),SUMIFS(Quota_Groups!$G:$G,Quota_Groups!$B:$B,$A5,Quota_Groups!$D:$D,IFERROR(VLOOKUP(Request!$B$14,SKU_Family_Map!$A:$B,2,FALSE),""))),0)),IF(OR(Request!$B$15="",Request!$C$15=""),1,IFERROR(1-Request!$E$15/MIN(SUMIFS(Capacity_By_SKU!$K:$K,Capacity_By_SKU!$A:$A,$A5,Capacity_By_SKU!$C:$C,"NonProd",Capacity_By_SKU!$D:$D,Request!$B$15),SUMIFS(Quota_Groups!$G:$G,Quota_Groups!$B:$B,$A5,Quota_Groups!$D:$D,IFERROR(VLOOKUP(Request!$B$15,SKU_Family_Map!$A:$B,2,FALSE),""))),0)))&lt;Policy!$B$10,"READY_WITH_RISK","READY")))))</f>
        <v/>
      </c>
      <c r="I5" s="16">
        <f>IF(AND(F5=1,G5=1,OR(H5="READY",H5="READY_WITH_RISK")),1,0)</f>
        <v/>
      </c>
      <c r="J5" s="16">
        <f>IF(I5=1,MAX(0,MIN(IF(OR(Request!$B$8="",Request!$C$8=""),1,IFERROR(1-Request!$E$8/MIN(SUMIFS(Capacity_By_SKU!$K:$K,Capacity_By_SKU!$A:$A,$A5,Capacity_By_SKU!$C:$C,"NonProd",Capacity_By_SKU!$D:$D,Request!$B$8),SUMIFS(Quota_Groups!$G:$G,Quota_Groups!$B:$B,$A5,Quota_Groups!$D:$D,IFERROR(VLOOKUP(Request!$B$8,SKU_Family_Map!$A:$B,2,FALSE),""))),0)),IF(OR(Request!$B$9="",Request!$C$9=""),1,IFERROR(1-Request!$E$9/MIN(SUMIFS(Capacity_By_SKU!$K:$K,Capacity_By_SKU!$A:$A,$A5,Capacity_By_SKU!$C:$C,"NonProd",Capacity_By_SKU!$D:$D,Request!$B$9),SUMIFS(Quota_Groups!$G:$G,Quota_Groups!$B:$B,$A5,Quota_Groups!$D:$D,IFERROR(VLOOKUP(Request!$B$9,SKU_Family_Map!$A:$B,2,FALSE),""))),0)),IF(OR(Request!$B$10="",Request!$C$10=""),1,IFERROR(1-Request!$E$10/MIN(SUMIFS(Capacity_By_SKU!$K:$K,Capacity_By_SKU!$A:$A,$A5,Capacity_By_SKU!$C:$C,"NonProd",Capacity_By_SKU!$D:$D,Request!$B$10),SUMIFS(Quota_Groups!$G:$G,Quota_Groups!$B:$B,$A5,Quota_Groups!$D:$D,IFERROR(VLOOKUP(Request!$B$10,SKU_Family_Map!$A:$B,2,FALSE),""))),0)),IF(OR(Request!$B$11="",Request!$C$11=""),1,IFERROR(1-Request!$E$11/MIN(SUMIFS(Capacity_By_SKU!$K:$K,Capacity_By_SKU!$A:$A,$A5,Capacity_By_SKU!$C:$C,"NonProd",Capacity_By_SKU!$D:$D,Request!$B$11),SUMIFS(Quota_Groups!$G:$G,Quota_Groups!$B:$B,$A5,Quota_Groups!$D:$D,IFERROR(VLOOKUP(Request!$B$11,SKU_Family_Map!$A:$B,2,FALSE),""))),0)),IF(OR(Request!$B$12="",Request!$C$12=""),1,IFERROR(1-Request!$E$12/MIN(SUMIFS(Capacity_By_SKU!$K:$K,Capacity_By_SKU!$A:$A,$A5,Capacity_By_SKU!$C:$C,"NonProd",Capacity_By_SKU!$D:$D,Request!$B$12),SUMIFS(Quota_Groups!$G:$G,Quota_Groups!$B:$B,$A5,Quota_Groups!$D:$D,IFERROR(VLOOKUP(Request!$B$12,SKU_Family_Map!$A:$B,2,FALSE),""))),0)),IF(OR(Request!$B$13="",Request!$C$13=""),1,IFERROR(1-Request!$E$13/MIN(SUMIFS(Capacity_By_SKU!$K:$K,Capacity_By_SKU!$A:$A,$A5,Capacity_By_SKU!$C:$C,"NonProd",Capacity_By_SKU!$D:$D,Request!$B$13),SUMIFS(Quota_Groups!$G:$G,Quota_Groups!$B:$B,$A5,Quota_Groups!$D:$D,IFERROR(VLOOKUP(Request!$B$13,SKU_Family_Map!$A:$B,2,FALSE),""))),0)),IF(OR(Request!$B$14="",Request!$C$14=""),1,IFERROR(1-Request!$E$14/MIN(SUMIFS(Capacity_By_SKU!$K:$K,Capacity_By_SKU!$A:$A,$A5,Capacity_By_SKU!$C:$C,"NonProd",Capacity_By_SKU!$D:$D,Request!$B$14),SUMIFS(Quota_Groups!$G:$G,Quota_Groups!$B:$B,$A5,Quota_Groups!$D:$D,IFERROR(VLOOKUP(Request!$B$14,SKU_Family_Map!$A:$B,2,FALSE),""))),0)),IF(OR(Request!$B$15="",Request!$C$15=""),1,IFERROR(1-Request!$E$15/MIN(SUMIFS(Capacity_By_SKU!$K:$K,Capacity_By_SKU!$A:$A,$A5,Capacity_By_SKU!$C:$C,"NonProd",Capacity_By_SKU!$D:$D,Request!$B$15),SUMIFS(Quota_Groups!$G:$G,Quota_Groups!$B:$B,$A5,Quota_Groups!$D:$D,IFERROR(VLOOKUP(Request!$B$15,SKU_Family_Map!$A:$B,2,FALSE),""))),0)))),0)</f>
        <v/>
      </c>
      <c r="K5" s="16">
        <f>IF(I5=1,MAX(0,MIN(IF(OR(Request!$B$8="",Request!$C$8=""),1,IFERROR(SUMIFS(Quota_Groups!$G:$G,Quota_Groups!$B:$B,$A5,Quota_Groups!$D:$D,IFERROR(VLOOKUP(Request!$B$8,SKU_Family_Map!$A:$B,2,FALSE),""))/MAX(SUMIFS(Quota_Groups!$E:$E,Quota_Groups!$B:$B,$A5,Quota_Groups!$D:$D,IFERROR(VLOOKUP(Request!$B$8,SKU_Family_Map!$A:$B,2,FALSE),"")),1),0)),IF(OR(Request!$B$9="",Request!$C$9=""),1,IFERROR(SUMIFS(Quota_Groups!$G:$G,Quota_Groups!$B:$B,$A5,Quota_Groups!$D:$D,IFERROR(VLOOKUP(Request!$B$9,SKU_Family_Map!$A:$B,2,FALSE),""))/MAX(SUMIFS(Quota_Groups!$E:$E,Quota_Groups!$B:$B,$A5,Quota_Groups!$D:$D,IFERROR(VLOOKUP(Request!$B$9,SKU_Family_Map!$A:$B,2,FALSE),"")),1),0)),IF(OR(Request!$B$10="",Request!$C$10=""),1,IFERROR(SUMIFS(Quota_Groups!$G:$G,Quota_Groups!$B:$B,$A5,Quota_Groups!$D:$D,IFERROR(VLOOKUP(Request!$B$10,SKU_Family_Map!$A:$B,2,FALSE),""))/MAX(SUMIFS(Quota_Groups!$E:$E,Quota_Groups!$B:$B,$A5,Quota_Groups!$D:$D,IFERROR(VLOOKUP(Request!$B$10,SKU_Family_Map!$A:$B,2,FALSE),"")),1),0)),IF(OR(Request!$B$11="",Request!$C$11=""),1,IFERROR(SUMIFS(Quota_Groups!$G:$G,Quota_Groups!$B:$B,$A5,Quota_Groups!$D:$D,IFERROR(VLOOKUP(Request!$B$11,SKU_Family_Map!$A:$B,2,FALSE),""))/MAX(SUMIFS(Quota_Groups!$E:$E,Quota_Groups!$B:$B,$A5,Quota_Groups!$D:$D,IFERROR(VLOOKUP(Request!$B$11,SKU_Family_Map!$A:$B,2,FALSE),"")),1),0)),IF(OR(Request!$B$12="",Request!$C$12=""),1,IFERROR(SUMIFS(Quota_Groups!$G:$G,Quota_Groups!$B:$B,$A5,Quota_Groups!$D:$D,IFERROR(VLOOKUP(Request!$B$12,SKU_Family_Map!$A:$B,2,FALSE),""))/MAX(SUMIFS(Quota_Groups!$E:$E,Quota_Groups!$B:$B,$A5,Quota_Groups!$D:$D,IFERROR(VLOOKUP(Request!$B$12,SKU_Family_Map!$A:$B,2,FALSE),"")),1),0)),IF(OR(Request!$B$13="",Request!$C$13=""),1,IFERROR(SUMIFS(Quota_Groups!$G:$G,Quota_Groups!$B:$B,$A5,Quota_Groups!$D:$D,IFERROR(VLOOKUP(Request!$B$13,SKU_Family_Map!$A:$B,2,FALSE),""))/MAX(SUMIFS(Quota_Groups!$E:$E,Quota_Groups!$B:$B,$A5,Quota_Groups!$D:$D,IFERROR(VLOOKUP(Request!$B$13,SKU_Family_Map!$A:$B,2,FALSE),"")),1),0)),IF(OR(Request!$B$14="",Request!$C$14=""),1,IFERROR(SUMIFS(Quota_Groups!$G:$G,Quota_Groups!$B:$B,$A5,Quota_Groups!$D:$D,IFERROR(VLOOKUP(Request!$B$14,SKU_Family_Map!$A:$B,2,FALSE),""))/MAX(SUMIFS(Quota_Groups!$E:$E,Quota_Groups!$B:$B,$A5,Quota_Groups!$D:$D,IFERROR(VLOOKUP(Request!$B$14,SKU_Family_Map!$A:$B,2,FALSE),"")),1),0)),IF(OR(Request!$B$15="",Request!$C$15=""),1,IFERROR(SUMIFS(Quota_Groups!$G:$G,Quota_Groups!$B:$B,$A5,Quota_Groups!$D:$D,IFERROR(VLOOKUP(Request!$B$15,SKU_Family_Map!$A:$B,2,FALSE),""))/MAX(SUMIFS(Quota_Groups!$E:$E,Quota_Groups!$B:$B,$A5,Quota_Groups!$D:$D,IFERROR(VLOOKUP(Request!$B$15,SKU_Family_Map!$A:$B,2,FALSE),"")),1),0)))),0)</f>
        <v/>
      </c>
      <c r="L5" s="16">
        <f>IF(I5=1,MAX(0,MIN(IF(OR(Request!$B$8="",Request!$C$8=""),1,IFERROR(SUMIFS(Capacity_By_SKU!$K:$K,Capacity_By_SKU!$A:$A,$A5,Capacity_By_SKU!$C:$C,"NonProd",Capacity_By_SKU!$D:$D,Request!$B$8)/MAX(SUMIFS(Capacity_By_SKU!$J:$J,Capacity_By_SKU!$A:$A,$A5,Capacity_By_SKU!$C:$C,"NonProd",Capacity_By_SKU!$D:$D,Request!$B$8),1),0)),IF(OR(Request!$B$9="",Request!$C$9=""),1,IFERROR(SUMIFS(Capacity_By_SKU!$K:$K,Capacity_By_SKU!$A:$A,$A5,Capacity_By_SKU!$C:$C,"NonProd",Capacity_By_SKU!$D:$D,Request!$B$9)/MAX(SUMIFS(Capacity_By_SKU!$J:$J,Capacity_By_SKU!$A:$A,$A5,Capacity_By_SKU!$C:$C,"NonProd",Capacity_By_SKU!$D:$D,Request!$B$9),1),0)),IF(OR(Request!$B$10="",Request!$C$10=""),1,IFERROR(SUMIFS(Capacity_By_SKU!$K:$K,Capacity_By_SKU!$A:$A,$A5,Capacity_By_SKU!$C:$C,"NonProd",Capacity_By_SKU!$D:$D,Request!$B$10)/MAX(SUMIFS(Capacity_By_SKU!$J:$J,Capacity_By_SKU!$A:$A,$A5,Capacity_By_SKU!$C:$C,"NonProd",Capacity_By_SKU!$D:$D,Request!$B$10),1),0)),IF(OR(Request!$B$11="",Request!$C$11=""),1,IFERROR(SUMIFS(Capacity_By_SKU!$K:$K,Capacity_By_SKU!$A:$A,$A5,Capacity_By_SKU!$C:$C,"NonProd",Capacity_By_SKU!$D:$D,Request!$B$11)/MAX(SUMIFS(Capacity_By_SKU!$J:$J,Capacity_By_SKU!$A:$A,$A5,Capacity_By_SKU!$C:$C,"NonProd",Capacity_By_SKU!$D:$D,Request!$B$11),1),0)),IF(OR(Request!$B$12="",Request!$C$12=""),1,IFERROR(SUMIFS(Capacity_By_SKU!$K:$K,Capacity_By_SKU!$A:$A,$A5,Capacity_By_SKU!$C:$C,"NonProd",Capacity_By_SKU!$D:$D,Request!$B$12)/MAX(SUMIFS(Capacity_By_SKU!$J:$J,Capacity_By_SKU!$A:$A,$A5,Capacity_By_SKU!$C:$C,"NonProd",Capacity_By_SKU!$D:$D,Request!$B$12),1),0)),IF(OR(Request!$B$13="",Request!$C$13=""),1,IFERROR(SUMIFS(Capacity_By_SKU!$K:$K,Capacity_By_SKU!$A:$A,$A5,Capacity_By_SKU!$C:$C,"NonProd",Capacity_By_SKU!$D:$D,Request!$B$13)/MAX(SUMIFS(Capacity_By_SKU!$J:$J,Capacity_By_SKU!$A:$A,$A5,Capacity_By_SKU!$C:$C,"NonProd",Capacity_By_SKU!$D:$D,Request!$B$13),1),0)),IF(OR(Request!$B$14="",Request!$C$14=""),1,IFERROR(SUMIFS(Capacity_By_SKU!$K:$K,Capacity_By_SKU!$A:$A,$A5,Capacity_By_SKU!$C:$C,"NonProd",Capacity_By_SKU!$D:$D,Request!$B$14)/MAX(SUMIFS(Capacity_By_SKU!$J:$J,Capacity_By_SKU!$A:$A,$A5,Capacity_By_SKU!$C:$C,"NonProd",Capacity_By_SKU!$D:$D,Request!$B$14),1),0)),IF(OR(Request!$B$15="",Request!$C$15=""),1,IFERROR(SUMIFS(Capacity_By_SKU!$K:$K,Capacity_By_SKU!$A:$A,$A5,Capacity_By_SKU!$C:$C,"NonProd",Capacity_By_SKU!$D:$D,Request!$B$15)/MAX(SUMIFS(Capacity_By_SKU!$J:$J,Capacity_By_SKU!$A:$A,$A5,Capacity_By_SKU!$C:$C,"NonProd",Capacity_By_SKU!$D:$D,Request!$B$15),1),0)))),0)</f>
        <v/>
      </c>
      <c r="M5" s="22">
        <f>IF(I5=1,ROUND(Policy!$B$4*J5+Policy!$B$5*K5+Policy!$B$6*L5,4),"")</f>
        <v/>
      </c>
      <c r="N5" s="16">
        <f>IF(I5=1,SUMPRODUCT(($I$4:$I$11=1)*($M$4:$M$11&gt;M5))+1,"")</f>
        <v/>
      </c>
      <c r="O5" s="16">
        <f>IF(I5=0,"N/A",IF(MIN(IF(OR(Request!$B$8="",Request!$C$8=""),1,IFERROR(SUMIFS(Capacity_By_SKU!$K:$K,Capacity_By_SKU!$A:$A,$A5,Capacity_By_SKU!$C:$C,"NonProd",Capacity_By_SKU!$D:$D,Request!$B$8)/MAX(SUMIFS(Capacity_By_SKU!$J:$J,Capacity_By_SKU!$A:$A,$A5,Capacity_By_SKU!$C:$C,"NonProd",Capacity_By_SKU!$D:$D,Request!$B$8),1),0)),IF(OR(Request!$B$9="",Request!$C$9=""),1,IFERROR(SUMIFS(Capacity_By_SKU!$K:$K,Capacity_By_SKU!$A:$A,$A5,Capacity_By_SKU!$C:$C,"NonProd",Capacity_By_SKU!$D:$D,Request!$B$9)/MAX(SUMIFS(Capacity_By_SKU!$J:$J,Capacity_By_SKU!$A:$A,$A5,Capacity_By_SKU!$C:$C,"NonProd",Capacity_By_SKU!$D:$D,Request!$B$9),1),0)),IF(OR(Request!$B$10="",Request!$C$10=""),1,IFERROR(SUMIFS(Capacity_By_SKU!$K:$K,Capacity_By_SKU!$A:$A,$A5,Capacity_By_SKU!$C:$C,"NonProd",Capacity_By_SKU!$D:$D,Request!$B$10)/MAX(SUMIFS(Capacity_By_SKU!$J:$J,Capacity_By_SKU!$A:$A,$A5,Capacity_By_SKU!$C:$C,"NonProd",Capacity_By_SKU!$D:$D,Request!$B$10),1),0)),IF(OR(Request!$B$11="",Request!$C$11=""),1,IFERROR(SUMIFS(Capacity_By_SKU!$K:$K,Capacity_By_SKU!$A:$A,$A5,Capacity_By_SKU!$C:$C,"NonProd",Capacity_By_SKU!$D:$D,Request!$B$11)/MAX(SUMIFS(Capacity_By_SKU!$J:$J,Capacity_By_SKU!$A:$A,$A5,Capacity_By_SKU!$C:$C,"NonProd",Capacity_By_SKU!$D:$D,Request!$B$11),1),0)),IF(OR(Request!$B$12="",Request!$C$12=""),1,IFERROR(SUMIFS(Capacity_By_SKU!$K:$K,Capacity_By_SKU!$A:$A,$A5,Capacity_By_SKU!$C:$C,"NonProd",Capacity_By_SKU!$D:$D,Request!$B$12)/MAX(SUMIFS(Capacity_By_SKU!$J:$J,Capacity_By_SKU!$A:$A,$A5,Capacity_By_SKU!$C:$C,"NonProd",Capacity_By_SKU!$D:$D,Request!$B$12),1),0)),IF(OR(Request!$B$13="",Request!$C$13=""),1,IFERROR(SUMIFS(Capacity_By_SKU!$K:$K,Capacity_By_SKU!$A:$A,$A5,Capacity_By_SKU!$C:$C,"NonProd",Capacity_By_SKU!$D:$D,Request!$B$13)/MAX(SUMIFS(Capacity_By_SKU!$J:$J,Capacity_By_SKU!$A:$A,$A5,Capacity_By_SKU!$C:$C,"NonProd",Capacity_By_SKU!$D:$D,Request!$B$13),1),0)),IF(OR(Request!$B$14="",Request!$C$14=""),1,IFERROR(SUMIFS(Capacity_By_SKU!$K:$K,Capacity_By_SKU!$A:$A,$A5,Capacity_By_SKU!$C:$C,"NonProd",Capacity_By_SKU!$D:$D,Request!$B$14)/MAX(SUMIFS(Capacity_By_SKU!$J:$J,Capacity_By_SKU!$A:$A,$A5,Capacity_By_SKU!$C:$C,"NonProd",Capacity_By_SKU!$D:$D,Request!$B$14),1),0)),IF(OR(Request!$B$15="",Request!$C$15=""),1,IFERROR(SUMIFS(Capacity_By_SKU!$K:$K,Capacity_By_SKU!$A:$A,$A5,Capacity_By_SKU!$C:$C,"NonProd",Capacity_By_SKU!$D:$D,Request!$B$15)/MAX(SUMIFS(Capacity_By_SKU!$J:$J,Capacity_By_SKU!$A:$A,$A5,Capacity_By_SKU!$C:$C,"NonProd",Capacity_By_SKU!$D:$D,Request!$B$15),1),0)))&lt;=MIN(IF(OR(Request!$B$8="",Request!$C$8=""),1,IFERROR(SUMIFS(Quota_Groups!$G:$G,Quota_Groups!$B:$B,$A5,Quota_Groups!$D:$D,IFERROR(VLOOKUP(Request!$B$8,SKU_Family_Map!$A:$B,2,FALSE),""))/MAX(SUMIFS(Quota_Groups!$E:$E,Quota_Groups!$B:$B,$A5,Quota_Groups!$D:$D,IFERROR(VLOOKUP(Request!$B$8,SKU_Family_Map!$A:$B,2,FALSE),"")),1),0)),IF(OR(Request!$B$9="",Request!$C$9=""),1,IFERROR(SUMIFS(Quota_Groups!$G:$G,Quota_Groups!$B:$B,$A5,Quota_Groups!$D:$D,IFERROR(VLOOKUP(Request!$B$9,SKU_Family_Map!$A:$B,2,FALSE),""))/MAX(SUMIFS(Quota_Groups!$E:$E,Quota_Groups!$B:$B,$A5,Quota_Groups!$D:$D,IFERROR(VLOOKUP(Request!$B$9,SKU_Family_Map!$A:$B,2,FALSE),"")),1),0)),IF(OR(Request!$B$10="",Request!$C$10=""),1,IFERROR(SUMIFS(Quota_Groups!$G:$G,Quota_Groups!$B:$B,$A5,Quota_Groups!$D:$D,IFERROR(VLOOKUP(Request!$B$10,SKU_Family_Map!$A:$B,2,FALSE),""))/MAX(SUMIFS(Quota_Groups!$E:$E,Quota_Groups!$B:$B,$A5,Quota_Groups!$D:$D,IFERROR(VLOOKUP(Request!$B$10,SKU_Family_Map!$A:$B,2,FALSE),"")),1),0)),IF(OR(Request!$B$11="",Request!$C$11=""),1,IFERROR(SUMIFS(Quota_Groups!$G:$G,Quota_Groups!$B:$B,$A5,Quota_Groups!$D:$D,IFERROR(VLOOKUP(Request!$B$11,SKU_Family_Map!$A:$B,2,FALSE),""))/MAX(SUMIFS(Quota_Groups!$E:$E,Quota_Groups!$B:$B,$A5,Quota_Groups!$D:$D,IFERROR(VLOOKUP(Request!$B$11,SKU_Family_Map!$A:$B,2,FALSE),"")),1),0)),IF(OR(Request!$B$12="",Request!$C$12=""),1,IFERROR(SUMIFS(Quota_Groups!$G:$G,Quota_Groups!$B:$B,$A5,Quota_Groups!$D:$D,IFERROR(VLOOKUP(Request!$B$12,SKU_Family_Map!$A:$B,2,FALSE),""))/MAX(SUMIFS(Quota_Groups!$E:$E,Quota_Groups!$B:$B,$A5,Quota_Groups!$D:$D,IFERROR(VLOOKUP(Request!$B$12,SKU_Family_Map!$A:$B,2,FALSE),"")),1),0)),IF(OR(Request!$B$13="",Request!$C$13=""),1,IFERROR(SUMIFS(Quota_Groups!$G:$G,Quota_Groups!$B:$B,$A5,Quota_Groups!$D:$D,IFERROR(VLOOKUP(Request!$B$13,SKU_Family_Map!$A:$B,2,FALSE),""))/MAX(SUMIFS(Quota_Groups!$E:$E,Quota_Groups!$B:$B,$A5,Quota_Groups!$D:$D,IFERROR(VLOOKUP(Request!$B$13,SKU_Family_Map!$A:$B,2,FALSE),"")),1),0)),IF(OR(Request!$B$14="",Request!$C$14=""),1,IFERROR(SUMIFS(Quota_Groups!$G:$G,Quota_Groups!$B:$B,$A5,Quota_Groups!$D:$D,IFERROR(VLOOKUP(Request!$B$14,SKU_Family_Map!$A:$B,2,FALSE),""))/MAX(SUMIFS(Quota_Groups!$E:$E,Quota_Groups!$B:$B,$A5,Quota_Groups!$D:$D,IFERROR(VLOOKUP(Request!$B$14,SKU_Family_Map!$A:$B,2,FALSE),"")),1),0)),IF(OR(Request!$B$15="",Request!$C$15=""),1,IFERROR(SUMIFS(Quota_Groups!$G:$G,Quota_Groups!$B:$B,$A5,Quota_Groups!$D:$D,IFERROR(VLOOKUP(Request!$B$15,SKU_Family_Map!$A:$B,2,FALSE),""))/MAX(SUMIFS(Quota_Groups!$E:$E,Quota_Groups!$B:$B,$A5,Quota_Groups!$D:$D,IFERROR(VLOOKUP(Request!$B$15,SKU_Family_Map!$A:$B,2,FALSE),"")),1),0))),"CAPACITY","QUOTA"))</f>
        <v/>
      </c>
    </row>
    <row r="6">
      <c r="A6" s="12" t="inlineStr">
        <is>
          <t>Canada Central</t>
        </is>
      </c>
      <c r="B6" s="16" t="inlineStr">
        <is>
          <t>US</t>
        </is>
      </c>
      <c r="C6" s="16" t="inlineStr">
        <is>
          <t>NonProd</t>
        </is>
      </c>
      <c r="D6" s="16">
        <f>Request!$B$17</f>
        <v/>
      </c>
      <c r="E6" s="16">
        <f>Request!$B$18</f>
        <v/>
      </c>
      <c r="F6" s="16">
        <f>IF(B6=Request!$B$4,1,0)</f>
        <v/>
      </c>
      <c r="G6" s="18">
        <f>IF(Request!$B$17=0,0,MIN(IF(OR(Request!$B$8="",Request!$C$8=""),1,IF(MIN(SUMIFS(Capacity_By_SKU!$K:$K,Capacity_By_SKU!$A:$A,$A6,Capacity_By_SKU!$C:$C,"NonProd",Capacity_By_SKU!$D:$D,Request!$B$8),SUMIFS(Quota_Groups!$G:$G,Quota_Groups!$B:$B,$A6,Quota_Groups!$D:$D,IFERROR(VLOOKUP(Request!$B$8,SKU_Family_Map!$A:$B,2,FALSE),"")))&gt;=Request!$E$8,1,0)),IF(OR(Request!$B$9="",Request!$C$9=""),1,IF(MIN(SUMIFS(Capacity_By_SKU!$K:$K,Capacity_By_SKU!$A:$A,$A6,Capacity_By_SKU!$C:$C,"NonProd",Capacity_By_SKU!$D:$D,Request!$B$9),SUMIFS(Quota_Groups!$G:$G,Quota_Groups!$B:$B,$A6,Quota_Groups!$D:$D,IFERROR(VLOOKUP(Request!$B$9,SKU_Family_Map!$A:$B,2,FALSE),"")))&gt;=Request!$E$9,1,0)),IF(OR(Request!$B$10="",Request!$C$10=""),1,IF(MIN(SUMIFS(Capacity_By_SKU!$K:$K,Capacity_By_SKU!$A:$A,$A6,Capacity_By_SKU!$C:$C,"NonProd",Capacity_By_SKU!$D:$D,Request!$B$10),SUMIFS(Quota_Groups!$G:$G,Quota_Groups!$B:$B,$A6,Quota_Groups!$D:$D,IFERROR(VLOOKUP(Request!$B$10,SKU_Family_Map!$A:$B,2,FALSE),"")))&gt;=Request!$E$10,1,0)),IF(OR(Request!$B$11="",Request!$C$11=""),1,IF(MIN(SUMIFS(Capacity_By_SKU!$K:$K,Capacity_By_SKU!$A:$A,$A6,Capacity_By_SKU!$C:$C,"NonProd",Capacity_By_SKU!$D:$D,Request!$B$11),SUMIFS(Quota_Groups!$G:$G,Quota_Groups!$B:$B,$A6,Quota_Groups!$D:$D,IFERROR(VLOOKUP(Request!$B$11,SKU_Family_Map!$A:$B,2,FALSE),"")))&gt;=Request!$E$11,1,0)),IF(OR(Request!$B$12="",Request!$C$12=""),1,IF(MIN(SUMIFS(Capacity_By_SKU!$K:$K,Capacity_By_SKU!$A:$A,$A6,Capacity_By_SKU!$C:$C,"NonProd",Capacity_By_SKU!$D:$D,Request!$B$12),SUMIFS(Quota_Groups!$G:$G,Quota_Groups!$B:$B,$A6,Quota_Groups!$D:$D,IFERROR(VLOOKUP(Request!$B$12,SKU_Family_Map!$A:$B,2,FALSE),"")))&gt;=Request!$E$12,1,0)),IF(OR(Request!$B$13="",Request!$C$13=""),1,IF(MIN(SUMIFS(Capacity_By_SKU!$K:$K,Capacity_By_SKU!$A:$A,$A6,Capacity_By_SKU!$C:$C,"NonProd",Capacity_By_SKU!$D:$D,Request!$B$13),SUMIFS(Quota_Groups!$G:$G,Quota_Groups!$B:$B,$A6,Quota_Groups!$D:$D,IFERROR(VLOOKUP(Request!$B$13,SKU_Family_Map!$A:$B,2,FALSE),"")))&gt;=Request!$E$13,1,0)),IF(OR(Request!$B$14="",Request!$C$14=""),1,IF(MIN(SUMIFS(Capacity_By_SKU!$K:$K,Capacity_By_SKU!$A:$A,$A6,Capacity_By_SKU!$C:$C,"NonProd",Capacity_By_SKU!$D:$D,Request!$B$14),SUMIFS(Quota_Groups!$G:$G,Quota_Groups!$B:$B,$A6,Quota_Groups!$D:$D,IFERROR(VLOOKUP(Request!$B$14,SKU_Family_Map!$A:$B,2,FALSE),"")))&gt;=Request!$E$14,1,0)),IF(OR(Request!$B$15="",Request!$C$15=""),1,IF(MIN(SUMIFS(Capacity_By_SKU!$K:$K,Capacity_By_SKU!$A:$A,$A6,Capacity_By_SKU!$C:$C,"NonProd",Capacity_By_SKU!$D:$D,Request!$B$15),SUMIFS(Quota_Groups!$G:$G,Quota_Groups!$B:$B,$A6,Quota_Groups!$D:$D,IFERROR(VLOOKUP(Request!$B$15,SKU_Family_Map!$A:$B,2,FALSE),"")))&gt;=Request!$E$15,1,0))))</f>
        <v/>
      </c>
      <c r="H6" s="12">
        <f>IF(Request!$B$17=0,"NO_REQUEST",IF(SUM(IF(AND(Request!$B$8&lt;&gt;"",Request!$C$8&lt;&gt;"",SUMIFS(Capacity_By_SKU!$K:$K,Capacity_By_SKU!$A:$A,$A6,Capacity_By_SKU!$C:$C,"NonProd",Capacity_By_SKU!$D:$D,Request!$B$8)&lt;=0),1,0),IF(AND(Request!$B$9&lt;&gt;"",Request!$C$9&lt;&gt;"",SUMIFS(Capacity_By_SKU!$K:$K,Capacity_By_SKU!$A:$A,$A6,Capacity_By_SKU!$C:$C,"NonProd",Capacity_By_SKU!$D:$D,Request!$B$9)&lt;=0),1,0),IF(AND(Request!$B$10&lt;&gt;"",Request!$C$10&lt;&gt;"",SUMIFS(Capacity_By_SKU!$K:$K,Capacity_By_SKU!$A:$A,$A6,Capacity_By_SKU!$C:$C,"NonProd",Capacity_By_SKU!$D:$D,Request!$B$10)&lt;=0),1,0),IF(AND(Request!$B$11&lt;&gt;"",Request!$C$11&lt;&gt;"",SUMIFS(Capacity_By_SKU!$K:$K,Capacity_By_SKU!$A:$A,$A6,Capacity_By_SKU!$C:$C,"NonProd",Capacity_By_SKU!$D:$D,Request!$B$11)&lt;=0),1,0),IF(AND(Request!$B$12&lt;&gt;"",Request!$C$12&lt;&gt;"",SUMIFS(Capacity_By_SKU!$K:$K,Capacity_By_SKU!$A:$A,$A6,Capacity_By_SKU!$C:$C,"NonProd",Capacity_By_SKU!$D:$D,Request!$B$12)&lt;=0),1,0),IF(AND(Request!$B$13&lt;&gt;"",Request!$C$13&lt;&gt;"",SUMIFS(Capacity_By_SKU!$K:$K,Capacity_By_SKU!$A:$A,$A6,Capacity_By_SKU!$C:$C,"NonProd",Capacity_By_SKU!$D:$D,Request!$B$13)&lt;=0),1,0),IF(AND(Request!$B$14&lt;&gt;"",Request!$C$14&lt;&gt;"",SUMIFS(Capacity_By_SKU!$K:$K,Capacity_By_SKU!$A:$A,$A6,Capacity_By_SKU!$C:$C,"NonProd",Capacity_By_SKU!$D:$D,Request!$B$14)&lt;=0),1,0),IF(AND(Request!$B$15&lt;&gt;"",Request!$C$15&lt;&gt;"",SUMIFS(Capacity_By_SKU!$K:$K,Capacity_By_SKU!$A:$A,$A6,Capacity_By_SKU!$C:$C,"NonProd",Capacity_By_SKU!$D:$D,Request!$B$15)&lt;=0),1,0))&gt;0,"RESERVATION_DEFICIT",IF(SUM(IF(AND(Request!$B$8&lt;&gt;"",Request!$C$8&lt;&gt;"",SUMIFS(Quota_Groups!$G:$G,Quota_Groups!$B:$B,$A6,Quota_Groups!$D:$D,IFERROR(VLOOKUP(Request!$B$8,SKU_Family_Map!$A:$B,2,FALSE),""))&lt;=0),1,0),IF(AND(Request!$B$9&lt;&gt;"",Request!$C$9&lt;&gt;"",SUMIFS(Quota_Groups!$G:$G,Quota_Groups!$B:$B,$A6,Quota_Groups!$D:$D,IFERROR(VLOOKUP(Request!$B$9,SKU_Family_Map!$A:$B,2,FALSE),""))&lt;=0),1,0),IF(AND(Request!$B$10&lt;&gt;"",Request!$C$10&lt;&gt;"",SUMIFS(Quota_Groups!$G:$G,Quota_Groups!$B:$B,$A6,Quota_Groups!$D:$D,IFERROR(VLOOKUP(Request!$B$10,SKU_Family_Map!$A:$B,2,FALSE),""))&lt;=0),1,0),IF(AND(Request!$B$11&lt;&gt;"",Request!$C$11&lt;&gt;"",SUMIFS(Quota_Groups!$G:$G,Quota_Groups!$B:$B,$A6,Quota_Groups!$D:$D,IFERROR(VLOOKUP(Request!$B$11,SKU_Family_Map!$A:$B,2,FALSE),""))&lt;=0),1,0),IF(AND(Request!$B$12&lt;&gt;"",Request!$C$12&lt;&gt;"",SUMIFS(Quota_Groups!$G:$G,Quota_Groups!$B:$B,$A6,Quota_Groups!$D:$D,IFERROR(VLOOKUP(Request!$B$12,SKU_Family_Map!$A:$B,2,FALSE),""))&lt;=0),1,0),IF(AND(Request!$B$13&lt;&gt;"",Request!$C$13&lt;&gt;"",SUMIFS(Quota_Groups!$G:$G,Quota_Groups!$B:$B,$A6,Quota_Groups!$D:$D,IFERROR(VLOOKUP(Request!$B$13,SKU_Family_Map!$A:$B,2,FALSE),""))&lt;=0),1,0),IF(AND(Request!$B$14&lt;&gt;"",Request!$C$14&lt;&gt;"",SUMIFS(Quota_Groups!$G:$G,Quota_Groups!$B:$B,$A6,Quota_Groups!$D:$D,IFERROR(VLOOKUP(Request!$B$14,SKU_Family_Map!$A:$B,2,FALSE),""))&lt;=0),1,0),IF(AND(Request!$B$15&lt;&gt;"",Request!$C$15&lt;&gt;"",SUMIFS(Quota_Groups!$G:$G,Quota_Groups!$B:$B,$A6,Quota_Groups!$D:$D,IFERROR(VLOOKUP(Request!$B$15,SKU_Family_Map!$A:$B,2,FALSE),""))&lt;=0),1,0))&gt;0,"QUOTA_DEFICIT",IF(G6=0,"CAPACITY_DEFICIT",IF(MIN(IF(OR(Request!$B$8="",Request!$C$8=""),1,IFERROR(1-Request!$E$8/MIN(SUMIFS(Capacity_By_SKU!$K:$K,Capacity_By_SKU!$A:$A,$A6,Capacity_By_SKU!$C:$C,"NonProd",Capacity_By_SKU!$D:$D,Request!$B$8),SUMIFS(Quota_Groups!$G:$G,Quota_Groups!$B:$B,$A6,Quota_Groups!$D:$D,IFERROR(VLOOKUP(Request!$B$8,SKU_Family_Map!$A:$B,2,FALSE),""))),0)),IF(OR(Request!$B$9="",Request!$C$9=""),1,IFERROR(1-Request!$E$9/MIN(SUMIFS(Capacity_By_SKU!$K:$K,Capacity_By_SKU!$A:$A,$A6,Capacity_By_SKU!$C:$C,"NonProd",Capacity_By_SKU!$D:$D,Request!$B$9),SUMIFS(Quota_Groups!$G:$G,Quota_Groups!$B:$B,$A6,Quota_Groups!$D:$D,IFERROR(VLOOKUP(Request!$B$9,SKU_Family_Map!$A:$B,2,FALSE),""))),0)),IF(OR(Request!$B$10="",Request!$C$10=""),1,IFERROR(1-Request!$E$10/MIN(SUMIFS(Capacity_By_SKU!$K:$K,Capacity_By_SKU!$A:$A,$A6,Capacity_By_SKU!$C:$C,"NonProd",Capacity_By_SKU!$D:$D,Request!$B$10),SUMIFS(Quota_Groups!$G:$G,Quota_Groups!$B:$B,$A6,Quota_Groups!$D:$D,IFERROR(VLOOKUP(Request!$B$10,SKU_Family_Map!$A:$B,2,FALSE),""))),0)),IF(OR(Request!$B$11="",Request!$C$11=""),1,IFERROR(1-Request!$E$11/MIN(SUMIFS(Capacity_By_SKU!$K:$K,Capacity_By_SKU!$A:$A,$A6,Capacity_By_SKU!$C:$C,"NonProd",Capacity_By_SKU!$D:$D,Request!$B$11),SUMIFS(Quota_Groups!$G:$G,Quota_Groups!$B:$B,$A6,Quota_Groups!$D:$D,IFERROR(VLOOKUP(Request!$B$11,SKU_Family_Map!$A:$B,2,FALSE),""))),0)),IF(OR(Request!$B$12="",Request!$C$12=""),1,IFERROR(1-Request!$E$12/MIN(SUMIFS(Capacity_By_SKU!$K:$K,Capacity_By_SKU!$A:$A,$A6,Capacity_By_SKU!$C:$C,"NonProd",Capacity_By_SKU!$D:$D,Request!$B$12),SUMIFS(Quota_Groups!$G:$G,Quota_Groups!$B:$B,$A6,Quota_Groups!$D:$D,IFERROR(VLOOKUP(Request!$B$12,SKU_Family_Map!$A:$B,2,FALSE),""))),0)),IF(OR(Request!$B$13="",Request!$C$13=""),1,IFERROR(1-Request!$E$13/MIN(SUMIFS(Capacity_By_SKU!$K:$K,Capacity_By_SKU!$A:$A,$A6,Capacity_By_SKU!$C:$C,"NonProd",Capacity_By_SKU!$D:$D,Request!$B$13),SUMIFS(Quota_Groups!$G:$G,Quota_Groups!$B:$B,$A6,Quota_Groups!$D:$D,IFERROR(VLOOKUP(Request!$B$13,SKU_Family_Map!$A:$B,2,FALSE),""))),0)),IF(OR(Request!$B$14="",Request!$C$14=""),1,IFERROR(1-Request!$E$14/MIN(SUMIFS(Capacity_By_SKU!$K:$K,Capacity_By_SKU!$A:$A,$A6,Capacity_By_SKU!$C:$C,"NonProd",Capacity_By_SKU!$D:$D,Request!$B$14),SUMIFS(Quota_Groups!$G:$G,Quota_Groups!$B:$B,$A6,Quota_Groups!$D:$D,IFERROR(VLOOKUP(Request!$B$14,SKU_Family_Map!$A:$B,2,FALSE),""))),0)),IF(OR(Request!$B$15="",Request!$C$15=""),1,IFERROR(1-Request!$E$15/MIN(SUMIFS(Capacity_By_SKU!$K:$K,Capacity_By_SKU!$A:$A,$A6,Capacity_By_SKU!$C:$C,"NonProd",Capacity_By_SKU!$D:$D,Request!$B$15),SUMIFS(Quota_Groups!$G:$G,Quota_Groups!$B:$B,$A6,Quota_Groups!$D:$D,IFERROR(VLOOKUP(Request!$B$15,SKU_Family_Map!$A:$B,2,FALSE),""))),0)))&lt;Policy!$B$10,"READY_WITH_RISK","READY")))))</f>
        <v/>
      </c>
      <c r="I6" s="16">
        <f>IF(AND(F6=1,G6=1,OR(H6="READY",H6="READY_WITH_RISK")),1,0)</f>
        <v/>
      </c>
      <c r="J6" s="16">
        <f>IF(I6=1,MAX(0,MIN(IF(OR(Request!$B$8="",Request!$C$8=""),1,IFERROR(1-Request!$E$8/MIN(SUMIFS(Capacity_By_SKU!$K:$K,Capacity_By_SKU!$A:$A,$A6,Capacity_By_SKU!$C:$C,"NonProd",Capacity_By_SKU!$D:$D,Request!$B$8),SUMIFS(Quota_Groups!$G:$G,Quota_Groups!$B:$B,$A6,Quota_Groups!$D:$D,IFERROR(VLOOKUP(Request!$B$8,SKU_Family_Map!$A:$B,2,FALSE),""))),0)),IF(OR(Request!$B$9="",Request!$C$9=""),1,IFERROR(1-Request!$E$9/MIN(SUMIFS(Capacity_By_SKU!$K:$K,Capacity_By_SKU!$A:$A,$A6,Capacity_By_SKU!$C:$C,"NonProd",Capacity_By_SKU!$D:$D,Request!$B$9),SUMIFS(Quota_Groups!$G:$G,Quota_Groups!$B:$B,$A6,Quota_Groups!$D:$D,IFERROR(VLOOKUP(Request!$B$9,SKU_Family_Map!$A:$B,2,FALSE),""))),0)),IF(OR(Request!$B$10="",Request!$C$10=""),1,IFERROR(1-Request!$E$10/MIN(SUMIFS(Capacity_By_SKU!$K:$K,Capacity_By_SKU!$A:$A,$A6,Capacity_By_SKU!$C:$C,"NonProd",Capacity_By_SKU!$D:$D,Request!$B$10),SUMIFS(Quota_Groups!$G:$G,Quota_Groups!$B:$B,$A6,Quota_Groups!$D:$D,IFERROR(VLOOKUP(Request!$B$10,SKU_Family_Map!$A:$B,2,FALSE),""))),0)),IF(OR(Request!$B$11="",Request!$C$11=""),1,IFERROR(1-Request!$E$11/MIN(SUMIFS(Capacity_By_SKU!$K:$K,Capacity_By_SKU!$A:$A,$A6,Capacity_By_SKU!$C:$C,"NonProd",Capacity_By_SKU!$D:$D,Request!$B$11),SUMIFS(Quota_Groups!$G:$G,Quota_Groups!$B:$B,$A6,Quota_Groups!$D:$D,IFERROR(VLOOKUP(Request!$B$11,SKU_Family_Map!$A:$B,2,FALSE),""))),0)),IF(OR(Request!$B$12="",Request!$C$12=""),1,IFERROR(1-Request!$E$12/MIN(SUMIFS(Capacity_By_SKU!$K:$K,Capacity_By_SKU!$A:$A,$A6,Capacity_By_SKU!$C:$C,"NonProd",Capacity_By_SKU!$D:$D,Request!$B$12),SUMIFS(Quota_Groups!$G:$G,Quota_Groups!$B:$B,$A6,Quota_Groups!$D:$D,IFERROR(VLOOKUP(Request!$B$12,SKU_Family_Map!$A:$B,2,FALSE),""))),0)),IF(OR(Request!$B$13="",Request!$C$13=""),1,IFERROR(1-Request!$E$13/MIN(SUMIFS(Capacity_By_SKU!$K:$K,Capacity_By_SKU!$A:$A,$A6,Capacity_By_SKU!$C:$C,"NonProd",Capacity_By_SKU!$D:$D,Request!$B$13),SUMIFS(Quota_Groups!$G:$G,Quota_Groups!$B:$B,$A6,Quota_Groups!$D:$D,IFERROR(VLOOKUP(Request!$B$13,SKU_Family_Map!$A:$B,2,FALSE),""))),0)),IF(OR(Request!$B$14="",Request!$C$14=""),1,IFERROR(1-Request!$E$14/MIN(SUMIFS(Capacity_By_SKU!$K:$K,Capacity_By_SKU!$A:$A,$A6,Capacity_By_SKU!$C:$C,"NonProd",Capacity_By_SKU!$D:$D,Request!$B$14),SUMIFS(Quota_Groups!$G:$G,Quota_Groups!$B:$B,$A6,Quota_Groups!$D:$D,IFERROR(VLOOKUP(Request!$B$14,SKU_Family_Map!$A:$B,2,FALSE),""))),0)),IF(OR(Request!$B$15="",Request!$C$15=""),1,IFERROR(1-Request!$E$15/MIN(SUMIFS(Capacity_By_SKU!$K:$K,Capacity_By_SKU!$A:$A,$A6,Capacity_By_SKU!$C:$C,"NonProd",Capacity_By_SKU!$D:$D,Request!$B$15),SUMIFS(Quota_Groups!$G:$G,Quota_Groups!$B:$B,$A6,Quota_Groups!$D:$D,IFERROR(VLOOKUP(Request!$B$15,SKU_Family_Map!$A:$B,2,FALSE),""))),0)))),0)</f>
        <v/>
      </c>
      <c r="K6" s="16">
        <f>IF(I6=1,MAX(0,MIN(IF(OR(Request!$B$8="",Request!$C$8=""),1,IFERROR(SUMIFS(Quota_Groups!$G:$G,Quota_Groups!$B:$B,$A6,Quota_Groups!$D:$D,IFERROR(VLOOKUP(Request!$B$8,SKU_Family_Map!$A:$B,2,FALSE),""))/MAX(SUMIFS(Quota_Groups!$E:$E,Quota_Groups!$B:$B,$A6,Quota_Groups!$D:$D,IFERROR(VLOOKUP(Request!$B$8,SKU_Family_Map!$A:$B,2,FALSE),"")),1),0)),IF(OR(Request!$B$9="",Request!$C$9=""),1,IFERROR(SUMIFS(Quota_Groups!$G:$G,Quota_Groups!$B:$B,$A6,Quota_Groups!$D:$D,IFERROR(VLOOKUP(Request!$B$9,SKU_Family_Map!$A:$B,2,FALSE),""))/MAX(SUMIFS(Quota_Groups!$E:$E,Quota_Groups!$B:$B,$A6,Quota_Groups!$D:$D,IFERROR(VLOOKUP(Request!$B$9,SKU_Family_Map!$A:$B,2,FALSE),"")),1),0)),IF(OR(Request!$B$10="",Request!$C$10=""),1,IFERROR(SUMIFS(Quota_Groups!$G:$G,Quota_Groups!$B:$B,$A6,Quota_Groups!$D:$D,IFERROR(VLOOKUP(Request!$B$10,SKU_Family_Map!$A:$B,2,FALSE),""))/MAX(SUMIFS(Quota_Groups!$E:$E,Quota_Groups!$B:$B,$A6,Quota_Groups!$D:$D,IFERROR(VLOOKUP(Request!$B$10,SKU_Family_Map!$A:$B,2,FALSE),"")),1),0)),IF(OR(Request!$B$11="",Request!$C$11=""),1,IFERROR(SUMIFS(Quota_Groups!$G:$G,Quota_Groups!$B:$B,$A6,Quota_Groups!$D:$D,IFERROR(VLOOKUP(Request!$B$11,SKU_Family_Map!$A:$B,2,FALSE),""))/MAX(SUMIFS(Quota_Groups!$E:$E,Quota_Groups!$B:$B,$A6,Quota_Groups!$D:$D,IFERROR(VLOOKUP(Request!$B$11,SKU_Family_Map!$A:$B,2,FALSE),"")),1),0)),IF(OR(Request!$B$12="",Request!$C$12=""),1,IFERROR(SUMIFS(Quota_Groups!$G:$G,Quota_Groups!$B:$B,$A6,Quota_Groups!$D:$D,IFERROR(VLOOKUP(Request!$B$12,SKU_Family_Map!$A:$B,2,FALSE),""))/MAX(SUMIFS(Quota_Groups!$E:$E,Quota_Groups!$B:$B,$A6,Quota_Groups!$D:$D,IFERROR(VLOOKUP(Request!$B$12,SKU_Family_Map!$A:$B,2,FALSE),"")),1),0)),IF(OR(Request!$B$13="",Request!$C$13=""),1,IFERROR(SUMIFS(Quota_Groups!$G:$G,Quota_Groups!$B:$B,$A6,Quota_Groups!$D:$D,IFERROR(VLOOKUP(Request!$B$13,SKU_Family_Map!$A:$B,2,FALSE),""))/MAX(SUMIFS(Quota_Groups!$E:$E,Quota_Groups!$B:$B,$A6,Quota_Groups!$D:$D,IFERROR(VLOOKUP(Request!$B$13,SKU_Family_Map!$A:$B,2,FALSE),"")),1),0)),IF(OR(Request!$B$14="",Request!$C$14=""),1,IFERROR(SUMIFS(Quota_Groups!$G:$G,Quota_Groups!$B:$B,$A6,Quota_Groups!$D:$D,IFERROR(VLOOKUP(Request!$B$14,SKU_Family_Map!$A:$B,2,FALSE),""))/MAX(SUMIFS(Quota_Groups!$E:$E,Quota_Groups!$B:$B,$A6,Quota_Groups!$D:$D,IFERROR(VLOOKUP(Request!$B$14,SKU_Family_Map!$A:$B,2,FALSE),"")),1),0)),IF(OR(Request!$B$15="",Request!$C$15=""),1,IFERROR(SUMIFS(Quota_Groups!$G:$G,Quota_Groups!$B:$B,$A6,Quota_Groups!$D:$D,IFERROR(VLOOKUP(Request!$B$15,SKU_Family_Map!$A:$B,2,FALSE),""))/MAX(SUMIFS(Quota_Groups!$E:$E,Quota_Groups!$B:$B,$A6,Quota_Groups!$D:$D,IFERROR(VLOOKUP(Request!$B$15,SKU_Family_Map!$A:$B,2,FALSE),"")),1),0)))),0)</f>
        <v/>
      </c>
      <c r="L6" s="16">
        <f>IF(I6=1,MAX(0,MIN(IF(OR(Request!$B$8="",Request!$C$8=""),1,IFERROR(SUMIFS(Capacity_By_SKU!$K:$K,Capacity_By_SKU!$A:$A,$A6,Capacity_By_SKU!$C:$C,"NonProd",Capacity_By_SKU!$D:$D,Request!$B$8)/MAX(SUMIFS(Capacity_By_SKU!$J:$J,Capacity_By_SKU!$A:$A,$A6,Capacity_By_SKU!$C:$C,"NonProd",Capacity_By_SKU!$D:$D,Request!$B$8),1),0)),IF(OR(Request!$B$9="",Request!$C$9=""),1,IFERROR(SUMIFS(Capacity_By_SKU!$K:$K,Capacity_By_SKU!$A:$A,$A6,Capacity_By_SKU!$C:$C,"NonProd",Capacity_By_SKU!$D:$D,Request!$B$9)/MAX(SUMIFS(Capacity_By_SKU!$J:$J,Capacity_By_SKU!$A:$A,$A6,Capacity_By_SKU!$C:$C,"NonProd",Capacity_By_SKU!$D:$D,Request!$B$9),1),0)),IF(OR(Request!$B$10="",Request!$C$10=""),1,IFERROR(SUMIFS(Capacity_By_SKU!$K:$K,Capacity_By_SKU!$A:$A,$A6,Capacity_By_SKU!$C:$C,"NonProd",Capacity_By_SKU!$D:$D,Request!$B$10)/MAX(SUMIFS(Capacity_By_SKU!$J:$J,Capacity_By_SKU!$A:$A,$A6,Capacity_By_SKU!$C:$C,"NonProd",Capacity_By_SKU!$D:$D,Request!$B$10),1),0)),IF(OR(Request!$B$11="",Request!$C$11=""),1,IFERROR(SUMIFS(Capacity_By_SKU!$K:$K,Capacity_By_SKU!$A:$A,$A6,Capacity_By_SKU!$C:$C,"NonProd",Capacity_By_SKU!$D:$D,Request!$B$11)/MAX(SUMIFS(Capacity_By_SKU!$J:$J,Capacity_By_SKU!$A:$A,$A6,Capacity_By_SKU!$C:$C,"NonProd",Capacity_By_SKU!$D:$D,Request!$B$11),1),0)),IF(OR(Request!$B$12="",Request!$C$12=""),1,IFERROR(SUMIFS(Capacity_By_SKU!$K:$K,Capacity_By_SKU!$A:$A,$A6,Capacity_By_SKU!$C:$C,"NonProd",Capacity_By_SKU!$D:$D,Request!$B$12)/MAX(SUMIFS(Capacity_By_SKU!$J:$J,Capacity_By_SKU!$A:$A,$A6,Capacity_By_SKU!$C:$C,"NonProd",Capacity_By_SKU!$D:$D,Request!$B$12),1),0)),IF(OR(Request!$B$13="",Request!$C$13=""),1,IFERROR(SUMIFS(Capacity_By_SKU!$K:$K,Capacity_By_SKU!$A:$A,$A6,Capacity_By_SKU!$C:$C,"NonProd",Capacity_By_SKU!$D:$D,Request!$B$13)/MAX(SUMIFS(Capacity_By_SKU!$J:$J,Capacity_By_SKU!$A:$A,$A6,Capacity_By_SKU!$C:$C,"NonProd",Capacity_By_SKU!$D:$D,Request!$B$13),1),0)),IF(OR(Request!$B$14="",Request!$C$14=""),1,IFERROR(SUMIFS(Capacity_By_SKU!$K:$K,Capacity_By_SKU!$A:$A,$A6,Capacity_By_SKU!$C:$C,"NonProd",Capacity_By_SKU!$D:$D,Request!$B$14)/MAX(SUMIFS(Capacity_By_SKU!$J:$J,Capacity_By_SKU!$A:$A,$A6,Capacity_By_SKU!$C:$C,"NonProd",Capacity_By_SKU!$D:$D,Request!$B$14),1),0)),IF(OR(Request!$B$15="",Request!$C$15=""),1,IFERROR(SUMIFS(Capacity_By_SKU!$K:$K,Capacity_By_SKU!$A:$A,$A6,Capacity_By_SKU!$C:$C,"NonProd",Capacity_By_SKU!$D:$D,Request!$B$15)/MAX(SUMIFS(Capacity_By_SKU!$J:$J,Capacity_By_SKU!$A:$A,$A6,Capacity_By_SKU!$C:$C,"NonProd",Capacity_By_SKU!$D:$D,Request!$B$15),1),0)))),0)</f>
        <v/>
      </c>
      <c r="M6" s="22">
        <f>IF(I6=1,ROUND(Policy!$B$4*J6+Policy!$B$5*K6+Policy!$B$6*L6,4),"")</f>
        <v/>
      </c>
      <c r="N6" s="16">
        <f>IF(I6=1,SUMPRODUCT(($I$4:$I$11=1)*($M$4:$M$11&gt;M6))+1,"")</f>
        <v/>
      </c>
      <c r="O6" s="16">
        <f>IF(I6=0,"N/A",IF(MIN(IF(OR(Request!$B$8="",Request!$C$8=""),1,IFERROR(SUMIFS(Capacity_By_SKU!$K:$K,Capacity_By_SKU!$A:$A,$A6,Capacity_By_SKU!$C:$C,"NonProd",Capacity_By_SKU!$D:$D,Request!$B$8)/MAX(SUMIFS(Capacity_By_SKU!$J:$J,Capacity_By_SKU!$A:$A,$A6,Capacity_By_SKU!$C:$C,"NonProd",Capacity_By_SKU!$D:$D,Request!$B$8),1),0)),IF(OR(Request!$B$9="",Request!$C$9=""),1,IFERROR(SUMIFS(Capacity_By_SKU!$K:$K,Capacity_By_SKU!$A:$A,$A6,Capacity_By_SKU!$C:$C,"NonProd",Capacity_By_SKU!$D:$D,Request!$B$9)/MAX(SUMIFS(Capacity_By_SKU!$J:$J,Capacity_By_SKU!$A:$A,$A6,Capacity_By_SKU!$C:$C,"NonProd",Capacity_By_SKU!$D:$D,Request!$B$9),1),0)),IF(OR(Request!$B$10="",Request!$C$10=""),1,IFERROR(SUMIFS(Capacity_By_SKU!$K:$K,Capacity_By_SKU!$A:$A,$A6,Capacity_By_SKU!$C:$C,"NonProd",Capacity_By_SKU!$D:$D,Request!$B$10)/MAX(SUMIFS(Capacity_By_SKU!$J:$J,Capacity_By_SKU!$A:$A,$A6,Capacity_By_SKU!$C:$C,"NonProd",Capacity_By_SKU!$D:$D,Request!$B$10),1),0)),IF(OR(Request!$B$11="",Request!$C$11=""),1,IFERROR(SUMIFS(Capacity_By_SKU!$K:$K,Capacity_By_SKU!$A:$A,$A6,Capacity_By_SKU!$C:$C,"NonProd",Capacity_By_SKU!$D:$D,Request!$B$11)/MAX(SUMIFS(Capacity_By_SKU!$J:$J,Capacity_By_SKU!$A:$A,$A6,Capacity_By_SKU!$C:$C,"NonProd",Capacity_By_SKU!$D:$D,Request!$B$11),1),0)),IF(OR(Request!$B$12="",Request!$C$12=""),1,IFERROR(SUMIFS(Capacity_By_SKU!$K:$K,Capacity_By_SKU!$A:$A,$A6,Capacity_By_SKU!$C:$C,"NonProd",Capacity_By_SKU!$D:$D,Request!$B$12)/MAX(SUMIFS(Capacity_By_SKU!$J:$J,Capacity_By_SKU!$A:$A,$A6,Capacity_By_SKU!$C:$C,"NonProd",Capacity_By_SKU!$D:$D,Request!$B$12),1),0)),IF(OR(Request!$B$13="",Request!$C$13=""),1,IFERROR(SUMIFS(Capacity_By_SKU!$K:$K,Capacity_By_SKU!$A:$A,$A6,Capacity_By_SKU!$C:$C,"NonProd",Capacity_By_SKU!$D:$D,Request!$B$13)/MAX(SUMIFS(Capacity_By_SKU!$J:$J,Capacity_By_SKU!$A:$A,$A6,Capacity_By_SKU!$C:$C,"NonProd",Capacity_By_SKU!$D:$D,Request!$B$13),1),0)),IF(OR(Request!$B$14="",Request!$C$14=""),1,IFERROR(SUMIFS(Capacity_By_SKU!$K:$K,Capacity_By_SKU!$A:$A,$A6,Capacity_By_SKU!$C:$C,"NonProd",Capacity_By_SKU!$D:$D,Request!$B$14)/MAX(SUMIFS(Capacity_By_SKU!$J:$J,Capacity_By_SKU!$A:$A,$A6,Capacity_By_SKU!$C:$C,"NonProd",Capacity_By_SKU!$D:$D,Request!$B$14),1),0)),IF(OR(Request!$B$15="",Request!$C$15=""),1,IFERROR(SUMIFS(Capacity_By_SKU!$K:$K,Capacity_By_SKU!$A:$A,$A6,Capacity_By_SKU!$C:$C,"NonProd",Capacity_By_SKU!$D:$D,Request!$B$15)/MAX(SUMIFS(Capacity_By_SKU!$J:$J,Capacity_By_SKU!$A:$A,$A6,Capacity_By_SKU!$C:$C,"NonProd",Capacity_By_SKU!$D:$D,Request!$B$15),1),0)))&lt;=MIN(IF(OR(Request!$B$8="",Request!$C$8=""),1,IFERROR(SUMIFS(Quota_Groups!$G:$G,Quota_Groups!$B:$B,$A6,Quota_Groups!$D:$D,IFERROR(VLOOKUP(Request!$B$8,SKU_Family_Map!$A:$B,2,FALSE),""))/MAX(SUMIFS(Quota_Groups!$E:$E,Quota_Groups!$B:$B,$A6,Quota_Groups!$D:$D,IFERROR(VLOOKUP(Request!$B$8,SKU_Family_Map!$A:$B,2,FALSE),"")),1),0)),IF(OR(Request!$B$9="",Request!$C$9=""),1,IFERROR(SUMIFS(Quota_Groups!$G:$G,Quota_Groups!$B:$B,$A6,Quota_Groups!$D:$D,IFERROR(VLOOKUP(Request!$B$9,SKU_Family_Map!$A:$B,2,FALSE),""))/MAX(SUMIFS(Quota_Groups!$E:$E,Quota_Groups!$B:$B,$A6,Quota_Groups!$D:$D,IFERROR(VLOOKUP(Request!$B$9,SKU_Family_Map!$A:$B,2,FALSE),"")),1),0)),IF(OR(Request!$B$10="",Request!$C$10=""),1,IFERROR(SUMIFS(Quota_Groups!$G:$G,Quota_Groups!$B:$B,$A6,Quota_Groups!$D:$D,IFERROR(VLOOKUP(Request!$B$10,SKU_Family_Map!$A:$B,2,FALSE),""))/MAX(SUMIFS(Quota_Groups!$E:$E,Quota_Groups!$B:$B,$A6,Quota_Groups!$D:$D,IFERROR(VLOOKUP(Request!$B$10,SKU_Family_Map!$A:$B,2,FALSE),"")),1),0)),IF(OR(Request!$B$11="",Request!$C$11=""),1,IFERROR(SUMIFS(Quota_Groups!$G:$G,Quota_Groups!$B:$B,$A6,Quota_Groups!$D:$D,IFERROR(VLOOKUP(Request!$B$11,SKU_Family_Map!$A:$B,2,FALSE),""))/MAX(SUMIFS(Quota_Groups!$E:$E,Quota_Groups!$B:$B,$A6,Quota_Groups!$D:$D,IFERROR(VLOOKUP(Request!$B$11,SKU_Family_Map!$A:$B,2,FALSE),"")),1),0)),IF(OR(Request!$B$12="",Request!$C$12=""),1,IFERROR(SUMIFS(Quota_Groups!$G:$G,Quota_Groups!$B:$B,$A6,Quota_Groups!$D:$D,IFERROR(VLOOKUP(Request!$B$12,SKU_Family_Map!$A:$B,2,FALSE),""))/MAX(SUMIFS(Quota_Groups!$E:$E,Quota_Groups!$B:$B,$A6,Quota_Groups!$D:$D,IFERROR(VLOOKUP(Request!$B$12,SKU_Family_Map!$A:$B,2,FALSE),"")),1),0)),IF(OR(Request!$B$13="",Request!$C$13=""),1,IFERROR(SUMIFS(Quota_Groups!$G:$G,Quota_Groups!$B:$B,$A6,Quota_Groups!$D:$D,IFERROR(VLOOKUP(Request!$B$13,SKU_Family_Map!$A:$B,2,FALSE),""))/MAX(SUMIFS(Quota_Groups!$E:$E,Quota_Groups!$B:$B,$A6,Quota_Groups!$D:$D,IFERROR(VLOOKUP(Request!$B$13,SKU_Family_Map!$A:$B,2,FALSE),"")),1),0)),IF(OR(Request!$B$14="",Request!$C$14=""),1,IFERROR(SUMIFS(Quota_Groups!$G:$G,Quota_Groups!$B:$B,$A6,Quota_Groups!$D:$D,IFERROR(VLOOKUP(Request!$B$14,SKU_Family_Map!$A:$B,2,FALSE),""))/MAX(SUMIFS(Quota_Groups!$E:$E,Quota_Groups!$B:$B,$A6,Quota_Groups!$D:$D,IFERROR(VLOOKUP(Request!$B$14,SKU_Family_Map!$A:$B,2,FALSE),"")),1),0)),IF(OR(Request!$B$15="",Request!$C$15=""),1,IFERROR(SUMIFS(Quota_Groups!$G:$G,Quota_Groups!$B:$B,$A6,Quota_Groups!$D:$D,IFERROR(VLOOKUP(Request!$B$15,SKU_Family_Map!$A:$B,2,FALSE),""))/MAX(SUMIFS(Quota_Groups!$E:$E,Quota_Groups!$B:$B,$A6,Quota_Groups!$D:$D,IFERROR(VLOOKUP(Request!$B$15,SKU_Family_Map!$A:$B,2,FALSE),"")),1),0))),"CAPACITY","QUOTA"))</f>
        <v/>
      </c>
    </row>
    <row r="7">
      <c r="A7" s="12" t="inlineStr">
        <is>
          <t>East US 2</t>
        </is>
      </c>
      <c r="B7" s="16" t="inlineStr">
        <is>
          <t>US</t>
        </is>
      </c>
      <c r="C7" s="16" t="inlineStr">
        <is>
          <t>NonProd</t>
        </is>
      </c>
      <c r="D7" s="16">
        <f>Request!$B$17</f>
        <v/>
      </c>
      <c r="E7" s="16">
        <f>Request!$B$18</f>
        <v/>
      </c>
      <c r="F7" s="16">
        <f>IF(B7=Request!$B$4,1,0)</f>
        <v/>
      </c>
      <c r="G7" s="18">
        <f>IF(Request!$B$17=0,0,MIN(IF(OR(Request!$B$8="",Request!$C$8=""),1,IF(MIN(SUMIFS(Capacity_By_SKU!$K:$K,Capacity_By_SKU!$A:$A,$A7,Capacity_By_SKU!$C:$C,"NonProd",Capacity_By_SKU!$D:$D,Request!$B$8),SUMIFS(Quota_Groups!$G:$G,Quota_Groups!$B:$B,$A7,Quota_Groups!$D:$D,IFERROR(VLOOKUP(Request!$B$8,SKU_Family_Map!$A:$B,2,FALSE),"")))&gt;=Request!$E$8,1,0)),IF(OR(Request!$B$9="",Request!$C$9=""),1,IF(MIN(SUMIFS(Capacity_By_SKU!$K:$K,Capacity_By_SKU!$A:$A,$A7,Capacity_By_SKU!$C:$C,"NonProd",Capacity_By_SKU!$D:$D,Request!$B$9),SUMIFS(Quota_Groups!$G:$G,Quota_Groups!$B:$B,$A7,Quota_Groups!$D:$D,IFERROR(VLOOKUP(Request!$B$9,SKU_Family_Map!$A:$B,2,FALSE),"")))&gt;=Request!$E$9,1,0)),IF(OR(Request!$B$10="",Request!$C$10=""),1,IF(MIN(SUMIFS(Capacity_By_SKU!$K:$K,Capacity_By_SKU!$A:$A,$A7,Capacity_By_SKU!$C:$C,"NonProd",Capacity_By_SKU!$D:$D,Request!$B$10),SUMIFS(Quota_Groups!$G:$G,Quota_Groups!$B:$B,$A7,Quota_Groups!$D:$D,IFERROR(VLOOKUP(Request!$B$10,SKU_Family_Map!$A:$B,2,FALSE),"")))&gt;=Request!$E$10,1,0)),IF(OR(Request!$B$11="",Request!$C$11=""),1,IF(MIN(SUMIFS(Capacity_By_SKU!$K:$K,Capacity_By_SKU!$A:$A,$A7,Capacity_By_SKU!$C:$C,"NonProd",Capacity_By_SKU!$D:$D,Request!$B$11),SUMIFS(Quota_Groups!$G:$G,Quota_Groups!$B:$B,$A7,Quota_Groups!$D:$D,IFERROR(VLOOKUP(Request!$B$11,SKU_Family_Map!$A:$B,2,FALSE),"")))&gt;=Request!$E$11,1,0)),IF(OR(Request!$B$12="",Request!$C$12=""),1,IF(MIN(SUMIFS(Capacity_By_SKU!$K:$K,Capacity_By_SKU!$A:$A,$A7,Capacity_By_SKU!$C:$C,"NonProd",Capacity_By_SKU!$D:$D,Request!$B$12),SUMIFS(Quota_Groups!$G:$G,Quota_Groups!$B:$B,$A7,Quota_Groups!$D:$D,IFERROR(VLOOKUP(Request!$B$12,SKU_Family_Map!$A:$B,2,FALSE),"")))&gt;=Request!$E$12,1,0)),IF(OR(Request!$B$13="",Request!$C$13=""),1,IF(MIN(SUMIFS(Capacity_By_SKU!$K:$K,Capacity_By_SKU!$A:$A,$A7,Capacity_By_SKU!$C:$C,"NonProd",Capacity_By_SKU!$D:$D,Request!$B$13),SUMIFS(Quota_Groups!$G:$G,Quota_Groups!$B:$B,$A7,Quota_Groups!$D:$D,IFERROR(VLOOKUP(Request!$B$13,SKU_Family_Map!$A:$B,2,FALSE),"")))&gt;=Request!$E$13,1,0)),IF(OR(Request!$B$14="",Request!$C$14=""),1,IF(MIN(SUMIFS(Capacity_By_SKU!$K:$K,Capacity_By_SKU!$A:$A,$A7,Capacity_By_SKU!$C:$C,"NonProd",Capacity_By_SKU!$D:$D,Request!$B$14),SUMIFS(Quota_Groups!$G:$G,Quota_Groups!$B:$B,$A7,Quota_Groups!$D:$D,IFERROR(VLOOKUP(Request!$B$14,SKU_Family_Map!$A:$B,2,FALSE),"")))&gt;=Request!$E$14,1,0)),IF(OR(Request!$B$15="",Request!$C$15=""),1,IF(MIN(SUMIFS(Capacity_By_SKU!$K:$K,Capacity_By_SKU!$A:$A,$A7,Capacity_By_SKU!$C:$C,"NonProd",Capacity_By_SKU!$D:$D,Request!$B$15),SUMIFS(Quota_Groups!$G:$G,Quota_Groups!$B:$B,$A7,Quota_Groups!$D:$D,IFERROR(VLOOKUP(Request!$B$15,SKU_Family_Map!$A:$B,2,FALSE),"")))&gt;=Request!$E$15,1,0))))</f>
        <v/>
      </c>
      <c r="H7" s="12">
        <f>IF(Request!$B$17=0,"NO_REQUEST",IF(SUM(IF(AND(Request!$B$8&lt;&gt;"",Request!$C$8&lt;&gt;"",SUMIFS(Capacity_By_SKU!$K:$K,Capacity_By_SKU!$A:$A,$A7,Capacity_By_SKU!$C:$C,"NonProd",Capacity_By_SKU!$D:$D,Request!$B$8)&lt;=0),1,0),IF(AND(Request!$B$9&lt;&gt;"",Request!$C$9&lt;&gt;"",SUMIFS(Capacity_By_SKU!$K:$K,Capacity_By_SKU!$A:$A,$A7,Capacity_By_SKU!$C:$C,"NonProd",Capacity_By_SKU!$D:$D,Request!$B$9)&lt;=0),1,0),IF(AND(Request!$B$10&lt;&gt;"",Request!$C$10&lt;&gt;"",SUMIFS(Capacity_By_SKU!$K:$K,Capacity_By_SKU!$A:$A,$A7,Capacity_By_SKU!$C:$C,"NonProd",Capacity_By_SKU!$D:$D,Request!$B$10)&lt;=0),1,0),IF(AND(Request!$B$11&lt;&gt;"",Request!$C$11&lt;&gt;"",SUMIFS(Capacity_By_SKU!$K:$K,Capacity_By_SKU!$A:$A,$A7,Capacity_By_SKU!$C:$C,"NonProd",Capacity_By_SKU!$D:$D,Request!$B$11)&lt;=0),1,0),IF(AND(Request!$B$12&lt;&gt;"",Request!$C$12&lt;&gt;"",SUMIFS(Capacity_By_SKU!$K:$K,Capacity_By_SKU!$A:$A,$A7,Capacity_By_SKU!$C:$C,"NonProd",Capacity_By_SKU!$D:$D,Request!$B$12)&lt;=0),1,0),IF(AND(Request!$B$13&lt;&gt;"",Request!$C$13&lt;&gt;"",SUMIFS(Capacity_By_SKU!$K:$K,Capacity_By_SKU!$A:$A,$A7,Capacity_By_SKU!$C:$C,"NonProd",Capacity_By_SKU!$D:$D,Request!$B$13)&lt;=0),1,0),IF(AND(Request!$B$14&lt;&gt;"",Request!$C$14&lt;&gt;"",SUMIFS(Capacity_By_SKU!$K:$K,Capacity_By_SKU!$A:$A,$A7,Capacity_By_SKU!$C:$C,"NonProd",Capacity_By_SKU!$D:$D,Request!$B$14)&lt;=0),1,0),IF(AND(Request!$B$15&lt;&gt;"",Request!$C$15&lt;&gt;"",SUMIFS(Capacity_By_SKU!$K:$K,Capacity_By_SKU!$A:$A,$A7,Capacity_By_SKU!$C:$C,"NonProd",Capacity_By_SKU!$D:$D,Request!$B$15)&lt;=0),1,0))&gt;0,"RESERVATION_DEFICIT",IF(SUM(IF(AND(Request!$B$8&lt;&gt;"",Request!$C$8&lt;&gt;"",SUMIFS(Quota_Groups!$G:$G,Quota_Groups!$B:$B,$A7,Quota_Groups!$D:$D,IFERROR(VLOOKUP(Request!$B$8,SKU_Family_Map!$A:$B,2,FALSE),""))&lt;=0),1,0),IF(AND(Request!$B$9&lt;&gt;"",Request!$C$9&lt;&gt;"",SUMIFS(Quota_Groups!$G:$G,Quota_Groups!$B:$B,$A7,Quota_Groups!$D:$D,IFERROR(VLOOKUP(Request!$B$9,SKU_Family_Map!$A:$B,2,FALSE),""))&lt;=0),1,0),IF(AND(Request!$B$10&lt;&gt;"",Request!$C$10&lt;&gt;"",SUMIFS(Quota_Groups!$G:$G,Quota_Groups!$B:$B,$A7,Quota_Groups!$D:$D,IFERROR(VLOOKUP(Request!$B$10,SKU_Family_Map!$A:$B,2,FALSE),""))&lt;=0),1,0),IF(AND(Request!$B$11&lt;&gt;"",Request!$C$11&lt;&gt;"",SUMIFS(Quota_Groups!$G:$G,Quota_Groups!$B:$B,$A7,Quota_Groups!$D:$D,IFERROR(VLOOKUP(Request!$B$11,SKU_Family_Map!$A:$B,2,FALSE),""))&lt;=0),1,0),IF(AND(Request!$B$12&lt;&gt;"",Request!$C$12&lt;&gt;"",SUMIFS(Quota_Groups!$G:$G,Quota_Groups!$B:$B,$A7,Quota_Groups!$D:$D,IFERROR(VLOOKUP(Request!$B$12,SKU_Family_Map!$A:$B,2,FALSE),""))&lt;=0),1,0),IF(AND(Request!$B$13&lt;&gt;"",Request!$C$13&lt;&gt;"",SUMIFS(Quota_Groups!$G:$G,Quota_Groups!$B:$B,$A7,Quota_Groups!$D:$D,IFERROR(VLOOKUP(Request!$B$13,SKU_Family_Map!$A:$B,2,FALSE),""))&lt;=0),1,0),IF(AND(Request!$B$14&lt;&gt;"",Request!$C$14&lt;&gt;"",SUMIFS(Quota_Groups!$G:$G,Quota_Groups!$B:$B,$A7,Quota_Groups!$D:$D,IFERROR(VLOOKUP(Request!$B$14,SKU_Family_Map!$A:$B,2,FALSE),""))&lt;=0),1,0),IF(AND(Request!$B$15&lt;&gt;"",Request!$C$15&lt;&gt;"",SUMIFS(Quota_Groups!$G:$G,Quota_Groups!$B:$B,$A7,Quota_Groups!$D:$D,IFERROR(VLOOKUP(Request!$B$15,SKU_Family_Map!$A:$B,2,FALSE),""))&lt;=0),1,0))&gt;0,"QUOTA_DEFICIT",IF(G7=0,"CAPACITY_DEFICIT",IF(MIN(IF(OR(Request!$B$8="",Request!$C$8=""),1,IFERROR(1-Request!$E$8/MIN(SUMIFS(Capacity_By_SKU!$K:$K,Capacity_By_SKU!$A:$A,$A7,Capacity_By_SKU!$C:$C,"NonProd",Capacity_By_SKU!$D:$D,Request!$B$8),SUMIFS(Quota_Groups!$G:$G,Quota_Groups!$B:$B,$A7,Quota_Groups!$D:$D,IFERROR(VLOOKUP(Request!$B$8,SKU_Family_Map!$A:$B,2,FALSE),""))),0)),IF(OR(Request!$B$9="",Request!$C$9=""),1,IFERROR(1-Request!$E$9/MIN(SUMIFS(Capacity_By_SKU!$K:$K,Capacity_By_SKU!$A:$A,$A7,Capacity_By_SKU!$C:$C,"NonProd",Capacity_By_SKU!$D:$D,Request!$B$9),SUMIFS(Quota_Groups!$G:$G,Quota_Groups!$B:$B,$A7,Quota_Groups!$D:$D,IFERROR(VLOOKUP(Request!$B$9,SKU_Family_Map!$A:$B,2,FALSE),""))),0)),IF(OR(Request!$B$10="",Request!$C$10=""),1,IFERROR(1-Request!$E$10/MIN(SUMIFS(Capacity_By_SKU!$K:$K,Capacity_By_SKU!$A:$A,$A7,Capacity_By_SKU!$C:$C,"NonProd",Capacity_By_SKU!$D:$D,Request!$B$10),SUMIFS(Quota_Groups!$G:$G,Quota_Groups!$B:$B,$A7,Quota_Groups!$D:$D,IFERROR(VLOOKUP(Request!$B$10,SKU_Family_Map!$A:$B,2,FALSE),""))),0)),IF(OR(Request!$B$11="",Request!$C$11=""),1,IFERROR(1-Request!$E$11/MIN(SUMIFS(Capacity_By_SKU!$K:$K,Capacity_By_SKU!$A:$A,$A7,Capacity_By_SKU!$C:$C,"NonProd",Capacity_By_SKU!$D:$D,Request!$B$11),SUMIFS(Quota_Groups!$G:$G,Quota_Groups!$B:$B,$A7,Quota_Groups!$D:$D,IFERROR(VLOOKUP(Request!$B$11,SKU_Family_Map!$A:$B,2,FALSE),""))),0)),IF(OR(Request!$B$12="",Request!$C$12=""),1,IFERROR(1-Request!$E$12/MIN(SUMIFS(Capacity_By_SKU!$K:$K,Capacity_By_SKU!$A:$A,$A7,Capacity_By_SKU!$C:$C,"NonProd",Capacity_By_SKU!$D:$D,Request!$B$12),SUMIFS(Quota_Groups!$G:$G,Quota_Groups!$B:$B,$A7,Quota_Groups!$D:$D,IFERROR(VLOOKUP(Request!$B$12,SKU_Family_Map!$A:$B,2,FALSE),""))),0)),IF(OR(Request!$B$13="",Request!$C$13=""),1,IFERROR(1-Request!$E$13/MIN(SUMIFS(Capacity_By_SKU!$K:$K,Capacity_By_SKU!$A:$A,$A7,Capacity_By_SKU!$C:$C,"NonProd",Capacity_By_SKU!$D:$D,Request!$B$13),SUMIFS(Quota_Groups!$G:$G,Quota_Groups!$B:$B,$A7,Quota_Groups!$D:$D,IFERROR(VLOOKUP(Request!$B$13,SKU_Family_Map!$A:$B,2,FALSE),""))),0)),IF(OR(Request!$B$14="",Request!$C$14=""),1,IFERROR(1-Request!$E$14/MIN(SUMIFS(Capacity_By_SKU!$K:$K,Capacity_By_SKU!$A:$A,$A7,Capacity_By_SKU!$C:$C,"NonProd",Capacity_By_SKU!$D:$D,Request!$B$14),SUMIFS(Quota_Groups!$G:$G,Quota_Groups!$B:$B,$A7,Quota_Groups!$D:$D,IFERROR(VLOOKUP(Request!$B$14,SKU_Family_Map!$A:$B,2,FALSE),""))),0)),IF(OR(Request!$B$15="",Request!$C$15=""),1,IFERROR(1-Request!$E$15/MIN(SUMIFS(Capacity_By_SKU!$K:$K,Capacity_By_SKU!$A:$A,$A7,Capacity_By_SKU!$C:$C,"NonProd",Capacity_By_SKU!$D:$D,Request!$B$15),SUMIFS(Quota_Groups!$G:$G,Quota_Groups!$B:$B,$A7,Quota_Groups!$D:$D,IFERROR(VLOOKUP(Request!$B$15,SKU_Family_Map!$A:$B,2,FALSE),""))),0)))&lt;Policy!$B$10,"READY_WITH_RISK","READY")))))</f>
        <v/>
      </c>
      <c r="I7" s="16">
        <f>IF(AND(F7=1,G7=1,OR(H7="READY",H7="READY_WITH_RISK")),1,0)</f>
        <v/>
      </c>
      <c r="J7" s="16">
        <f>IF(I7=1,MAX(0,MIN(IF(OR(Request!$B$8="",Request!$C$8=""),1,IFERROR(1-Request!$E$8/MIN(SUMIFS(Capacity_By_SKU!$K:$K,Capacity_By_SKU!$A:$A,$A7,Capacity_By_SKU!$C:$C,"NonProd",Capacity_By_SKU!$D:$D,Request!$B$8),SUMIFS(Quota_Groups!$G:$G,Quota_Groups!$B:$B,$A7,Quota_Groups!$D:$D,IFERROR(VLOOKUP(Request!$B$8,SKU_Family_Map!$A:$B,2,FALSE),""))),0)),IF(OR(Request!$B$9="",Request!$C$9=""),1,IFERROR(1-Request!$E$9/MIN(SUMIFS(Capacity_By_SKU!$K:$K,Capacity_By_SKU!$A:$A,$A7,Capacity_By_SKU!$C:$C,"NonProd",Capacity_By_SKU!$D:$D,Request!$B$9),SUMIFS(Quota_Groups!$G:$G,Quota_Groups!$B:$B,$A7,Quota_Groups!$D:$D,IFERROR(VLOOKUP(Request!$B$9,SKU_Family_Map!$A:$B,2,FALSE),""))),0)),IF(OR(Request!$B$10="",Request!$C$10=""),1,IFERROR(1-Request!$E$10/MIN(SUMIFS(Capacity_By_SKU!$K:$K,Capacity_By_SKU!$A:$A,$A7,Capacity_By_SKU!$C:$C,"NonProd",Capacity_By_SKU!$D:$D,Request!$B$10),SUMIFS(Quota_Groups!$G:$G,Quota_Groups!$B:$B,$A7,Quota_Groups!$D:$D,IFERROR(VLOOKUP(Request!$B$10,SKU_Family_Map!$A:$B,2,FALSE),""))),0)),IF(OR(Request!$B$11="",Request!$C$11=""),1,IFERROR(1-Request!$E$11/MIN(SUMIFS(Capacity_By_SKU!$K:$K,Capacity_By_SKU!$A:$A,$A7,Capacity_By_SKU!$C:$C,"NonProd",Capacity_By_SKU!$D:$D,Request!$B$11),SUMIFS(Quota_Groups!$G:$G,Quota_Groups!$B:$B,$A7,Quota_Groups!$D:$D,IFERROR(VLOOKUP(Request!$B$11,SKU_Family_Map!$A:$B,2,FALSE),""))),0)),IF(OR(Request!$B$12="",Request!$C$12=""),1,IFERROR(1-Request!$E$12/MIN(SUMIFS(Capacity_By_SKU!$K:$K,Capacity_By_SKU!$A:$A,$A7,Capacity_By_SKU!$C:$C,"NonProd",Capacity_By_SKU!$D:$D,Request!$B$12),SUMIFS(Quota_Groups!$G:$G,Quota_Groups!$B:$B,$A7,Quota_Groups!$D:$D,IFERROR(VLOOKUP(Request!$B$12,SKU_Family_Map!$A:$B,2,FALSE),""))),0)),IF(OR(Request!$B$13="",Request!$C$13=""),1,IFERROR(1-Request!$E$13/MIN(SUMIFS(Capacity_By_SKU!$K:$K,Capacity_By_SKU!$A:$A,$A7,Capacity_By_SKU!$C:$C,"NonProd",Capacity_By_SKU!$D:$D,Request!$B$13),SUMIFS(Quota_Groups!$G:$G,Quota_Groups!$B:$B,$A7,Quota_Groups!$D:$D,IFERROR(VLOOKUP(Request!$B$13,SKU_Family_Map!$A:$B,2,FALSE),""))),0)),IF(OR(Request!$B$14="",Request!$C$14=""),1,IFERROR(1-Request!$E$14/MIN(SUMIFS(Capacity_By_SKU!$K:$K,Capacity_By_SKU!$A:$A,$A7,Capacity_By_SKU!$C:$C,"NonProd",Capacity_By_SKU!$D:$D,Request!$B$14),SUMIFS(Quota_Groups!$G:$G,Quota_Groups!$B:$B,$A7,Quota_Groups!$D:$D,IFERROR(VLOOKUP(Request!$B$14,SKU_Family_Map!$A:$B,2,FALSE),""))),0)),IF(OR(Request!$B$15="",Request!$C$15=""),1,IFERROR(1-Request!$E$15/MIN(SUMIFS(Capacity_By_SKU!$K:$K,Capacity_By_SKU!$A:$A,$A7,Capacity_By_SKU!$C:$C,"NonProd",Capacity_By_SKU!$D:$D,Request!$B$15),SUMIFS(Quota_Groups!$G:$G,Quota_Groups!$B:$B,$A7,Quota_Groups!$D:$D,IFERROR(VLOOKUP(Request!$B$15,SKU_Family_Map!$A:$B,2,FALSE),""))),0)))),0)</f>
        <v/>
      </c>
      <c r="K7" s="16">
        <f>IF(I7=1,MAX(0,MIN(IF(OR(Request!$B$8="",Request!$C$8=""),1,IFERROR(SUMIFS(Quota_Groups!$G:$G,Quota_Groups!$B:$B,$A7,Quota_Groups!$D:$D,IFERROR(VLOOKUP(Request!$B$8,SKU_Family_Map!$A:$B,2,FALSE),""))/MAX(SUMIFS(Quota_Groups!$E:$E,Quota_Groups!$B:$B,$A7,Quota_Groups!$D:$D,IFERROR(VLOOKUP(Request!$B$8,SKU_Family_Map!$A:$B,2,FALSE),"")),1),0)),IF(OR(Request!$B$9="",Request!$C$9=""),1,IFERROR(SUMIFS(Quota_Groups!$G:$G,Quota_Groups!$B:$B,$A7,Quota_Groups!$D:$D,IFERROR(VLOOKUP(Request!$B$9,SKU_Family_Map!$A:$B,2,FALSE),""))/MAX(SUMIFS(Quota_Groups!$E:$E,Quota_Groups!$B:$B,$A7,Quota_Groups!$D:$D,IFERROR(VLOOKUP(Request!$B$9,SKU_Family_Map!$A:$B,2,FALSE),"")),1),0)),IF(OR(Request!$B$10="",Request!$C$10=""),1,IFERROR(SUMIFS(Quota_Groups!$G:$G,Quota_Groups!$B:$B,$A7,Quota_Groups!$D:$D,IFERROR(VLOOKUP(Request!$B$10,SKU_Family_Map!$A:$B,2,FALSE),""))/MAX(SUMIFS(Quota_Groups!$E:$E,Quota_Groups!$B:$B,$A7,Quota_Groups!$D:$D,IFERROR(VLOOKUP(Request!$B$10,SKU_Family_Map!$A:$B,2,FALSE),"")),1),0)),IF(OR(Request!$B$11="",Request!$C$11=""),1,IFERROR(SUMIFS(Quota_Groups!$G:$G,Quota_Groups!$B:$B,$A7,Quota_Groups!$D:$D,IFERROR(VLOOKUP(Request!$B$11,SKU_Family_Map!$A:$B,2,FALSE),""))/MAX(SUMIFS(Quota_Groups!$E:$E,Quota_Groups!$B:$B,$A7,Quota_Groups!$D:$D,IFERROR(VLOOKUP(Request!$B$11,SKU_Family_Map!$A:$B,2,FALSE),"")),1),0)),IF(OR(Request!$B$12="",Request!$C$12=""),1,IFERROR(SUMIFS(Quota_Groups!$G:$G,Quota_Groups!$B:$B,$A7,Quota_Groups!$D:$D,IFERROR(VLOOKUP(Request!$B$12,SKU_Family_Map!$A:$B,2,FALSE),""))/MAX(SUMIFS(Quota_Groups!$E:$E,Quota_Groups!$B:$B,$A7,Quota_Groups!$D:$D,IFERROR(VLOOKUP(Request!$B$12,SKU_Family_Map!$A:$B,2,FALSE),"")),1),0)),IF(OR(Request!$B$13="",Request!$C$13=""),1,IFERROR(SUMIFS(Quota_Groups!$G:$G,Quota_Groups!$B:$B,$A7,Quota_Groups!$D:$D,IFERROR(VLOOKUP(Request!$B$13,SKU_Family_Map!$A:$B,2,FALSE),""))/MAX(SUMIFS(Quota_Groups!$E:$E,Quota_Groups!$B:$B,$A7,Quota_Groups!$D:$D,IFERROR(VLOOKUP(Request!$B$13,SKU_Family_Map!$A:$B,2,FALSE),"")),1),0)),IF(OR(Request!$B$14="",Request!$C$14=""),1,IFERROR(SUMIFS(Quota_Groups!$G:$G,Quota_Groups!$B:$B,$A7,Quota_Groups!$D:$D,IFERROR(VLOOKUP(Request!$B$14,SKU_Family_Map!$A:$B,2,FALSE),""))/MAX(SUMIFS(Quota_Groups!$E:$E,Quota_Groups!$B:$B,$A7,Quota_Groups!$D:$D,IFERROR(VLOOKUP(Request!$B$14,SKU_Family_Map!$A:$B,2,FALSE),"")),1),0)),IF(OR(Request!$B$15="",Request!$C$15=""),1,IFERROR(SUMIFS(Quota_Groups!$G:$G,Quota_Groups!$B:$B,$A7,Quota_Groups!$D:$D,IFERROR(VLOOKUP(Request!$B$15,SKU_Family_Map!$A:$B,2,FALSE),""))/MAX(SUMIFS(Quota_Groups!$E:$E,Quota_Groups!$B:$B,$A7,Quota_Groups!$D:$D,IFERROR(VLOOKUP(Request!$B$15,SKU_Family_Map!$A:$B,2,FALSE),"")),1),0)))),0)</f>
        <v/>
      </c>
      <c r="L7" s="16">
        <f>IF(I7=1,MAX(0,MIN(IF(OR(Request!$B$8="",Request!$C$8=""),1,IFERROR(SUMIFS(Capacity_By_SKU!$K:$K,Capacity_By_SKU!$A:$A,$A7,Capacity_By_SKU!$C:$C,"NonProd",Capacity_By_SKU!$D:$D,Request!$B$8)/MAX(SUMIFS(Capacity_By_SKU!$J:$J,Capacity_By_SKU!$A:$A,$A7,Capacity_By_SKU!$C:$C,"NonProd",Capacity_By_SKU!$D:$D,Request!$B$8),1),0)),IF(OR(Request!$B$9="",Request!$C$9=""),1,IFERROR(SUMIFS(Capacity_By_SKU!$K:$K,Capacity_By_SKU!$A:$A,$A7,Capacity_By_SKU!$C:$C,"NonProd",Capacity_By_SKU!$D:$D,Request!$B$9)/MAX(SUMIFS(Capacity_By_SKU!$J:$J,Capacity_By_SKU!$A:$A,$A7,Capacity_By_SKU!$C:$C,"NonProd",Capacity_By_SKU!$D:$D,Request!$B$9),1),0)),IF(OR(Request!$B$10="",Request!$C$10=""),1,IFERROR(SUMIFS(Capacity_By_SKU!$K:$K,Capacity_By_SKU!$A:$A,$A7,Capacity_By_SKU!$C:$C,"NonProd",Capacity_By_SKU!$D:$D,Request!$B$10)/MAX(SUMIFS(Capacity_By_SKU!$J:$J,Capacity_By_SKU!$A:$A,$A7,Capacity_By_SKU!$C:$C,"NonProd",Capacity_By_SKU!$D:$D,Request!$B$10),1),0)),IF(OR(Request!$B$11="",Request!$C$11=""),1,IFERROR(SUMIFS(Capacity_By_SKU!$K:$K,Capacity_By_SKU!$A:$A,$A7,Capacity_By_SKU!$C:$C,"NonProd",Capacity_By_SKU!$D:$D,Request!$B$11)/MAX(SUMIFS(Capacity_By_SKU!$J:$J,Capacity_By_SKU!$A:$A,$A7,Capacity_By_SKU!$C:$C,"NonProd",Capacity_By_SKU!$D:$D,Request!$B$11),1),0)),IF(OR(Request!$B$12="",Request!$C$12=""),1,IFERROR(SUMIFS(Capacity_By_SKU!$K:$K,Capacity_By_SKU!$A:$A,$A7,Capacity_By_SKU!$C:$C,"NonProd",Capacity_By_SKU!$D:$D,Request!$B$12)/MAX(SUMIFS(Capacity_By_SKU!$J:$J,Capacity_By_SKU!$A:$A,$A7,Capacity_By_SKU!$C:$C,"NonProd",Capacity_By_SKU!$D:$D,Request!$B$12),1),0)),IF(OR(Request!$B$13="",Request!$C$13=""),1,IFERROR(SUMIFS(Capacity_By_SKU!$K:$K,Capacity_By_SKU!$A:$A,$A7,Capacity_By_SKU!$C:$C,"NonProd",Capacity_By_SKU!$D:$D,Request!$B$13)/MAX(SUMIFS(Capacity_By_SKU!$J:$J,Capacity_By_SKU!$A:$A,$A7,Capacity_By_SKU!$C:$C,"NonProd",Capacity_By_SKU!$D:$D,Request!$B$13),1),0)),IF(OR(Request!$B$14="",Request!$C$14=""),1,IFERROR(SUMIFS(Capacity_By_SKU!$K:$K,Capacity_By_SKU!$A:$A,$A7,Capacity_By_SKU!$C:$C,"NonProd",Capacity_By_SKU!$D:$D,Request!$B$14)/MAX(SUMIFS(Capacity_By_SKU!$J:$J,Capacity_By_SKU!$A:$A,$A7,Capacity_By_SKU!$C:$C,"NonProd",Capacity_By_SKU!$D:$D,Request!$B$14),1),0)),IF(OR(Request!$B$15="",Request!$C$15=""),1,IFERROR(SUMIFS(Capacity_By_SKU!$K:$K,Capacity_By_SKU!$A:$A,$A7,Capacity_By_SKU!$C:$C,"NonProd",Capacity_By_SKU!$D:$D,Request!$B$15)/MAX(SUMIFS(Capacity_By_SKU!$J:$J,Capacity_By_SKU!$A:$A,$A7,Capacity_By_SKU!$C:$C,"NonProd",Capacity_By_SKU!$D:$D,Request!$B$15),1),0)))),0)</f>
        <v/>
      </c>
      <c r="M7" s="22">
        <f>IF(I7=1,ROUND(Policy!$B$4*J7+Policy!$B$5*K7+Policy!$B$6*L7,4),"")</f>
        <v/>
      </c>
      <c r="N7" s="16">
        <f>IF(I7=1,SUMPRODUCT(($I$4:$I$11=1)*($M$4:$M$11&gt;M7))+1,"")</f>
        <v/>
      </c>
      <c r="O7" s="16">
        <f>IF(I7=0,"N/A",IF(MIN(IF(OR(Request!$B$8="",Request!$C$8=""),1,IFERROR(SUMIFS(Capacity_By_SKU!$K:$K,Capacity_By_SKU!$A:$A,$A7,Capacity_By_SKU!$C:$C,"NonProd",Capacity_By_SKU!$D:$D,Request!$B$8)/MAX(SUMIFS(Capacity_By_SKU!$J:$J,Capacity_By_SKU!$A:$A,$A7,Capacity_By_SKU!$C:$C,"NonProd",Capacity_By_SKU!$D:$D,Request!$B$8),1),0)),IF(OR(Request!$B$9="",Request!$C$9=""),1,IFERROR(SUMIFS(Capacity_By_SKU!$K:$K,Capacity_By_SKU!$A:$A,$A7,Capacity_By_SKU!$C:$C,"NonProd",Capacity_By_SKU!$D:$D,Request!$B$9)/MAX(SUMIFS(Capacity_By_SKU!$J:$J,Capacity_By_SKU!$A:$A,$A7,Capacity_By_SKU!$C:$C,"NonProd",Capacity_By_SKU!$D:$D,Request!$B$9),1),0)),IF(OR(Request!$B$10="",Request!$C$10=""),1,IFERROR(SUMIFS(Capacity_By_SKU!$K:$K,Capacity_By_SKU!$A:$A,$A7,Capacity_By_SKU!$C:$C,"NonProd",Capacity_By_SKU!$D:$D,Request!$B$10)/MAX(SUMIFS(Capacity_By_SKU!$J:$J,Capacity_By_SKU!$A:$A,$A7,Capacity_By_SKU!$C:$C,"NonProd",Capacity_By_SKU!$D:$D,Request!$B$10),1),0)),IF(OR(Request!$B$11="",Request!$C$11=""),1,IFERROR(SUMIFS(Capacity_By_SKU!$K:$K,Capacity_By_SKU!$A:$A,$A7,Capacity_By_SKU!$C:$C,"NonProd",Capacity_By_SKU!$D:$D,Request!$B$11)/MAX(SUMIFS(Capacity_By_SKU!$J:$J,Capacity_By_SKU!$A:$A,$A7,Capacity_By_SKU!$C:$C,"NonProd",Capacity_By_SKU!$D:$D,Request!$B$11),1),0)),IF(OR(Request!$B$12="",Request!$C$12=""),1,IFERROR(SUMIFS(Capacity_By_SKU!$K:$K,Capacity_By_SKU!$A:$A,$A7,Capacity_By_SKU!$C:$C,"NonProd",Capacity_By_SKU!$D:$D,Request!$B$12)/MAX(SUMIFS(Capacity_By_SKU!$J:$J,Capacity_By_SKU!$A:$A,$A7,Capacity_By_SKU!$C:$C,"NonProd",Capacity_By_SKU!$D:$D,Request!$B$12),1),0)),IF(OR(Request!$B$13="",Request!$C$13=""),1,IFERROR(SUMIFS(Capacity_By_SKU!$K:$K,Capacity_By_SKU!$A:$A,$A7,Capacity_By_SKU!$C:$C,"NonProd",Capacity_By_SKU!$D:$D,Request!$B$13)/MAX(SUMIFS(Capacity_By_SKU!$J:$J,Capacity_By_SKU!$A:$A,$A7,Capacity_By_SKU!$C:$C,"NonProd",Capacity_By_SKU!$D:$D,Request!$B$13),1),0)),IF(OR(Request!$B$14="",Request!$C$14=""),1,IFERROR(SUMIFS(Capacity_By_SKU!$K:$K,Capacity_By_SKU!$A:$A,$A7,Capacity_By_SKU!$C:$C,"NonProd",Capacity_By_SKU!$D:$D,Request!$B$14)/MAX(SUMIFS(Capacity_By_SKU!$J:$J,Capacity_By_SKU!$A:$A,$A7,Capacity_By_SKU!$C:$C,"NonProd",Capacity_By_SKU!$D:$D,Request!$B$14),1),0)),IF(OR(Request!$B$15="",Request!$C$15=""),1,IFERROR(SUMIFS(Capacity_By_SKU!$K:$K,Capacity_By_SKU!$A:$A,$A7,Capacity_By_SKU!$C:$C,"NonProd",Capacity_By_SKU!$D:$D,Request!$B$15)/MAX(SUMIFS(Capacity_By_SKU!$J:$J,Capacity_By_SKU!$A:$A,$A7,Capacity_By_SKU!$C:$C,"NonProd",Capacity_By_SKU!$D:$D,Request!$B$15),1),0)))&lt;=MIN(IF(OR(Request!$B$8="",Request!$C$8=""),1,IFERROR(SUMIFS(Quota_Groups!$G:$G,Quota_Groups!$B:$B,$A7,Quota_Groups!$D:$D,IFERROR(VLOOKUP(Request!$B$8,SKU_Family_Map!$A:$B,2,FALSE),""))/MAX(SUMIFS(Quota_Groups!$E:$E,Quota_Groups!$B:$B,$A7,Quota_Groups!$D:$D,IFERROR(VLOOKUP(Request!$B$8,SKU_Family_Map!$A:$B,2,FALSE),"")),1),0)),IF(OR(Request!$B$9="",Request!$C$9=""),1,IFERROR(SUMIFS(Quota_Groups!$G:$G,Quota_Groups!$B:$B,$A7,Quota_Groups!$D:$D,IFERROR(VLOOKUP(Request!$B$9,SKU_Family_Map!$A:$B,2,FALSE),""))/MAX(SUMIFS(Quota_Groups!$E:$E,Quota_Groups!$B:$B,$A7,Quota_Groups!$D:$D,IFERROR(VLOOKUP(Request!$B$9,SKU_Family_Map!$A:$B,2,FALSE),"")),1),0)),IF(OR(Request!$B$10="",Request!$C$10=""),1,IFERROR(SUMIFS(Quota_Groups!$G:$G,Quota_Groups!$B:$B,$A7,Quota_Groups!$D:$D,IFERROR(VLOOKUP(Request!$B$10,SKU_Family_Map!$A:$B,2,FALSE),""))/MAX(SUMIFS(Quota_Groups!$E:$E,Quota_Groups!$B:$B,$A7,Quota_Groups!$D:$D,IFERROR(VLOOKUP(Request!$B$10,SKU_Family_Map!$A:$B,2,FALSE),"")),1),0)),IF(OR(Request!$B$11="",Request!$C$11=""),1,IFERROR(SUMIFS(Quota_Groups!$G:$G,Quota_Groups!$B:$B,$A7,Quota_Groups!$D:$D,IFERROR(VLOOKUP(Request!$B$11,SKU_Family_Map!$A:$B,2,FALSE),""))/MAX(SUMIFS(Quota_Groups!$E:$E,Quota_Groups!$B:$B,$A7,Quota_Groups!$D:$D,IFERROR(VLOOKUP(Request!$B$11,SKU_Family_Map!$A:$B,2,FALSE),"")),1),0)),IF(OR(Request!$B$12="",Request!$C$12=""),1,IFERROR(SUMIFS(Quota_Groups!$G:$G,Quota_Groups!$B:$B,$A7,Quota_Groups!$D:$D,IFERROR(VLOOKUP(Request!$B$12,SKU_Family_Map!$A:$B,2,FALSE),""))/MAX(SUMIFS(Quota_Groups!$E:$E,Quota_Groups!$B:$B,$A7,Quota_Groups!$D:$D,IFERROR(VLOOKUP(Request!$B$12,SKU_Family_Map!$A:$B,2,FALSE),"")),1),0)),IF(OR(Request!$B$13="",Request!$C$13=""),1,IFERROR(SUMIFS(Quota_Groups!$G:$G,Quota_Groups!$B:$B,$A7,Quota_Groups!$D:$D,IFERROR(VLOOKUP(Request!$B$13,SKU_Family_Map!$A:$B,2,FALSE),""))/MAX(SUMIFS(Quota_Groups!$E:$E,Quota_Groups!$B:$B,$A7,Quota_Groups!$D:$D,IFERROR(VLOOKUP(Request!$B$13,SKU_Family_Map!$A:$B,2,FALSE),"")),1),0)),IF(OR(Request!$B$14="",Request!$C$14=""),1,IFERROR(SUMIFS(Quota_Groups!$G:$G,Quota_Groups!$B:$B,$A7,Quota_Groups!$D:$D,IFERROR(VLOOKUP(Request!$B$14,SKU_Family_Map!$A:$B,2,FALSE),""))/MAX(SUMIFS(Quota_Groups!$E:$E,Quota_Groups!$B:$B,$A7,Quota_Groups!$D:$D,IFERROR(VLOOKUP(Request!$B$14,SKU_Family_Map!$A:$B,2,FALSE),"")),1),0)),IF(OR(Request!$B$15="",Request!$C$15=""),1,IFERROR(SUMIFS(Quota_Groups!$G:$G,Quota_Groups!$B:$B,$A7,Quota_Groups!$D:$D,IFERROR(VLOOKUP(Request!$B$15,SKU_Family_Map!$A:$B,2,FALSE),""))/MAX(SUMIFS(Quota_Groups!$E:$E,Quota_Groups!$B:$B,$A7,Quota_Groups!$D:$D,IFERROR(VLOOKUP(Request!$B$15,SKU_Family_Map!$A:$B,2,FALSE),"")),1),0))),"CAPACITY","QUOTA"))</f>
        <v/>
      </c>
    </row>
    <row r="8">
      <c r="A8" s="12" t="inlineStr">
        <is>
          <t>Switzerland North</t>
        </is>
      </c>
      <c r="B8" s="16" t="inlineStr">
        <is>
          <t>EU</t>
        </is>
      </c>
      <c r="C8" s="16" t="inlineStr">
        <is>
          <t>NonProd</t>
        </is>
      </c>
      <c r="D8" s="16">
        <f>Request!$B$17</f>
        <v/>
      </c>
      <c r="E8" s="16">
        <f>Request!$B$18</f>
        <v/>
      </c>
      <c r="F8" s="16">
        <f>IF(B8=Request!$B$4,1,0)</f>
        <v/>
      </c>
      <c r="G8" s="18">
        <f>IF(Request!$B$17=0,0,MIN(IF(OR(Request!$B$8="",Request!$C$8=""),1,IF(MIN(SUMIFS(Capacity_By_SKU!$K:$K,Capacity_By_SKU!$A:$A,$A8,Capacity_By_SKU!$C:$C,"NonProd",Capacity_By_SKU!$D:$D,Request!$B$8),SUMIFS(Quota_Groups!$G:$G,Quota_Groups!$B:$B,$A8,Quota_Groups!$D:$D,IFERROR(VLOOKUP(Request!$B$8,SKU_Family_Map!$A:$B,2,FALSE),"")))&gt;=Request!$E$8,1,0)),IF(OR(Request!$B$9="",Request!$C$9=""),1,IF(MIN(SUMIFS(Capacity_By_SKU!$K:$K,Capacity_By_SKU!$A:$A,$A8,Capacity_By_SKU!$C:$C,"NonProd",Capacity_By_SKU!$D:$D,Request!$B$9),SUMIFS(Quota_Groups!$G:$G,Quota_Groups!$B:$B,$A8,Quota_Groups!$D:$D,IFERROR(VLOOKUP(Request!$B$9,SKU_Family_Map!$A:$B,2,FALSE),"")))&gt;=Request!$E$9,1,0)),IF(OR(Request!$B$10="",Request!$C$10=""),1,IF(MIN(SUMIFS(Capacity_By_SKU!$K:$K,Capacity_By_SKU!$A:$A,$A8,Capacity_By_SKU!$C:$C,"NonProd",Capacity_By_SKU!$D:$D,Request!$B$10),SUMIFS(Quota_Groups!$G:$G,Quota_Groups!$B:$B,$A8,Quota_Groups!$D:$D,IFERROR(VLOOKUP(Request!$B$10,SKU_Family_Map!$A:$B,2,FALSE),"")))&gt;=Request!$E$10,1,0)),IF(OR(Request!$B$11="",Request!$C$11=""),1,IF(MIN(SUMIFS(Capacity_By_SKU!$K:$K,Capacity_By_SKU!$A:$A,$A8,Capacity_By_SKU!$C:$C,"NonProd",Capacity_By_SKU!$D:$D,Request!$B$11),SUMIFS(Quota_Groups!$G:$G,Quota_Groups!$B:$B,$A8,Quota_Groups!$D:$D,IFERROR(VLOOKUP(Request!$B$11,SKU_Family_Map!$A:$B,2,FALSE),"")))&gt;=Request!$E$11,1,0)),IF(OR(Request!$B$12="",Request!$C$12=""),1,IF(MIN(SUMIFS(Capacity_By_SKU!$K:$K,Capacity_By_SKU!$A:$A,$A8,Capacity_By_SKU!$C:$C,"NonProd",Capacity_By_SKU!$D:$D,Request!$B$12),SUMIFS(Quota_Groups!$G:$G,Quota_Groups!$B:$B,$A8,Quota_Groups!$D:$D,IFERROR(VLOOKUP(Request!$B$12,SKU_Family_Map!$A:$B,2,FALSE),"")))&gt;=Request!$E$12,1,0)),IF(OR(Request!$B$13="",Request!$C$13=""),1,IF(MIN(SUMIFS(Capacity_By_SKU!$K:$K,Capacity_By_SKU!$A:$A,$A8,Capacity_By_SKU!$C:$C,"NonProd",Capacity_By_SKU!$D:$D,Request!$B$13),SUMIFS(Quota_Groups!$G:$G,Quota_Groups!$B:$B,$A8,Quota_Groups!$D:$D,IFERROR(VLOOKUP(Request!$B$13,SKU_Family_Map!$A:$B,2,FALSE),"")))&gt;=Request!$E$13,1,0)),IF(OR(Request!$B$14="",Request!$C$14=""),1,IF(MIN(SUMIFS(Capacity_By_SKU!$K:$K,Capacity_By_SKU!$A:$A,$A8,Capacity_By_SKU!$C:$C,"NonProd",Capacity_By_SKU!$D:$D,Request!$B$14),SUMIFS(Quota_Groups!$G:$G,Quota_Groups!$B:$B,$A8,Quota_Groups!$D:$D,IFERROR(VLOOKUP(Request!$B$14,SKU_Family_Map!$A:$B,2,FALSE),"")))&gt;=Request!$E$14,1,0)),IF(OR(Request!$B$15="",Request!$C$15=""),1,IF(MIN(SUMIFS(Capacity_By_SKU!$K:$K,Capacity_By_SKU!$A:$A,$A8,Capacity_By_SKU!$C:$C,"NonProd",Capacity_By_SKU!$D:$D,Request!$B$15),SUMIFS(Quota_Groups!$G:$G,Quota_Groups!$B:$B,$A8,Quota_Groups!$D:$D,IFERROR(VLOOKUP(Request!$B$15,SKU_Family_Map!$A:$B,2,FALSE),"")))&gt;=Request!$E$15,1,0))))</f>
        <v/>
      </c>
      <c r="H8" s="12">
        <f>IF(Request!$B$17=0,"NO_REQUEST",IF(SUM(IF(AND(Request!$B$8&lt;&gt;"",Request!$C$8&lt;&gt;"",SUMIFS(Capacity_By_SKU!$K:$K,Capacity_By_SKU!$A:$A,$A8,Capacity_By_SKU!$C:$C,"NonProd",Capacity_By_SKU!$D:$D,Request!$B$8)&lt;=0),1,0),IF(AND(Request!$B$9&lt;&gt;"",Request!$C$9&lt;&gt;"",SUMIFS(Capacity_By_SKU!$K:$K,Capacity_By_SKU!$A:$A,$A8,Capacity_By_SKU!$C:$C,"NonProd",Capacity_By_SKU!$D:$D,Request!$B$9)&lt;=0),1,0),IF(AND(Request!$B$10&lt;&gt;"",Request!$C$10&lt;&gt;"",SUMIFS(Capacity_By_SKU!$K:$K,Capacity_By_SKU!$A:$A,$A8,Capacity_By_SKU!$C:$C,"NonProd",Capacity_By_SKU!$D:$D,Request!$B$10)&lt;=0),1,0),IF(AND(Request!$B$11&lt;&gt;"",Request!$C$11&lt;&gt;"",SUMIFS(Capacity_By_SKU!$K:$K,Capacity_By_SKU!$A:$A,$A8,Capacity_By_SKU!$C:$C,"NonProd",Capacity_By_SKU!$D:$D,Request!$B$11)&lt;=0),1,0),IF(AND(Request!$B$12&lt;&gt;"",Request!$C$12&lt;&gt;"",SUMIFS(Capacity_By_SKU!$K:$K,Capacity_By_SKU!$A:$A,$A8,Capacity_By_SKU!$C:$C,"NonProd",Capacity_By_SKU!$D:$D,Request!$B$12)&lt;=0),1,0),IF(AND(Request!$B$13&lt;&gt;"",Request!$C$13&lt;&gt;"",SUMIFS(Capacity_By_SKU!$K:$K,Capacity_By_SKU!$A:$A,$A8,Capacity_By_SKU!$C:$C,"NonProd",Capacity_By_SKU!$D:$D,Request!$B$13)&lt;=0),1,0),IF(AND(Request!$B$14&lt;&gt;"",Request!$C$14&lt;&gt;"",SUMIFS(Capacity_By_SKU!$K:$K,Capacity_By_SKU!$A:$A,$A8,Capacity_By_SKU!$C:$C,"NonProd",Capacity_By_SKU!$D:$D,Request!$B$14)&lt;=0),1,0),IF(AND(Request!$B$15&lt;&gt;"",Request!$C$15&lt;&gt;"",SUMIFS(Capacity_By_SKU!$K:$K,Capacity_By_SKU!$A:$A,$A8,Capacity_By_SKU!$C:$C,"NonProd",Capacity_By_SKU!$D:$D,Request!$B$15)&lt;=0),1,0))&gt;0,"RESERVATION_DEFICIT",IF(SUM(IF(AND(Request!$B$8&lt;&gt;"",Request!$C$8&lt;&gt;"",SUMIFS(Quota_Groups!$G:$G,Quota_Groups!$B:$B,$A8,Quota_Groups!$D:$D,IFERROR(VLOOKUP(Request!$B$8,SKU_Family_Map!$A:$B,2,FALSE),""))&lt;=0),1,0),IF(AND(Request!$B$9&lt;&gt;"",Request!$C$9&lt;&gt;"",SUMIFS(Quota_Groups!$G:$G,Quota_Groups!$B:$B,$A8,Quota_Groups!$D:$D,IFERROR(VLOOKUP(Request!$B$9,SKU_Family_Map!$A:$B,2,FALSE),""))&lt;=0),1,0),IF(AND(Request!$B$10&lt;&gt;"",Request!$C$10&lt;&gt;"",SUMIFS(Quota_Groups!$G:$G,Quota_Groups!$B:$B,$A8,Quota_Groups!$D:$D,IFERROR(VLOOKUP(Request!$B$10,SKU_Family_Map!$A:$B,2,FALSE),""))&lt;=0),1,0),IF(AND(Request!$B$11&lt;&gt;"",Request!$C$11&lt;&gt;"",SUMIFS(Quota_Groups!$G:$G,Quota_Groups!$B:$B,$A8,Quota_Groups!$D:$D,IFERROR(VLOOKUP(Request!$B$11,SKU_Family_Map!$A:$B,2,FALSE),""))&lt;=0),1,0),IF(AND(Request!$B$12&lt;&gt;"",Request!$C$12&lt;&gt;"",SUMIFS(Quota_Groups!$G:$G,Quota_Groups!$B:$B,$A8,Quota_Groups!$D:$D,IFERROR(VLOOKUP(Request!$B$12,SKU_Family_Map!$A:$B,2,FALSE),""))&lt;=0),1,0),IF(AND(Request!$B$13&lt;&gt;"",Request!$C$13&lt;&gt;"",SUMIFS(Quota_Groups!$G:$G,Quota_Groups!$B:$B,$A8,Quota_Groups!$D:$D,IFERROR(VLOOKUP(Request!$B$13,SKU_Family_Map!$A:$B,2,FALSE),""))&lt;=0),1,0),IF(AND(Request!$B$14&lt;&gt;"",Request!$C$14&lt;&gt;"",SUMIFS(Quota_Groups!$G:$G,Quota_Groups!$B:$B,$A8,Quota_Groups!$D:$D,IFERROR(VLOOKUP(Request!$B$14,SKU_Family_Map!$A:$B,2,FALSE),""))&lt;=0),1,0),IF(AND(Request!$B$15&lt;&gt;"",Request!$C$15&lt;&gt;"",SUMIFS(Quota_Groups!$G:$G,Quota_Groups!$B:$B,$A8,Quota_Groups!$D:$D,IFERROR(VLOOKUP(Request!$B$15,SKU_Family_Map!$A:$B,2,FALSE),""))&lt;=0),1,0))&gt;0,"QUOTA_DEFICIT",IF(G8=0,"CAPACITY_DEFICIT",IF(MIN(IF(OR(Request!$B$8="",Request!$C$8=""),1,IFERROR(1-Request!$E$8/MIN(SUMIFS(Capacity_By_SKU!$K:$K,Capacity_By_SKU!$A:$A,$A8,Capacity_By_SKU!$C:$C,"NonProd",Capacity_By_SKU!$D:$D,Request!$B$8),SUMIFS(Quota_Groups!$G:$G,Quota_Groups!$B:$B,$A8,Quota_Groups!$D:$D,IFERROR(VLOOKUP(Request!$B$8,SKU_Family_Map!$A:$B,2,FALSE),""))),0)),IF(OR(Request!$B$9="",Request!$C$9=""),1,IFERROR(1-Request!$E$9/MIN(SUMIFS(Capacity_By_SKU!$K:$K,Capacity_By_SKU!$A:$A,$A8,Capacity_By_SKU!$C:$C,"NonProd",Capacity_By_SKU!$D:$D,Request!$B$9),SUMIFS(Quota_Groups!$G:$G,Quota_Groups!$B:$B,$A8,Quota_Groups!$D:$D,IFERROR(VLOOKUP(Request!$B$9,SKU_Family_Map!$A:$B,2,FALSE),""))),0)),IF(OR(Request!$B$10="",Request!$C$10=""),1,IFERROR(1-Request!$E$10/MIN(SUMIFS(Capacity_By_SKU!$K:$K,Capacity_By_SKU!$A:$A,$A8,Capacity_By_SKU!$C:$C,"NonProd",Capacity_By_SKU!$D:$D,Request!$B$10),SUMIFS(Quota_Groups!$G:$G,Quota_Groups!$B:$B,$A8,Quota_Groups!$D:$D,IFERROR(VLOOKUP(Request!$B$10,SKU_Family_Map!$A:$B,2,FALSE),""))),0)),IF(OR(Request!$B$11="",Request!$C$11=""),1,IFERROR(1-Request!$E$11/MIN(SUMIFS(Capacity_By_SKU!$K:$K,Capacity_By_SKU!$A:$A,$A8,Capacity_By_SKU!$C:$C,"NonProd",Capacity_By_SKU!$D:$D,Request!$B$11),SUMIFS(Quota_Groups!$G:$G,Quota_Groups!$B:$B,$A8,Quota_Groups!$D:$D,IFERROR(VLOOKUP(Request!$B$11,SKU_Family_Map!$A:$B,2,FALSE),""))),0)),IF(OR(Request!$B$12="",Request!$C$12=""),1,IFERROR(1-Request!$E$12/MIN(SUMIFS(Capacity_By_SKU!$K:$K,Capacity_By_SKU!$A:$A,$A8,Capacity_By_SKU!$C:$C,"NonProd",Capacity_By_SKU!$D:$D,Request!$B$12),SUMIFS(Quota_Groups!$G:$G,Quota_Groups!$B:$B,$A8,Quota_Groups!$D:$D,IFERROR(VLOOKUP(Request!$B$12,SKU_Family_Map!$A:$B,2,FALSE),""))),0)),IF(OR(Request!$B$13="",Request!$C$13=""),1,IFERROR(1-Request!$E$13/MIN(SUMIFS(Capacity_By_SKU!$K:$K,Capacity_By_SKU!$A:$A,$A8,Capacity_By_SKU!$C:$C,"NonProd",Capacity_By_SKU!$D:$D,Request!$B$13),SUMIFS(Quota_Groups!$G:$G,Quota_Groups!$B:$B,$A8,Quota_Groups!$D:$D,IFERROR(VLOOKUP(Request!$B$13,SKU_Family_Map!$A:$B,2,FALSE),""))),0)),IF(OR(Request!$B$14="",Request!$C$14=""),1,IFERROR(1-Request!$E$14/MIN(SUMIFS(Capacity_By_SKU!$K:$K,Capacity_By_SKU!$A:$A,$A8,Capacity_By_SKU!$C:$C,"NonProd",Capacity_By_SKU!$D:$D,Request!$B$14),SUMIFS(Quota_Groups!$G:$G,Quota_Groups!$B:$B,$A8,Quota_Groups!$D:$D,IFERROR(VLOOKUP(Request!$B$14,SKU_Family_Map!$A:$B,2,FALSE),""))),0)),IF(OR(Request!$B$15="",Request!$C$15=""),1,IFERROR(1-Request!$E$15/MIN(SUMIFS(Capacity_By_SKU!$K:$K,Capacity_By_SKU!$A:$A,$A8,Capacity_By_SKU!$C:$C,"NonProd",Capacity_By_SKU!$D:$D,Request!$B$15),SUMIFS(Quota_Groups!$G:$G,Quota_Groups!$B:$B,$A8,Quota_Groups!$D:$D,IFERROR(VLOOKUP(Request!$B$15,SKU_Family_Map!$A:$B,2,FALSE),""))),0)))&lt;Policy!$B$10,"READY_WITH_RISK","READY")))))</f>
        <v/>
      </c>
      <c r="I8" s="16">
        <f>IF(AND(F8=1,G8=1,OR(H8="READY",H8="READY_WITH_RISK")),1,0)</f>
        <v/>
      </c>
      <c r="J8" s="16">
        <f>IF(I8=1,MAX(0,MIN(IF(OR(Request!$B$8="",Request!$C$8=""),1,IFERROR(1-Request!$E$8/MIN(SUMIFS(Capacity_By_SKU!$K:$K,Capacity_By_SKU!$A:$A,$A8,Capacity_By_SKU!$C:$C,"NonProd",Capacity_By_SKU!$D:$D,Request!$B$8),SUMIFS(Quota_Groups!$G:$G,Quota_Groups!$B:$B,$A8,Quota_Groups!$D:$D,IFERROR(VLOOKUP(Request!$B$8,SKU_Family_Map!$A:$B,2,FALSE),""))),0)),IF(OR(Request!$B$9="",Request!$C$9=""),1,IFERROR(1-Request!$E$9/MIN(SUMIFS(Capacity_By_SKU!$K:$K,Capacity_By_SKU!$A:$A,$A8,Capacity_By_SKU!$C:$C,"NonProd",Capacity_By_SKU!$D:$D,Request!$B$9),SUMIFS(Quota_Groups!$G:$G,Quota_Groups!$B:$B,$A8,Quota_Groups!$D:$D,IFERROR(VLOOKUP(Request!$B$9,SKU_Family_Map!$A:$B,2,FALSE),""))),0)),IF(OR(Request!$B$10="",Request!$C$10=""),1,IFERROR(1-Request!$E$10/MIN(SUMIFS(Capacity_By_SKU!$K:$K,Capacity_By_SKU!$A:$A,$A8,Capacity_By_SKU!$C:$C,"NonProd",Capacity_By_SKU!$D:$D,Request!$B$10),SUMIFS(Quota_Groups!$G:$G,Quota_Groups!$B:$B,$A8,Quota_Groups!$D:$D,IFERROR(VLOOKUP(Request!$B$10,SKU_Family_Map!$A:$B,2,FALSE),""))),0)),IF(OR(Request!$B$11="",Request!$C$11=""),1,IFERROR(1-Request!$E$11/MIN(SUMIFS(Capacity_By_SKU!$K:$K,Capacity_By_SKU!$A:$A,$A8,Capacity_By_SKU!$C:$C,"NonProd",Capacity_By_SKU!$D:$D,Request!$B$11),SUMIFS(Quota_Groups!$G:$G,Quota_Groups!$B:$B,$A8,Quota_Groups!$D:$D,IFERROR(VLOOKUP(Request!$B$11,SKU_Family_Map!$A:$B,2,FALSE),""))),0)),IF(OR(Request!$B$12="",Request!$C$12=""),1,IFERROR(1-Request!$E$12/MIN(SUMIFS(Capacity_By_SKU!$K:$K,Capacity_By_SKU!$A:$A,$A8,Capacity_By_SKU!$C:$C,"NonProd",Capacity_By_SKU!$D:$D,Request!$B$12),SUMIFS(Quota_Groups!$G:$G,Quota_Groups!$B:$B,$A8,Quota_Groups!$D:$D,IFERROR(VLOOKUP(Request!$B$12,SKU_Family_Map!$A:$B,2,FALSE),""))),0)),IF(OR(Request!$B$13="",Request!$C$13=""),1,IFERROR(1-Request!$E$13/MIN(SUMIFS(Capacity_By_SKU!$K:$K,Capacity_By_SKU!$A:$A,$A8,Capacity_By_SKU!$C:$C,"NonProd",Capacity_By_SKU!$D:$D,Request!$B$13),SUMIFS(Quota_Groups!$G:$G,Quota_Groups!$B:$B,$A8,Quota_Groups!$D:$D,IFERROR(VLOOKUP(Request!$B$13,SKU_Family_Map!$A:$B,2,FALSE),""))),0)),IF(OR(Request!$B$14="",Request!$C$14=""),1,IFERROR(1-Request!$E$14/MIN(SUMIFS(Capacity_By_SKU!$K:$K,Capacity_By_SKU!$A:$A,$A8,Capacity_By_SKU!$C:$C,"NonProd",Capacity_By_SKU!$D:$D,Request!$B$14),SUMIFS(Quota_Groups!$G:$G,Quota_Groups!$B:$B,$A8,Quota_Groups!$D:$D,IFERROR(VLOOKUP(Request!$B$14,SKU_Family_Map!$A:$B,2,FALSE),""))),0)),IF(OR(Request!$B$15="",Request!$C$15=""),1,IFERROR(1-Request!$E$15/MIN(SUMIFS(Capacity_By_SKU!$K:$K,Capacity_By_SKU!$A:$A,$A8,Capacity_By_SKU!$C:$C,"NonProd",Capacity_By_SKU!$D:$D,Request!$B$15),SUMIFS(Quota_Groups!$G:$G,Quota_Groups!$B:$B,$A8,Quota_Groups!$D:$D,IFERROR(VLOOKUP(Request!$B$15,SKU_Family_Map!$A:$B,2,FALSE),""))),0)))),0)</f>
        <v/>
      </c>
      <c r="K8" s="16">
        <f>IF(I8=1,MAX(0,MIN(IF(OR(Request!$B$8="",Request!$C$8=""),1,IFERROR(SUMIFS(Quota_Groups!$G:$G,Quota_Groups!$B:$B,$A8,Quota_Groups!$D:$D,IFERROR(VLOOKUP(Request!$B$8,SKU_Family_Map!$A:$B,2,FALSE),""))/MAX(SUMIFS(Quota_Groups!$E:$E,Quota_Groups!$B:$B,$A8,Quota_Groups!$D:$D,IFERROR(VLOOKUP(Request!$B$8,SKU_Family_Map!$A:$B,2,FALSE),"")),1),0)),IF(OR(Request!$B$9="",Request!$C$9=""),1,IFERROR(SUMIFS(Quota_Groups!$G:$G,Quota_Groups!$B:$B,$A8,Quota_Groups!$D:$D,IFERROR(VLOOKUP(Request!$B$9,SKU_Family_Map!$A:$B,2,FALSE),""))/MAX(SUMIFS(Quota_Groups!$E:$E,Quota_Groups!$B:$B,$A8,Quota_Groups!$D:$D,IFERROR(VLOOKUP(Request!$B$9,SKU_Family_Map!$A:$B,2,FALSE),"")),1),0)),IF(OR(Request!$B$10="",Request!$C$10=""),1,IFERROR(SUMIFS(Quota_Groups!$G:$G,Quota_Groups!$B:$B,$A8,Quota_Groups!$D:$D,IFERROR(VLOOKUP(Request!$B$10,SKU_Family_Map!$A:$B,2,FALSE),""))/MAX(SUMIFS(Quota_Groups!$E:$E,Quota_Groups!$B:$B,$A8,Quota_Groups!$D:$D,IFERROR(VLOOKUP(Request!$B$10,SKU_Family_Map!$A:$B,2,FALSE),"")),1),0)),IF(OR(Request!$B$11="",Request!$C$11=""),1,IFERROR(SUMIFS(Quota_Groups!$G:$G,Quota_Groups!$B:$B,$A8,Quota_Groups!$D:$D,IFERROR(VLOOKUP(Request!$B$11,SKU_Family_Map!$A:$B,2,FALSE),""))/MAX(SUMIFS(Quota_Groups!$E:$E,Quota_Groups!$B:$B,$A8,Quota_Groups!$D:$D,IFERROR(VLOOKUP(Request!$B$11,SKU_Family_Map!$A:$B,2,FALSE),"")),1),0)),IF(OR(Request!$B$12="",Request!$C$12=""),1,IFERROR(SUMIFS(Quota_Groups!$G:$G,Quota_Groups!$B:$B,$A8,Quota_Groups!$D:$D,IFERROR(VLOOKUP(Request!$B$12,SKU_Family_Map!$A:$B,2,FALSE),""))/MAX(SUMIFS(Quota_Groups!$E:$E,Quota_Groups!$B:$B,$A8,Quota_Groups!$D:$D,IFERROR(VLOOKUP(Request!$B$12,SKU_Family_Map!$A:$B,2,FALSE),"")),1),0)),IF(OR(Request!$B$13="",Request!$C$13=""),1,IFERROR(SUMIFS(Quota_Groups!$G:$G,Quota_Groups!$B:$B,$A8,Quota_Groups!$D:$D,IFERROR(VLOOKUP(Request!$B$13,SKU_Family_Map!$A:$B,2,FALSE),""))/MAX(SUMIFS(Quota_Groups!$E:$E,Quota_Groups!$B:$B,$A8,Quota_Groups!$D:$D,IFERROR(VLOOKUP(Request!$B$13,SKU_Family_Map!$A:$B,2,FALSE),"")),1),0)),IF(OR(Request!$B$14="",Request!$C$14=""),1,IFERROR(SUMIFS(Quota_Groups!$G:$G,Quota_Groups!$B:$B,$A8,Quota_Groups!$D:$D,IFERROR(VLOOKUP(Request!$B$14,SKU_Family_Map!$A:$B,2,FALSE),""))/MAX(SUMIFS(Quota_Groups!$E:$E,Quota_Groups!$B:$B,$A8,Quota_Groups!$D:$D,IFERROR(VLOOKUP(Request!$B$14,SKU_Family_Map!$A:$B,2,FALSE),"")),1),0)),IF(OR(Request!$B$15="",Request!$C$15=""),1,IFERROR(SUMIFS(Quota_Groups!$G:$G,Quota_Groups!$B:$B,$A8,Quota_Groups!$D:$D,IFERROR(VLOOKUP(Request!$B$15,SKU_Family_Map!$A:$B,2,FALSE),""))/MAX(SUMIFS(Quota_Groups!$E:$E,Quota_Groups!$B:$B,$A8,Quota_Groups!$D:$D,IFERROR(VLOOKUP(Request!$B$15,SKU_Family_Map!$A:$B,2,FALSE),"")),1),0)))),0)</f>
        <v/>
      </c>
      <c r="L8" s="16">
        <f>IF(I8=1,MAX(0,MIN(IF(OR(Request!$B$8="",Request!$C$8=""),1,IFERROR(SUMIFS(Capacity_By_SKU!$K:$K,Capacity_By_SKU!$A:$A,$A8,Capacity_By_SKU!$C:$C,"NonProd",Capacity_By_SKU!$D:$D,Request!$B$8)/MAX(SUMIFS(Capacity_By_SKU!$J:$J,Capacity_By_SKU!$A:$A,$A8,Capacity_By_SKU!$C:$C,"NonProd",Capacity_By_SKU!$D:$D,Request!$B$8),1),0)),IF(OR(Request!$B$9="",Request!$C$9=""),1,IFERROR(SUMIFS(Capacity_By_SKU!$K:$K,Capacity_By_SKU!$A:$A,$A8,Capacity_By_SKU!$C:$C,"NonProd",Capacity_By_SKU!$D:$D,Request!$B$9)/MAX(SUMIFS(Capacity_By_SKU!$J:$J,Capacity_By_SKU!$A:$A,$A8,Capacity_By_SKU!$C:$C,"NonProd",Capacity_By_SKU!$D:$D,Request!$B$9),1),0)),IF(OR(Request!$B$10="",Request!$C$10=""),1,IFERROR(SUMIFS(Capacity_By_SKU!$K:$K,Capacity_By_SKU!$A:$A,$A8,Capacity_By_SKU!$C:$C,"NonProd",Capacity_By_SKU!$D:$D,Request!$B$10)/MAX(SUMIFS(Capacity_By_SKU!$J:$J,Capacity_By_SKU!$A:$A,$A8,Capacity_By_SKU!$C:$C,"NonProd",Capacity_By_SKU!$D:$D,Request!$B$10),1),0)),IF(OR(Request!$B$11="",Request!$C$11=""),1,IFERROR(SUMIFS(Capacity_By_SKU!$K:$K,Capacity_By_SKU!$A:$A,$A8,Capacity_By_SKU!$C:$C,"NonProd",Capacity_By_SKU!$D:$D,Request!$B$11)/MAX(SUMIFS(Capacity_By_SKU!$J:$J,Capacity_By_SKU!$A:$A,$A8,Capacity_By_SKU!$C:$C,"NonProd",Capacity_By_SKU!$D:$D,Request!$B$11),1),0)),IF(OR(Request!$B$12="",Request!$C$12=""),1,IFERROR(SUMIFS(Capacity_By_SKU!$K:$K,Capacity_By_SKU!$A:$A,$A8,Capacity_By_SKU!$C:$C,"NonProd",Capacity_By_SKU!$D:$D,Request!$B$12)/MAX(SUMIFS(Capacity_By_SKU!$J:$J,Capacity_By_SKU!$A:$A,$A8,Capacity_By_SKU!$C:$C,"NonProd",Capacity_By_SKU!$D:$D,Request!$B$12),1),0)),IF(OR(Request!$B$13="",Request!$C$13=""),1,IFERROR(SUMIFS(Capacity_By_SKU!$K:$K,Capacity_By_SKU!$A:$A,$A8,Capacity_By_SKU!$C:$C,"NonProd",Capacity_By_SKU!$D:$D,Request!$B$13)/MAX(SUMIFS(Capacity_By_SKU!$J:$J,Capacity_By_SKU!$A:$A,$A8,Capacity_By_SKU!$C:$C,"NonProd",Capacity_By_SKU!$D:$D,Request!$B$13),1),0)),IF(OR(Request!$B$14="",Request!$C$14=""),1,IFERROR(SUMIFS(Capacity_By_SKU!$K:$K,Capacity_By_SKU!$A:$A,$A8,Capacity_By_SKU!$C:$C,"NonProd",Capacity_By_SKU!$D:$D,Request!$B$14)/MAX(SUMIFS(Capacity_By_SKU!$J:$J,Capacity_By_SKU!$A:$A,$A8,Capacity_By_SKU!$C:$C,"NonProd",Capacity_By_SKU!$D:$D,Request!$B$14),1),0)),IF(OR(Request!$B$15="",Request!$C$15=""),1,IFERROR(SUMIFS(Capacity_By_SKU!$K:$K,Capacity_By_SKU!$A:$A,$A8,Capacity_By_SKU!$C:$C,"NonProd",Capacity_By_SKU!$D:$D,Request!$B$15)/MAX(SUMIFS(Capacity_By_SKU!$J:$J,Capacity_By_SKU!$A:$A,$A8,Capacity_By_SKU!$C:$C,"NonProd",Capacity_By_SKU!$D:$D,Request!$B$15),1),0)))),0)</f>
        <v/>
      </c>
      <c r="M8" s="22">
        <f>IF(I8=1,ROUND(Policy!$B$4*J8+Policy!$B$5*K8+Policy!$B$6*L8,4),"")</f>
        <v/>
      </c>
      <c r="N8" s="16">
        <f>IF(I8=1,SUMPRODUCT(($I$4:$I$11=1)*($M$4:$M$11&gt;M8))+1,"")</f>
        <v/>
      </c>
      <c r="O8" s="16">
        <f>IF(I8=0,"N/A",IF(MIN(IF(OR(Request!$B$8="",Request!$C$8=""),1,IFERROR(SUMIFS(Capacity_By_SKU!$K:$K,Capacity_By_SKU!$A:$A,$A8,Capacity_By_SKU!$C:$C,"NonProd",Capacity_By_SKU!$D:$D,Request!$B$8)/MAX(SUMIFS(Capacity_By_SKU!$J:$J,Capacity_By_SKU!$A:$A,$A8,Capacity_By_SKU!$C:$C,"NonProd",Capacity_By_SKU!$D:$D,Request!$B$8),1),0)),IF(OR(Request!$B$9="",Request!$C$9=""),1,IFERROR(SUMIFS(Capacity_By_SKU!$K:$K,Capacity_By_SKU!$A:$A,$A8,Capacity_By_SKU!$C:$C,"NonProd",Capacity_By_SKU!$D:$D,Request!$B$9)/MAX(SUMIFS(Capacity_By_SKU!$J:$J,Capacity_By_SKU!$A:$A,$A8,Capacity_By_SKU!$C:$C,"NonProd",Capacity_By_SKU!$D:$D,Request!$B$9),1),0)),IF(OR(Request!$B$10="",Request!$C$10=""),1,IFERROR(SUMIFS(Capacity_By_SKU!$K:$K,Capacity_By_SKU!$A:$A,$A8,Capacity_By_SKU!$C:$C,"NonProd",Capacity_By_SKU!$D:$D,Request!$B$10)/MAX(SUMIFS(Capacity_By_SKU!$J:$J,Capacity_By_SKU!$A:$A,$A8,Capacity_By_SKU!$C:$C,"NonProd",Capacity_By_SKU!$D:$D,Request!$B$10),1),0)),IF(OR(Request!$B$11="",Request!$C$11=""),1,IFERROR(SUMIFS(Capacity_By_SKU!$K:$K,Capacity_By_SKU!$A:$A,$A8,Capacity_By_SKU!$C:$C,"NonProd",Capacity_By_SKU!$D:$D,Request!$B$11)/MAX(SUMIFS(Capacity_By_SKU!$J:$J,Capacity_By_SKU!$A:$A,$A8,Capacity_By_SKU!$C:$C,"NonProd",Capacity_By_SKU!$D:$D,Request!$B$11),1),0)),IF(OR(Request!$B$12="",Request!$C$12=""),1,IFERROR(SUMIFS(Capacity_By_SKU!$K:$K,Capacity_By_SKU!$A:$A,$A8,Capacity_By_SKU!$C:$C,"NonProd",Capacity_By_SKU!$D:$D,Request!$B$12)/MAX(SUMIFS(Capacity_By_SKU!$J:$J,Capacity_By_SKU!$A:$A,$A8,Capacity_By_SKU!$C:$C,"NonProd",Capacity_By_SKU!$D:$D,Request!$B$12),1),0)),IF(OR(Request!$B$13="",Request!$C$13=""),1,IFERROR(SUMIFS(Capacity_By_SKU!$K:$K,Capacity_By_SKU!$A:$A,$A8,Capacity_By_SKU!$C:$C,"NonProd",Capacity_By_SKU!$D:$D,Request!$B$13)/MAX(SUMIFS(Capacity_By_SKU!$J:$J,Capacity_By_SKU!$A:$A,$A8,Capacity_By_SKU!$C:$C,"NonProd",Capacity_By_SKU!$D:$D,Request!$B$13),1),0)),IF(OR(Request!$B$14="",Request!$C$14=""),1,IFERROR(SUMIFS(Capacity_By_SKU!$K:$K,Capacity_By_SKU!$A:$A,$A8,Capacity_By_SKU!$C:$C,"NonProd",Capacity_By_SKU!$D:$D,Request!$B$14)/MAX(SUMIFS(Capacity_By_SKU!$J:$J,Capacity_By_SKU!$A:$A,$A8,Capacity_By_SKU!$C:$C,"NonProd",Capacity_By_SKU!$D:$D,Request!$B$14),1),0)),IF(OR(Request!$B$15="",Request!$C$15=""),1,IFERROR(SUMIFS(Capacity_By_SKU!$K:$K,Capacity_By_SKU!$A:$A,$A8,Capacity_By_SKU!$C:$C,"NonProd",Capacity_By_SKU!$D:$D,Request!$B$15)/MAX(SUMIFS(Capacity_By_SKU!$J:$J,Capacity_By_SKU!$A:$A,$A8,Capacity_By_SKU!$C:$C,"NonProd",Capacity_By_SKU!$D:$D,Request!$B$15),1),0)))&lt;=MIN(IF(OR(Request!$B$8="",Request!$C$8=""),1,IFERROR(SUMIFS(Quota_Groups!$G:$G,Quota_Groups!$B:$B,$A8,Quota_Groups!$D:$D,IFERROR(VLOOKUP(Request!$B$8,SKU_Family_Map!$A:$B,2,FALSE),""))/MAX(SUMIFS(Quota_Groups!$E:$E,Quota_Groups!$B:$B,$A8,Quota_Groups!$D:$D,IFERROR(VLOOKUP(Request!$B$8,SKU_Family_Map!$A:$B,2,FALSE),"")),1),0)),IF(OR(Request!$B$9="",Request!$C$9=""),1,IFERROR(SUMIFS(Quota_Groups!$G:$G,Quota_Groups!$B:$B,$A8,Quota_Groups!$D:$D,IFERROR(VLOOKUP(Request!$B$9,SKU_Family_Map!$A:$B,2,FALSE),""))/MAX(SUMIFS(Quota_Groups!$E:$E,Quota_Groups!$B:$B,$A8,Quota_Groups!$D:$D,IFERROR(VLOOKUP(Request!$B$9,SKU_Family_Map!$A:$B,2,FALSE),"")),1),0)),IF(OR(Request!$B$10="",Request!$C$10=""),1,IFERROR(SUMIFS(Quota_Groups!$G:$G,Quota_Groups!$B:$B,$A8,Quota_Groups!$D:$D,IFERROR(VLOOKUP(Request!$B$10,SKU_Family_Map!$A:$B,2,FALSE),""))/MAX(SUMIFS(Quota_Groups!$E:$E,Quota_Groups!$B:$B,$A8,Quota_Groups!$D:$D,IFERROR(VLOOKUP(Request!$B$10,SKU_Family_Map!$A:$B,2,FALSE),"")),1),0)),IF(OR(Request!$B$11="",Request!$C$11=""),1,IFERROR(SUMIFS(Quota_Groups!$G:$G,Quota_Groups!$B:$B,$A8,Quota_Groups!$D:$D,IFERROR(VLOOKUP(Request!$B$11,SKU_Family_Map!$A:$B,2,FALSE),""))/MAX(SUMIFS(Quota_Groups!$E:$E,Quota_Groups!$B:$B,$A8,Quota_Groups!$D:$D,IFERROR(VLOOKUP(Request!$B$11,SKU_Family_Map!$A:$B,2,FALSE),"")),1),0)),IF(OR(Request!$B$12="",Request!$C$12=""),1,IFERROR(SUMIFS(Quota_Groups!$G:$G,Quota_Groups!$B:$B,$A8,Quota_Groups!$D:$D,IFERROR(VLOOKUP(Request!$B$12,SKU_Family_Map!$A:$B,2,FALSE),""))/MAX(SUMIFS(Quota_Groups!$E:$E,Quota_Groups!$B:$B,$A8,Quota_Groups!$D:$D,IFERROR(VLOOKUP(Request!$B$12,SKU_Family_Map!$A:$B,2,FALSE),"")),1),0)),IF(OR(Request!$B$13="",Request!$C$13=""),1,IFERROR(SUMIFS(Quota_Groups!$G:$G,Quota_Groups!$B:$B,$A8,Quota_Groups!$D:$D,IFERROR(VLOOKUP(Request!$B$13,SKU_Family_Map!$A:$B,2,FALSE),""))/MAX(SUMIFS(Quota_Groups!$E:$E,Quota_Groups!$B:$B,$A8,Quota_Groups!$D:$D,IFERROR(VLOOKUP(Request!$B$13,SKU_Family_Map!$A:$B,2,FALSE),"")),1),0)),IF(OR(Request!$B$14="",Request!$C$14=""),1,IFERROR(SUMIFS(Quota_Groups!$G:$G,Quota_Groups!$B:$B,$A8,Quota_Groups!$D:$D,IFERROR(VLOOKUP(Request!$B$14,SKU_Family_Map!$A:$B,2,FALSE),""))/MAX(SUMIFS(Quota_Groups!$E:$E,Quota_Groups!$B:$B,$A8,Quota_Groups!$D:$D,IFERROR(VLOOKUP(Request!$B$14,SKU_Family_Map!$A:$B,2,FALSE),"")),1),0)),IF(OR(Request!$B$15="",Request!$C$15=""),1,IFERROR(SUMIFS(Quota_Groups!$G:$G,Quota_Groups!$B:$B,$A8,Quota_Groups!$D:$D,IFERROR(VLOOKUP(Request!$B$15,SKU_Family_Map!$A:$B,2,FALSE),""))/MAX(SUMIFS(Quota_Groups!$E:$E,Quota_Groups!$B:$B,$A8,Quota_Groups!$D:$D,IFERROR(VLOOKUP(Request!$B$15,SKU_Family_Map!$A:$B,2,FALSE),"")),1),0))),"CAPACITY","QUOTA"))</f>
        <v/>
      </c>
    </row>
    <row r="9">
      <c r="A9" s="12" t="inlineStr">
        <is>
          <t>Sweden Central</t>
        </is>
      </c>
      <c r="B9" s="16" t="inlineStr">
        <is>
          <t>EU</t>
        </is>
      </c>
      <c r="C9" s="16" t="inlineStr">
        <is>
          <t>NonProd</t>
        </is>
      </c>
      <c r="D9" s="16">
        <f>Request!$B$17</f>
        <v/>
      </c>
      <c r="E9" s="16">
        <f>Request!$B$18</f>
        <v/>
      </c>
      <c r="F9" s="16">
        <f>IF(B9=Request!$B$4,1,0)</f>
        <v/>
      </c>
      <c r="G9" s="18">
        <f>IF(Request!$B$17=0,0,MIN(IF(OR(Request!$B$8="",Request!$C$8=""),1,IF(MIN(SUMIFS(Capacity_By_SKU!$K:$K,Capacity_By_SKU!$A:$A,$A9,Capacity_By_SKU!$C:$C,"NonProd",Capacity_By_SKU!$D:$D,Request!$B$8),SUMIFS(Quota_Groups!$G:$G,Quota_Groups!$B:$B,$A9,Quota_Groups!$D:$D,IFERROR(VLOOKUP(Request!$B$8,SKU_Family_Map!$A:$B,2,FALSE),"")))&gt;=Request!$E$8,1,0)),IF(OR(Request!$B$9="",Request!$C$9=""),1,IF(MIN(SUMIFS(Capacity_By_SKU!$K:$K,Capacity_By_SKU!$A:$A,$A9,Capacity_By_SKU!$C:$C,"NonProd",Capacity_By_SKU!$D:$D,Request!$B$9),SUMIFS(Quota_Groups!$G:$G,Quota_Groups!$B:$B,$A9,Quota_Groups!$D:$D,IFERROR(VLOOKUP(Request!$B$9,SKU_Family_Map!$A:$B,2,FALSE),"")))&gt;=Request!$E$9,1,0)),IF(OR(Request!$B$10="",Request!$C$10=""),1,IF(MIN(SUMIFS(Capacity_By_SKU!$K:$K,Capacity_By_SKU!$A:$A,$A9,Capacity_By_SKU!$C:$C,"NonProd",Capacity_By_SKU!$D:$D,Request!$B$10),SUMIFS(Quota_Groups!$G:$G,Quota_Groups!$B:$B,$A9,Quota_Groups!$D:$D,IFERROR(VLOOKUP(Request!$B$10,SKU_Family_Map!$A:$B,2,FALSE),"")))&gt;=Request!$E$10,1,0)),IF(OR(Request!$B$11="",Request!$C$11=""),1,IF(MIN(SUMIFS(Capacity_By_SKU!$K:$K,Capacity_By_SKU!$A:$A,$A9,Capacity_By_SKU!$C:$C,"NonProd",Capacity_By_SKU!$D:$D,Request!$B$11),SUMIFS(Quota_Groups!$G:$G,Quota_Groups!$B:$B,$A9,Quota_Groups!$D:$D,IFERROR(VLOOKUP(Request!$B$11,SKU_Family_Map!$A:$B,2,FALSE),"")))&gt;=Request!$E$11,1,0)),IF(OR(Request!$B$12="",Request!$C$12=""),1,IF(MIN(SUMIFS(Capacity_By_SKU!$K:$K,Capacity_By_SKU!$A:$A,$A9,Capacity_By_SKU!$C:$C,"NonProd",Capacity_By_SKU!$D:$D,Request!$B$12),SUMIFS(Quota_Groups!$G:$G,Quota_Groups!$B:$B,$A9,Quota_Groups!$D:$D,IFERROR(VLOOKUP(Request!$B$12,SKU_Family_Map!$A:$B,2,FALSE),"")))&gt;=Request!$E$12,1,0)),IF(OR(Request!$B$13="",Request!$C$13=""),1,IF(MIN(SUMIFS(Capacity_By_SKU!$K:$K,Capacity_By_SKU!$A:$A,$A9,Capacity_By_SKU!$C:$C,"NonProd",Capacity_By_SKU!$D:$D,Request!$B$13),SUMIFS(Quota_Groups!$G:$G,Quota_Groups!$B:$B,$A9,Quota_Groups!$D:$D,IFERROR(VLOOKUP(Request!$B$13,SKU_Family_Map!$A:$B,2,FALSE),"")))&gt;=Request!$E$13,1,0)),IF(OR(Request!$B$14="",Request!$C$14=""),1,IF(MIN(SUMIFS(Capacity_By_SKU!$K:$K,Capacity_By_SKU!$A:$A,$A9,Capacity_By_SKU!$C:$C,"NonProd",Capacity_By_SKU!$D:$D,Request!$B$14),SUMIFS(Quota_Groups!$G:$G,Quota_Groups!$B:$B,$A9,Quota_Groups!$D:$D,IFERROR(VLOOKUP(Request!$B$14,SKU_Family_Map!$A:$B,2,FALSE),"")))&gt;=Request!$E$14,1,0)),IF(OR(Request!$B$15="",Request!$C$15=""),1,IF(MIN(SUMIFS(Capacity_By_SKU!$K:$K,Capacity_By_SKU!$A:$A,$A9,Capacity_By_SKU!$C:$C,"NonProd",Capacity_By_SKU!$D:$D,Request!$B$15),SUMIFS(Quota_Groups!$G:$G,Quota_Groups!$B:$B,$A9,Quota_Groups!$D:$D,IFERROR(VLOOKUP(Request!$B$15,SKU_Family_Map!$A:$B,2,FALSE),"")))&gt;=Request!$E$15,1,0))))</f>
        <v/>
      </c>
      <c r="H9" s="12">
        <f>IF(Request!$B$17=0,"NO_REQUEST",IF(SUM(IF(AND(Request!$B$8&lt;&gt;"",Request!$C$8&lt;&gt;"",SUMIFS(Capacity_By_SKU!$K:$K,Capacity_By_SKU!$A:$A,$A9,Capacity_By_SKU!$C:$C,"NonProd",Capacity_By_SKU!$D:$D,Request!$B$8)&lt;=0),1,0),IF(AND(Request!$B$9&lt;&gt;"",Request!$C$9&lt;&gt;"",SUMIFS(Capacity_By_SKU!$K:$K,Capacity_By_SKU!$A:$A,$A9,Capacity_By_SKU!$C:$C,"NonProd",Capacity_By_SKU!$D:$D,Request!$B$9)&lt;=0),1,0),IF(AND(Request!$B$10&lt;&gt;"",Request!$C$10&lt;&gt;"",SUMIFS(Capacity_By_SKU!$K:$K,Capacity_By_SKU!$A:$A,$A9,Capacity_By_SKU!$C:$C,"NonProd",Capacity_By_SKU!$D:$D,Request!$B$10)&lt;=0),1,0),IF(AND(Request!$B$11&lt;&gt;"",Request!$C$11&lt;&gt;"",SUMIFS(Capacity_By_SKU!$K:$K,Capacity_By_SKU!$A:$A,$A9,Capacity_By_SKU!$C:$C,"NonProd",Capacity_By_SKU!$D:$D,Request!$B$11)&lt;=0),1,0),IF(AND(Request!$B$12&lt;&gt;"",Request!$C$12&lt;&gt;"",SUMIFS(Capacity_By_SKU!$K:$K,Capacity_By_SKU!$A:$A,$A9,Capacity_By_SKU!$C:$C,"NonProd",Capacity_By_SKU!$D:$D,Request!$B$12)&lt;=0),1,0),IF(AND(Request!$B$13&lt;&gt;"",Request!$C$13&lt;&gt;"",SUMIFS(Capacity_By_SKU!$K:$K,Capacity_By_SKU!$A:$A,$A9,Capacity_By_SKU!$C:$C,"NonProd",Capacity_By_SKU!$D:$D,Request!$B$13)&lt;=0),1,0),IF(AND(Request!$B$14&lt;&gt;"",Request!$C$14&lt;&gt;"",SUMIFS(Capacity_By_SKU!$K:$K,Capacity_By_SKU!$A:$A,$A9,Capacity_By_SKU!$C:$C,"NonProd",Capacity_By_SKU!$D:$D,Request!$B$14)&lt;=0),1,0),IF(AND(Request!$B$15&lt;&gt;"",Request!$C$15&lt;&gt;"",SUMIFS(Capacity_By_SKU!$K:$K,Capacity_By_SKU!$A:$A,$A9,Capacity_By_SKU!$C:$C,"NonProd",Capacity_By_SKU!$D:$D,Request!$B$15)&lt;=0),1,0))&gt;0,"RESERVATION_DEFICIT",IF(SUM(IF(AND(Request!$B$8&lt;&gt;"",Request!$C$8&lt;&gt;"",SUMIFS(Quota_Groups!$G:$G,Quota_Groups!$B:$B,$A9,Quota_Groups!$D:$D,IFERROR(VLOOKUP(Request!$B$8,SKU_Family_Map!$A:$B,2,FALSE),""))&lt;=0),1,0),IF(AND(Request!$B$9&lt;&gt;"",Request!$C$9&lt;&gt;"",SUMIFS(Quota_Groups!$G:$G,Quota_Groups!$B:$B,$A9,Quota_Groups!$D:$D,IFERROR(VLOOKUP(Request!$B$9,SKU_Family_Map!$A:$B,2,FALSE),""))&lt;=0),1,0),IF(AND(Request!$B$10&lt;&gt;"",Request!$C$10&lt;&gt;"",SUMIFS(Quota_Groups!$G:$G,Quota_Groups!$B:$B,$A9,Quota_Groups!$D:$D,IFERROR(VLOOKUP(Request!$B$10,SKU_Family_Map!$A:$B,2,FALSE),""))&lt;=0),1,0),IF(AND(Request!$B$11&lt;&gt;"",Request!$C$11&lt;&gt;"",SUMIFS(Quota_Groups!$G:$G,Quota_Groups!$B:$B,$A9,Quota_Groups!$D:$D,IFERROR(VLOOKUP(Request!$B$11,SKU_Family_Map!$A:$B,2,FALSE),""))&lt;=0),1,0),IF(AND(Request!$B$12&lt;&gt;"",Request!$C$12&lt;&gt;"",SUMIFS(Quota_Groups!$G:$G,Quota_Groups!$B:$B,$A9,Quota_Groups!$D:$D,IFERROR(VLOOKUP(Request!$B$12,SKU_Family_Map!$A:$B,2,FALSE),""))&lt;=0),1,0),IF(AND(Request!$B$13&lt;&gt;"",Request!$C$13&lt;&gt;"",SUMIFS(Quota_Groups!$G:$G,Quota_Groups!$B:$B,$A9,Quota_Groups!$D:$D,IFERROR(VLOOKUP(Request!$B$13,SKU_Family_Map!$A:$B,2,FALSE),""))&lt;=0),1,0),IF(AND(Request!$B$14&lt;&gt;"",Request!$C$14&lt;&gt;"",SUMIFS(Quota_Groups!$G:$G,Quota_Groups!$B:$B,$A9,Quota_Groups!$D:$D,IFERROR(VLOOKUP(Request!$B$14,SKU_Family_Map!$A:$B,2,FALSE),""))&lt;=0),1,0),IF(AND(Request!$B$15&lt;&gt;"",Request!$C$15&lt;&gt;"",SUMIFS(Quota_Groups!$G:$G,Quota_Groups!$B:$B,$A9,Quota_Groups!$D:$D,IFERROR(VLOOKUP(Request!$B$15,SKU_Family_Map!$A:$B,2,FALSE),""))&lt;=0),1,0))&gt;0,"QUOTA_DEFICIT",IF(G9=0,"CAPACITY_DEFICIT",IF(MIN(IF(OR(Request!$B$8="",Request!$C$8=""),1,IFERROR(1-Request!$E$8/MIN(SUMIFS(Capacity_By_SKU!$K:$K,Capacity_By_SKU!$A:$A,$A9,Capacity_By_SKU!$C:$C,"NonProd",Capacity_By_SKU!$D:$D,Request!$B$8),SUMIFS(Quota_Groups!$G:$G,Quota_Groups!$B:$B,$A9,Quota_Groups!$D:$D,IFERROR(VLOOKUP(Request!$B$8,SKU_Family_Map!$A:$B,2,FALSE),""))),0)),IF(OR(Request!$B$9="",Request!$C$9=""),1,IFERROR(1-Request!$E$9/MIN(SUMIFS(Capacity_By_SKU!$K:$K,Capacity_By_SKU!$A:$A,$A9,Capacity_By_SKU!$C:$C,"NonProd",Capacity_By_SKU!$D:$D,Request!$B$9),SUMIFS(Quota_Groups!$G:$G,Quota_Groups!$B:$B,$A9,Quota_Groups!$D:$D,IFERROR(VLOOKUP(Request!$B$9,SKU_Family_Map!$A:$B,2,FALSE),""))),0)),IF(OR(Request!$B$10="",Request!$C$10=""),1,IFERROR(1-Request!$E$10/MIN(SUMIFS(Capacity_By_SKU!$K:$K,Capacity_By_SKU!$A:$A,$A9,Capacity_By_SKU!$C:$C,"NonProd",Capacity_By_SKU!$D:$D,Request!$B$10),SUMIFS(Quota_Groups!$G:$G,Quota_Groups!$B:$B,$A9,Quota_Groups!$D:$D,IFERROR(VLOOKUP(Request!$B$10,SKU_Family_Map!$A:$B,2,FALSE),""))),0)),IF(OR(Request!$B$11="",Request!$C$11=""),1,IFERROR(1-Request!$E$11/MIN(SUMIFS(Capacity_By_SKU!$K:$K,Capacity_By_SKU!$A:$A,$A9,Capacity_By_SKU!$C:$C,"NonProd",Capacity_By_SKU!$D:$D,Request!$B$11),SUMIFS(Quota_Groups!$G:$G,Quota_Groups!$B:$B,$A9,Quota_Groups!$D:$D,IFERROR(VLOOKUP(Request!$B$11,SKU_Family_Map!$A:$B,2,FALSE),""))),0)),IF(OR(Request!$B$12="",Request!$C$12=""),1,IFERROR(1-Request!$E$12/MIN(SUMIFS(Capacity_By_SKU!$K:$K,Capacity_By_SKU!$A:$A,$A9,Capacity_By_SKU!$C:$C,"NonProd",Capacity_By_SKU!$D:$D,Request!$B$12),SUMIFS(Quota_Groups!$G:$G,Quota_Groups!$B:$B,$A9,Quota_Groups!$D:$D,IFERROR(VLOOKUP(Request!$B$12,SKU_Family_Map!$A:$B,2,FALSE),""))),0)),IF(OR(Request!$B$13="",Request!$C$13=""),1,IFERROR(1-Request!$E$13/MIN(SUMIFS(Capacity_By_SKU!$K:$K,Capacity_By_SKU!$A:$A,$A9,Capacity_By_SKU!$C:$C,"NonProd",Capacity_By_SKU!$D:$D,Request!$B$13),SUMIFS(Quota_Groups!$G:$G,Quota_Groups!$B:$B,$A9,Quota_Groups!$D:$D,IFERROR(VLOOKUP(Request!$B$13,SKU_Family_Map!$A:$B,2,FALSE),""))),0)),IF(OR(Request!$B$14="",Request!$C$14=""),1,IFERROR(1-Request!$E$14/MIN(SUMIFS(Capacity_By_SKU!$K:$K,Capacity_By_SKU!$A:$A,$A9,Capacity_By_SKU!$C:$C,"NonProd",Capacity_By_SKU!$D:$D,Request!$B$14),SUMIFS(Quota_Groups!$G:$G,Quota_Groups!$B:$B,$A9,Quota_Groups!$D:$D,IFERROR(VLOOKUP(Request!$B$14,SKU_Family_Map!$A:$B,2,FALSE),""))),0)),IF(OR(Request!$B$15="",Request!$C$15=""),1,IFERROR(1-Request!$E$15/MIN(SUMIFS(Capacity_By_SKU!$K:$K,Capacity_By_SKU!$A:$A,$A9,Capacity_By_SKU!$C:$C,"NonProd",Capacity_By_SKU!$D:$D,Request!$B$15),SUMIFS(Quota_Groups!$G:$G,Quota_Groups!$B:$B,$A9,Quota_Groups!$D:$D,IFERROR(VLOOKUP(Request!$B$15,SKU_Family_Map!$A:$B,2,FALSE),""))),0)))&lt;Policy!$B$10,"READY_WITH_RISK","READY")))))</f>
        <v/>
      </c>
      <c r="I9" s="16">
        <f>IF(AND(F9=1,G9=1,OR(H9="READY",H9="READY_WITH_RISK")),1,0)</f>
        <v/>
      </c>
      <c r="J9" s="16">
        <f>IF(I9=1,MAX(0,MIN(IF(OR(Request!$B$8="",Request!$C$8=""),1,IFERROR(1-Request!$E$8/MIN(SUMIFS(Capacity_By_SKU!$K:$K,Capacity_By_SKU!$A:$A,$A9,Capacity_By_SKU!$C:$C,"NonProd",Capacity_By_SKU!$D:$D,Request!$B$8),SUMIFS(Quota_Groups!$G:$G,Quota_Groups!$B:$B,$A9,Quota_Groups!$D:$D,IFERROR(VLOOKUP(Request!$B$8,SKU_Family_Map!$A:$B,2,FALSE),""))),0)),IF(OR(Request!$B$9="",Request!$C$9=""),1,IFERROR(1-Request!$E$9/MIN(SUMIFS(Capacity_By_SKU!$K:$K,Capacity_By_SKU!$A:$A,$A9,Capacity_By_SKU!$C:$C,"NonProd",Capacity_By_SKU!$D:$D,Request!$B$9),SUMIFS(Quota_Groups!$G:$G,Quota_Groups!$B:$B,$A9,Quota_Groups!$D:$D,IFERROR(VLOOKUP(Request!$B$9,SKU_Family_Map!$A:$B,2,FALSE),""))),0)),IF(OR(Request!$B$10="",Request!$C$10=""),1,IFERROR(1-Request!$E$10/MIN(SUMIFS(Capacity_By_SKU!$K:$K,Capacity_By_SKU!$A:$A,$A9,Capacity_By_SKU!$C:$C,"NonProd",Capacity_By_SKU!$D:$D,Request!$B$10),SUMIFS(Quota_Groups!$G:$G,Quota_Groups!$B:$B,$A9,Quota_Groups!$D:$D,IFERROR(VLOOKUP(Request!$B$10,SKU_Family_Map!$A:$B,2,FALSE),""))),0)),IF(OR(Request!$B$11="",Request!$C$11=""),1,IFERROR(1-Request!$E$11/MIN(SUMIFS(Capacity_By_SKU!$K:$K,Capacity_By_SKU!$A:$A,$A9,Capacity_By_SKU!$C:$C,"NonProd",Capacity_By_SKU!$D:$D,Request!$B$11),SUMIFS(Quota_Groups!$G:$G,Quota_Groups!$B:$B,$A9,Quota_Groups!$D:$D,IFERROR(VLOOKUP(Request!$B$11,SKU_Family_Map!$A:$B,2,FALSE),""))),0)),IF(OR(Request!$B$12="",Request!$C$12=""),1,IFERROR(1-Request!$E$12/MIN(SUMIFS(Capacity_By_SKU!$K:$K,Capacity_By_SKU!$A:$A,$A9,Capacity_By_SKU!$C:$C,"NonProd",Capacity_By_SKU!$D:$D,Request!$B$12),SUMIFS(Quota_Groups!$G:$G,Quota_Groups!$B:$B,$A9,Quota_Groups!$D:$D,IFERROR(VLOOKUP(Request!$B$12,SKU_Family_Map!$A:$B,2,FALSE),""))),0)),IF(OR(Request!$B$13="",Request!$C$13=""),1,IFERROR(1-Request!$E$13/MIN(SUMIFS(Capacity_By_SKU!$K:$K,Capacity_By_SKU!$A:$A,$A9,Capacity_By_SKU!$C:$C,"NonProd",Capacity_By_SKU!$D:$D,Request!$B$13),SUMIFS(Quota_Groups!$G:$G,Quota_Groups!$B:$B,$A9,Quota_Groups!$D:$D,IFERROR(VLOOKUP(Request!$B$13,SKU_Family_Map!$A:$B,2,FALSE),""))),0)),IF(OR(Request!$B$14="",Request!$C$14=""),1,IFERROR(1-Request!$E$14/MIN(SUMIFS(Capacity_By_SKU!$K:$K,Capacity_By_SKU!$A:$A,$A9,Capacity_By_SKU!$C:$C,"NonProd",Capacity_By_SKU!$D:$D,Request!$B$14),SUMIFS(Quota_Groups!$G:$G,Quota_Groups!$B:$B,$A9,Quota_Groups!$D:$D,IFERROR(VLOOKUP(Request!$B$14,SKU_Family_Map!$A:$B,2,FALSE),""))),0)),IF(OR(Request!$B$15="",Request!$C$15=""),1,IFERROR(1-Request!$E$15/MIN(SUMIFS(Capacity_By_SKU!$K:$K,Capacity_By_SKU!$A:$A,$A9,Capacity_By_SKU!$C:$C,"NonProd",Capacity_By_SKU!$D:$D,Request!$B$15),SUMIFS(Quota_Groups!$G:$G,Quota_Groups!$B:$B,$A9,Quota_Groups!$D:$D,IFERROR(VLOOKUP(Request!$B$15,SKU_Family_Map!$A:$B,2,FALSE),""))),0)))),0)</f>
        <v/>
      </c>
      <c r="K9" s="16">
        <f>IF(I9=1,MAX(0,MIN(IF(OR(Request!$B$8="",Request!$C$8=""),1,IFERROR(SUMIFS(Quota_Groups!$G:$G,Quota_Groups!$B:$B,$A9,Quota_Groups!$D:$D,IFERROR(VLOOKUP(Request!$B$8,SKU_Family_Map!$A:$B,2,FALSE),""))/MAX(SUMIFS(Quota_Groups!$E:$E,Quota_Groups!$B:$B,$A9,Quota_Groups!$D:$D,IFERROR(VLOOKUP(Request!$B$8,SKU_Family_Map!$A:$B,2,FALSE),"")),1),0)),IF(OR(Request!$B$9="",Request!$C$9=""),1,IFERROR(SUMIFS(Quota_Groups!$G:$G,Quota_Groups!$B:$B,$A9,Quota_Groups!$D:$D,IFERROR(VLOOKUP(Request!$B$9,SKU_Family_Map!$A:$B,2,FALSE),""))/MAX(SUMIFS(Quota_Groups!$E:$E,Quota_Groups!$B:$B,$A9,Quota_Groups!$D:$D,IFERROR(VLOOKUP(Request!$B$9,SKU_Family_Map!$A:$B,2,FALSE),"")),1),0)),IF(OR(Request!$B$10="",Request!$C$10=""),1,IFERROR(SUMIFS(Quota_Groups!$G:$G,Quota_Groups!$B:$B,$A9,Quota_Groups!$D:$D,IFERROR(VLOOKUP(Request!$B$10,SKU_Family_Map!$A:$B,2,FALSE),""))/MAX(SUMIFS(Quota_Groups!$E:$E,Quota_Groups!$B:$B,$A9,Quota_Groups!$D:$D,IFERROR(VLOOKUP(Request!$B$10,SKU_Family_Map!$A:$B,2,FALSE),"")),1),0)),IF(OR(Request!$B$11="",Request!$C$11=""),1,IFERROR(SUMIFS(Quota_Groups!$G:$G,Quota_Groups!$B:$B,$A9,Quota_Groups!$D:$D,IFERROR(VLOOKUP(Request!$B$11,SKU_Family_Map!$A:$B,2,FALSE),""))/MAX(SUMIFS(Quota_Groups!$E:$E,Quota_Groups!$B:$B,$A9,Quota_Groups!$D:$D,IFERROR(VLOOKUP(Request!$B$11,SKU_Family_Map!$A:$B,2,FALSE),"")),1),0)),IF(OR(Request!$B$12="",Request!$C$12=""),1,IFERROR(SUMIFS(Quota_Groups!$G:$G,Quota_Groups!$B:$B,$A9,Quota_Groups!$D:$D,IFERROR(VLOOKUP(Request!$B$12,SKU_Family_Map!$A:$B,2,FALSE),""))/MAX(SUMIFS(Quota_Groups!$E:$E,Quota_Groups!$B:$B,$A9,Quota_Groups!$D:$D,IFERROR(VLOOKUP(Request!$B$12,SKU_Family_Map!$A:$B,2,FALSE),"")),1),0)),IF(OR(Request!$B$13="",Request!$C$13=""),1,IFERROR(SUMIFS(Quota_Groups!$G:$G,Quota_Groups!$B:$B,$A9,Quota_Groups!$D:$D,IFERROR(VLOOKUP(Request!$B$13,SKU_Family_Map!$A:$B,2,FALSE),""))/MAX(SUMIFS(Quota_Groups!$E:$E,Quota_Groups!$B:$B,$A9,Quota_Groups!$D:$D,IFERROR(VLOOKUP(Request!$B$13,SKU_Family_Map!$A:$B,2,FALSE),"")),1),0)),IF(OR(Request!$B$14="",Request!$C$14=""),1,IFERROR(SUMIFS(Quota_Groups!$G:$G,Quota_Groups!$B:$B,$A9,Quota_Groups!$D:$D,IFERROR(VLOOKUP(Request!$B$14,SKU_Family_Map!$A:$B,2,FALSE),""))/MAX(SUMIFS(Quota_Groups!$E:$E,Quota_Groups!$B:$B,$A9,Quota_Groups!$D:$D,IFERROR(VLOOKUP(Request!$B$14,SKU_Family_Map!$A:$B,2,FALSE),"")),1),0)),IF(OR(Request!$B$15="",Request!$C$15=""),1,IFERROR(SUMIFS(Quota_Groups!$G:$G,Quota_Groups!$B:$B,$A9,Quota_Groups!$D:$D,IFERROR(VLOOKUP(Request!$B$15,SKU_Family_Map!$A:$B,2,FALSE),""))/MAX(SUMIFS(Quota_Groups!$E:$E,Quota_Groups!$B:$B,$A9,Quota_Groups!$D:$D,IFERROR(VLOOKUP(Request!$B$15,SKU_Family_Map!$A:$B,2,FALSE),"")),1),0)))),0)</f>
        <v/>
      </c>
      <c r="L9" s="16">
        <f>IF(I9=1,MAX(0,MIN(IF(OR(Request!$B$8="",Request!$C$8=""),1,IFERROR(SUMIFS(Capacity_By_SKU!$K:$K,Capacity_By_SKU!$A:$A,$A9,Capacity_By_SKU!$C:$C,"NonProd",Capacity_By_SKU!$D:$D,Request!$B$8)/MAX(SUMIFS(Capacity_By_SKU!$J:$J,Capacity_By_SKU!$A:$A,$A9,Capacity_By_SKU!$C:$C,"NonProd",Capacity_By_SKU!$D:$D,Request!$B$8),1),0)),IF(OR(Request!$B$9="",Request!$C$9=""),1,IFERROR(SUMIFS(Capacity_By_SKU!$K:$K,Capacity_By_SKU!$A:$A,$A9,Capacity_By_SKU!$C:$C,"NonProd",Capacity_By_SKU!$D:$D,Request!$B$9)/MAX(SUMIFS(Capacity_By_SKU!$J:$J,Capacity_By_SKU!$A:$A,$A9,Capacity_By_SKU!$C:$C,"NonProd",Capacity_By_SKU!$D:$D,Request!$B$9),1),0)),IF(OR(Request!$B$10="",Request!$C$10=""),1,IFERROR(SUMIFS(Capacity_By_SKU!$K:$K,Capacity_By_SKU!$A:$A,$A9,Capacity_By_SKU!$C:$C,"NonProd",Capacity_By_SKU!$D:$D,Request!$B$10)/MAX(SUMIFS(Capacity_By_SKU!$J:$J,Capacity_By_SKU!$A:$A,$A9,Capacity_By_SKU!$C:$C,"NonProd",Capacity_By_SKU!$D:$D,Request!$B$10),1),0)),IF(OR(Request!$B$11="",Request!$C$11=""),1,IFERROR(SUMIFS(Capacity_By_SKU!$K:$K,Capacity_By_SKU!$A:$A,$A9,Capacity_By_SKU!$C:$C,"NonProd",Capacity_By_SKU!$D:$D,Request!$B$11)/MAX(SUMIFS(Capacity_By_SKU!$J:$J,Capacity_By_SKU!$A:$A,$A9,Capacity_By_SKU!$C:$C,"NonProd",Capacity_By_SKU!$D:$D,Request!$B$11),1),0)),IF(OR(Request!$B$12="",Request!$C$12=""),1,IFERROR(SUMIFS(Capacity_By_SKU!$K:$K,Capacity_By_SKU!$A:$A,$A9,Capacity_By_SKU!$C:$C,"NonProd",Capacity_By_SKU!$D:$D,Request!$B$12)/MAX(SUMIFS(Capacity_By_SKU!$J:$J,Capacity_By_SKU!$A:$A,$A9,Capacity_By_SKU!$C:$C,"NonProd",Capacity_By_SKU!$D:$D,Request!$B$12),1),0)),IF(OR(Request!$B$13="",Request!$C$13=""),1,IFERROR(SUMIFS(Capacity_By_SKU!$K:$K,Capacity_By_SKU!$A:$A,$A9,Capacity_By_SKU!$C:$C,"NonProd",Capacity_By_SKU!$D:$D,Request!$B$13)/MAX(SUMIFS(Capacity_By_SKU!$J:$J,Capacity_By_SKU!$A:$A,$A9,Capacity_By_SKU!$C:$C,"NonProd",Capacity_By_SKU!$D:$D,Request!$B$13),1),0)),IF(OR(Request!$B$14="",Request!$C$14=""),1,IFERROR(SUMIFS(Capacity_By_SKU!$K:$K,Capacity_By_SKU!$A:$A,$A9,Capacity_By_SKU!$C:$C,"NonProd",Capacity_By_SKU!$D:$D,Request!$B$14)/MAX(SUMIFS(Capacity_By_SKU!$J:$J,Capacity_By_SKU!$A:$A,$A9,Capacity_By_SKU!$C:$C,"NonProd",Capacity_By_SKU!$D:$D,Request!$B$14),1),0)),IF(OR(Request!$B$15="",Request!$C$15=""),1,IFERROR(SUMIFS(Capacity_By_SKU!$K:$K,Capacity_By_SKU!$A:$A,$A9,Capacity_By_SKU!$C:$C,"NonProd",Capacity_By_SKU!$D:$D,Request!$B$15)/MAX(SUMIFS(Capacity_By_SKU!$J:$J,Capacity_By_SKU!$A:$A,$A9,Capacity_By_SKU!$C:$C,"NonProd",Capacity_By_SKU!$D:$D,Request!$B$15),1),0)))),0)</f>
        <v/>
      </c>
      <c r="M9" s="22">
        <f>IF(I9=1,ROUND(Policy!$B$4*J9+Policy!$B$5*K9+Policy!$B$6*L9,4),"")</f>
        <v/>
      </c>
      <c r="N9" s="16">
        <f>IF(I9=1,SUMPRODUCT(($I$4:$I$11=1)*($M$4:$M$11&gt;M9))+1,"")</f>
        <v/>
      </c>
      <c r="O9" s="16">
        <f>IF(I9=0,"N/A",IF(MIN(IF(OR(Request!$B$8="",Request!$C$8=""),1,IFERROR(SUMIFS(Capacity_By_SKU!$K:$K,Capacity_By_SKU!$A:$A,$A9,Capacity_By_SKU!$C:$C,"NonProd",Capacity_By_SKU!$D:$D,Request!$B$8)/MAX(SUMIFS(Capacity_By_SKU!$J:$J,Capacity_By_SKU!$A:$A,$A9,Capacity_By_SKU!$C:$C,"NonProd",Capacity_By_SKU!$D:$D,Request!$B$8),1),0)),IF(OR(Request!$B$9="",Request!$C$9=""),1,IFERROR(SUMIFS(Capacity_By_SKU!$K:$K,Capacity_By_SKU!$A:$A,$A9,Capacity_By_SKU!$C:$C,"NonProd",Capacity_By_SKU!$D:$D,Request!$B$9)/MAX(SUMIFS(Capacity_By_SKU!$J:$J,Capacity_By_SKU!$A:$A,$A9,Capacity_By_SKU!$C:$C,"NonProd",Capacity_By_SKU!$D:$D,Request!$B$9),1),0)),IF(OR(Request!$B$10="",Request!$C$10=""),1,IFERROR(SUMIFS(Capacity_By_SKU!$K:$K,Capacity_By_SKU!$A:$A,$A9,Capacity_By_SKU!$C:$C,"NonProd",Capacity_By_SKU!$D:$D,Request!$B$10)/MAX(SUMIFS(Capacity_By_SKU!$J:$J,Capacity_By_SKU!$A:$A,$A9,Capacity_By_SKU!$C:$C,"NonProd",Capacity_By_SKU!$D:$D,Request!$B$10),1),0)),IF(OR(Request!$B$11="",Request!$C$11=""),1,IFERROR(SUMIFS(Capacity_By_SKU!$K:$K,Capacity_By_SKU!$A:$A,$A9,Capacity_By_SKU!$C:$C,"NonProd",Capacity_By_SKU!$D:$D,Request!$B$11)/MAX(SUMIFS(Capacity_By_SKU!$J:$J,Capacity_By_SKU!$A:$A,$A9,Capacity_By_SKU!$C:$C,"NonProd",Capacity_By_SKU!$D:$D,Request!$B$11),1),0)),IF(OR(Request!$B$12="",Request!$C$12=""),1,IFERROR(SUMIFS(Capacity_By_SKU!$K:$K,Capacity_By_SKU!$A:$A,$A9,Capacity_By_SKU!$C:$C,"NonProd",Capacity_By_SKU!$D:$D,Request!$B$12)/MAX(SUMIFS(Capacity_By_SKU!$J:$J,Capacity_By_SKU!$A:$A,$A9,Capacity_By_SKU!$C:$C,"NonProd",Capacity_By_SKU!$D:$D,Request!$B$12),1),0)),IF(OR(Request!$B$13="",Request!$C$13=""),1,IFERROR(SUMIFS(Capacity_By_SKU!$K:$K,Capacity_By_SKU!$A:$A,$A9,Capacity_By_SKU!$C:$C,"NonProd",Capacity_By_SKU!$D:$D,Request!$B$13)/MAX(SUMIFS(Capacity_By_SKU!$J:$J,Capacity_By_SKU!$A:$A,$A9,Capacity_By_SKU!$C:$C,"NonProd",Capacity_By_SKU!$D:$D,Request!$B$13),1),0)),IF(OR(Request!$B$14="",Request!$C$14=""),1,IFERROR(SUMIFS(Capacity_By_SKU!$K:$K,Capacity_By_SKU!$A:$A,$A9,Capacity_By_SKU!$C:$C,"NonProd",Capacity_By_SKU!$D:$D,Request!$B$14)/MAX(SUMIFS(Capacity_By_SKU!$J:$J,Capacity_By_SKU!$A:$A,$A9,Capacity_By_SKU!$C:$C,"NonProd",Capacity_By_SKU!$D:$D,Request!$B$14),1),0)),IF(OR(Request!$B$15="",Request!$C$15=""),1,IFERROR(SUMIFS(Capacity_By_SKU!$K:$K,Capacity_By_SKU!$A:$A,$A9,Capacity_By_SKU!$C:$C,"NonProd",Capacity_By_SKU!$D:$D,Request!$B$15)/MAX(SUMIFS(Capacity_By_SKU!$J:$J,Capacity_By_SKU!$A:$A,$A9,Capacity_By_SKU!$C:$C,"NonProd",Capacity_By_SKU!$D:$D,Request!$B$15),1),0)))&lt;=MIN(IF(OR(Request!$B$8="",Request!$C$8=""),1,IFERROR(SUMIFS(Quota_Groups!$G:$G,Quota_Groups!$B:$B,$A9,Quota_Groups!$D:$D,IFERROR(VLOOKUP(Request!$B$8,SKU_Family_Map!$A:$B,2,FALSE),""))/MAX(SUMIFS(Quota_Groups!$E:$E,Quota_Groups!$B:$B,$A9,Quota_Groups!$D:$D,IFERROR(VLOOKUP(Request!$B$8,SKU_Family_Map!$A:$B,2,FALSE),"")),1),0)),IF(OR(Request!$B$9="",Request!$C$9=""),1,IFERROR(SUMIFS(Quota_Groups!$G:$G,Quota_Groups!$B:$B,$A9,Quota_Groups!$D:$D,IFERROR(VLOOKUP(Request!$B$9,SKU_Family_Map!$A:$B,2,FALSE),""))/MAX(SUMIFS(Quota_Groups!$E:$E,Quota_Groups!$B:$B,$A9,Quota_Groups!$D:$D,IFERROR(VLOOKUP(Request!$B$9,SKU_Family_Map!$A:$B,2,FALSE),"")),1),0)),IF(OR(Request!$B$10="",Request!$C$10=""),1,IFERROR(SUMIFS(Quota_Groups!$G:$G,Quota_Groups!$B:$B,$A9,Quota_Groups!$D:$D,IFERROR(VLOOKUP(Request!$B$10,SKU_Family_Map!$A:$B,2,FALSE),""))/MAX(SUMIFS(Quota_Groups!$E:$E,Quota_Groups!$B:$B,$A9,Quota_Groups!$D:$D,IFERROR(VLOOKUP(Request!$B$10,SKU_Family_Map!$A:$B,2,FALSE),"")),1),0)),IF(OR(Request!$B$11="",Request!$C$11=""),1,IFERROR(SUMIFS(Quota_Groups!$G:$G,Quota_Groups!$B:$B,$A9,Quota_Groups!$D:$D,IFERROR(VLOOKUP(Request!$B$11,SKU_Family_Map!$A:$B,2,FALSE),""))/MAX(SUMIFS(Quota_Groups!$E:$E,Quota_Groups!$B:$B,$A9,Quota_Groups!$D:$D,IFERROR(VLOOKUP(Request!$B$11,SKU_Family_Map!$A:$B,2,FALSE),"")),1),0)),IF(OR(Request!$B$12="",Request!$C$12=""),1,IFERROR(SUMIFS(Quota_Groups!$G:$G,Quota_Groups!$B:$B,$A9,Quota_Groups!$D:$D,IFERROR(VLOOKUP(Request!$B$12,SKU_Family_Map!$A:$B,2,FALSE),""))/MAX(SUMIFS(Quota_Groups!$E:$E,Quota_Groups!$B:$B,$A9,Quota_Groups!$D:$D,IFERROR(VLOOKUP(Request!$B$12,SKU_Family_Map!$A:$B,2,FALSE),"")),1),0)),IF(OR(Request!$B$13="",Request!$C$13=""),1,IFERROR(SUMIFS(Quota_Groups!$G:$G,Quota_Groups!$B:$B,$A9,Quota_Groups!$D:$D,IFERROR(VLOOKUP(Request!$B$13,SKU_Family_Map!$A:$B,2,FALSE),""))/MAX(SUMIFS(Quota_Groups!$E:$E,Quota_Groups!$B:$B,$A9,Quota_Groups!$D:$D,IFERROR(VLOOKUP(Request!$B$13,SKU_Family_Map!$A:$B,2,FALSE),"")),1),0)),IF(OR(Request!$B$14="",Request!$C$14=""),1,IFERROR(SUMIFS(Quota_Groups!$G:$G,Quota_Groups!$B:$B,$A9,Quota_Groups!$D:$D,IFERROR(VLOOKUP(Request!$B$14,SKU_Family_Map!$A:$B,2,FALSE),""))/MAX(SUMIFS(Quota_Groups!$E:$E,Quota_Groups!$B:$B,$A9,Quota_Groups!$D:$D,IFERROR(VLOOKUP(Request!$B$14,SKU_Family_Map!$A:$B,2,FALSE),"")),1),0)),IF(OR(Request!$B$15="",Request!$C$15=""),1,IFERROR(SUMIFS(Quota_Groups!$G:$G,Quota_Groups!$B:$B,$A9,Quota_Groups!$D:$D,IFERROR(VLOOKUP(Request!$B$15,SKU_Family_Map!$A:$B,2,FALSE),""))/MAX(SUMIFS(Quota_Groups!$E:$E,Quota_Groups!$B:$B,$A9,Quota_Groups!$D:$D,IFERROR(VLOOKUP(Request!$B$15,SKU_Family_Map!$A:$B,2,FALSE),"")),1),0))),"CAPACITY","QUOTA"))</f>
        <v/>
      </c>
    </row>
    <row r="10">
      <c r="A10" s="12" t="inlineStr">
        <is>
          <t>North Europe</t>
        </is>
      </c>
      <c r="B10" s="16" t="inlineStr">
        <is>
          <t>EU</t>
        </is>
      </c>
      <c r="C10" s="16" t="inlineStr">
        <is>
          <t>NonProd</t>
        </is>
      </c>
      <c r="D10" s="16">
        <f>Request!$B$17</f>
        <v/>
      </c>
      <c r="E10" s="16">
        <f>Request!$B$18</f>
        <v/>
      </c>
      <c r="F10" s="16">
        <f>IF(B10=Request!$B$4,1,0)</f>
        <v/>
      </c>
      <c r="G10" s="18">
        <f>IF(Request!$B$17=0,0,MIN(IF(OR(Request!$B$8="",Request!$C$8=""),1,IF(MIN(SUMIFS(Capacity_By_SKU!$K:$K,Capacity_By_SKU!$A:$A,$A10,Capacity_By_SKU!$C:$C,"NonProd",Capacity_By_SKU!$D:$D,Request!$B$8),SUMIFS(Quota_Groups!$G:$G,Quota_Groups!$B:$B,$A10,Quota_Groups!$D:$D,IFERROR(VLOOKUP(Request!$B$8,SKU_Family_Map!$A:$B,2,FALSE),"")))&gt;=Request!$E$8,1,0)),IF(OR(Request!$B$9="",Request!$C$9=""),1,IF(MIN(SUMIFS(Capacity_By_SKU!$K:$K,Capacity_By_SKU!$A:$A,$A10,Capacity_By_SKU!$C:$C,"NonProd",Capacity_By_SKU!$D:$D,Request!$B$9),SUMIFS(Quota_Groups!$G:$G,Quota_Groups!$B:$B,$A10,Quota_Groups!$D:$D,IFERROR(VLOOKUP(Request!$B$9,SKU_Family_Map!$A:$B,2,FALSE),"")))&gt;=Request!$E$9,1,0)),IF(OR(Request!$B$10="",Request!$C$10=""),1,IF(MIN(SUMIFS(Capacity_By_SKU!$K:$K,Capacity_By_SKU!$A:$A,$A10,Capacity_By_SKU!$C:$C,"NonProd",Capacity_By_SKU!$D:$D,Request!$B$10),SUMIFS(Quota_Groups!$G:$G,Quota_Groups!$B:$B,$A10,Quota_Groups!$D:$D,IFERROR(VLOOKUP(Request!$B$10,SKU_Family_Map!$A:$B,2,FALSE),"")))&gt;=Request!$E$10,1,0)),IF(OR(Request!$B$11="",Request!$C$11=""),1,IF(MIN(SUMIFS(Capacity_By_SKU!$K:$K,Capacity_By_SKU!$A:$A,$A10,Capacity_By_SKU!$C:$C,"NonProd",Capacity_By_SKU!$D:$D,Request!$B$11),SUMIFS(Quota_Groups!$G:$G,Quota_Groups!$B:$B,$A10,Quota_Groups!$D:$D,IFERROR(VLOOKUP(Request!$B$11,SKU_Family_Map!$A:$B,2,FALSE),"")))&gt;=Request!$E$11,1,0)),IF(OR(Request!$B$12="",Request!$C$12=""),1,IF(MIN(SUMIFS(Capacity_By_SKU!$K:$K,Capacity_By_SKU!$A:$A,$A10,Capacity_By_SKU!$C:$C,"NonProd",Capacity_By_SKU!$D:$D,Request!$B$12),SUMIFS(Quota_Groups!$G:$G,Quota_Groups!$B:$B,$A10,Quota_Groups!$D:$D,IFERROR(VLOOKUP(Request!$B$12,SKU_Family_Map!$A:$B,2,FALSE),"")))&gt;=Request!$E$12,1,0)),IF(OR(Request!$B$13="",Request!$C$13=""),1,IF(MIN(SUMIFS(Capacity_By_SKU!$K:$K,Capacity_By_SKU!$A:$A,$A10,Capacity_By_SKU!$C:$C,"NonProd",Capacity_By_SKU!$D:$D,Request!$B$13),SUMIFS(Quota_Groups!$G:$G,Quota_Groups!$B:$B,$A10,Quota_Groups!$D:$D,IFERROR(VLOOKUP(Request!$B$13,SKU_Family_Map!$A:$B,2,FALSE),"")))&gt;=Request!$E$13,1,0)),IF(OR(Request!$B$14="",Request!$C$14=""),1,IF(MIN(SUMIFS(Capacity_By_SKU!$K:$K,Capacity_By_SKU!$A:$A,$A10,Capacity_By_SKU!$C:$C,"NonProd",Capacity_By_SKU!$D:$D,Request!$B$14),SUMIFS(Quota_Groups!$G:$G,Quota_Groups!$B:$B,$A10,Quota_Groups!$D:$D,IFERROR(VLOOKUP(Request!$B$14,SKU_Family_Map!$A:$B,2,FALSE),"")))&gt;=Request!$E$14,1,0)),IF(OR(Request!$B$15="",Request!$C$15=""),1,IF(MIN(SUMIFS(Capacity_By_SKU!$K:$K,Capacity_By_SKU!$A:$A,$A10,Capacity_By_SKU!$C:$C,"NonProd",Capacity_By_SKU!$D:$D,Request!$B$15),SUMIFS(Quota_Groups!$G:$G,Quota_Groups!$B:$B,$A10,Quota_Groups!$D:$D,IFERROR(VLOOKUP(Request!$B$15,SKU_Family_Map!$A:$B,2,FALSE),"")))&gt;=Request!$E$15,1,0))))</f>
        <v/>
      </c>
      <c r="H10" s="12">
        <f>IF(Request!$B$17=0,"NO_REQUEST",IF(SUM(IF(AND(Request!$B$8&lt;&gt;"",Request!$C$8&lt;&gt;"",SUMIFS(Capacity_By_SKU!$K:$K,Capacity_By_SKU!$A:$A,$A10,Capacity_By_SKU!$C:$C,"NonProd",Capacity_By_SKU!$D:$D,Request!$B$8)&lt;=0),1,0),IF(AND(Request!$B$9&lt;&gt;"",Request!$C$9&lt;&gt;"",SUMIFS(Capacity_By_SKU!$K:$K,Capacity_By_SKU!$A:$A,$A10,Capacity_By_SKU!$C:$C,"NonProd",Capacity_By_SKU!$D:$D,Request!$B$9)&lt;=0),1,0),IF(AND(Request!$B$10&lt;&gt;"",Request!$C$10&lt;&gt;"",SUMIFS(Capacity_By_SKU!$K:$K,Capacity_By_SKU!$A:$A,$A10,Capacity_By_SKU!$C:$C,"NonProd",Capacity_By_SKU!$D:$D,Request!$B$10)&lt;=0),1,0),IF(AND(Request!$B$11&lt;&gt;"",Request!$C$11&lt;&gt;"",SUMIFS(Capacity_By_SKU!$K:$K,Capacity_By_SKU!$A:$A,$A10,Capacity_By_SKU!$C:$C,"NonProd",Capacity_By_SKU!$D:$D,Request!$B$11)&lt;=0),1,0),IF(AND(Request!$B$12&lt;&gt;"",Request!$C$12&lt;&gt;"",SUMIFS(Capacity_By_SKU!$K:$K,Capacity_By_SKU!$A:$A,$A10,Capacity_By_SKU!$C:$C,"NonProd",Capacity_By_SKU!$D:$D,Request!$B$12)&lt;=0),1,0),IF(AND(Request!$B$13&lt;&gt;"",Request!$C$13&lt;&gt;"",SUMIFS(Capacity_By_SKU!$K:$K,Capacity_By_SKU!$A:$A,$A10,Capacity_By_SKU!$C:$C,"NonProd",Capacity_By_SKU!$D:$D,Request!$B$13)&lt;=0),1,0),IF(AND(Request!$B$14&lt;&gt;"",Request!$C$14&lt;&gt;"",SUMIFS(Capacity_By_SKU!$K:$K,Capacity_By_SKU!$A:$A,$A10,Capacity_By_SKU!$C:$C,"NonProd",Capacity_By_SKU!$D:$D,Request!$B$14)&lt;=0),1,0),IF(AND(Request!$B$15&lt;&gt;"",Request!$C$15&lt;&gt;"",SUMIFS(Capacity_By_SKU!$K:$K,Capacity_By_SKU!$A:$A,$A10,Capacity_By_SKU!$C:$C,"NonProd",Capacity_By_SKU!$D:$D,Request!$B$15)&lt;=0),1,0))&gt;0,"RESERVATION_DEFICIT",IF(SUM(IF(AND(Request!$B$8&lt;&gt;"",Request!$C$8&lt;&gt;"",SUMIFS(Quota_Groups!$G:$G,Quota_Groups!$B:$B,$A10,Quota_Groups!$D:$D,IFERROR(VLOOKUP(Request!$B$8,SKU_Family_Map!$A:$B,2,FALSE),""))&lt;=0),1,0),IF(AND(Request!$B$9&lt;&gt;"",Request!$C$9&lt;&gt;"",SUMIFS(Quota_Groups!$G:$G,Quota_Groups!$B:$B,$A10,Quota_Groups!$D:$D,IFERROR(VLOOKUP(Request!$B$9,SKU_Family_Map!$A:$B,2,FALSE),""))&lt;=0),1,0),IF(AND(Request!$B$10&lt;&gt;"",Request!$C$10&lt;&gt;"",SUMIFS(Quota_Groups!$G:$G,Quota_Groups!$B:$B,$A10,Quota_Groups!$D:$D,IFERROR(VLOOKUP(Request!$B$10,SKU_Family_Map!$A:$B,2,FALSE),""))&lt;=0),1,0),IF(AND(Request!$B$11&lt;&gt;"",Request!$C$11&lt;&gt;"",SUMIFS(Quota_Groups!$G:$G,Quota_Groups!$B:$B,$A10,Quota_Groups!$D:$D,IFERROR(VLOOKUP(Request!$B$11,SKU_Family_Map!$A:$B,2,FALSE),""))&lt;=0),1,0),IF(AND(Request!$B$12&lt;&gt;"",Request!$C$12&lt;&gt;"",SUMIFS(Quota_Groups!$G:$G,Quota_Groups!$B:$B,$A10,Quota_Groups!$D:$D,IFERROR(VLOOKUP(Request!$B$12,SKU_Family_Map!$A:$B,2,FALSE),""))&lt;=0),1,0),IF(AND(Request!$B$13&lt;&gt;"",Request!$C$13&lt;&gt;"",SUMIFS(Quota_Groups!$G:$G,Quota_Groups!$B:$B,$A10,Quota_Groups!$D:$D,IFERROR(VLOOKUP(Request!$B$13,SKU_Family_Map!$A:$B,2,FALSE),""))&lt;=0),1,0),IF(AND(Request!$B$14&lt;&gt;"",Request!$C$14&lt;&gt;"",SUMIFS(Quota_Groups!$G:$G,Quota_Groups!$B:$B,$A10,Quota_Groups!$D:$D,IFERROR(VLOOKUP(Request!$B$14,SKU_Family_Map!$A:$B,2,FALSE),""))&lt;=0),1,0),IF(AND(Request!$B$15&lt;&gt;"",Request!$C$15&lt;&gt;"",SUMIFS(Quota_Groups!$G:$G,Quota_Groups!$B:$B,$A10,Quota_Groups!$D:$D,IFERROR(VLOOKUP(Request!$B$15,SKU_Family_Map!$A:$B,2,FALSE),""))&lt;=0),1,0))&gt;0,"QUOTA_DEFICIT",IF(G10=0,"CAPACITY_DEFICIT",IF(MIN(IF(OR(Request!$B$8="",Request!$C$8=""),1,IFERROR(1-Request!$E$8/MIN(SUMIFS(Capacity_By_SKU!$K:$K,Capacity_By_SKU!$A:$A,$A10,Capacity_By_SKU!$C:$C,"NonProd",Capacity_By_SKU!$D:$D,Request!$B$8),SUMIFS(Quota_Groups!$G:$G,Quota_Groups!$B:$B,$A10,Quota_Groups!$D:$D,IFERROR(VLOOKUP(Request!$B$8,SKU_Family_Map!$A:$B,2,FALSE),""))),0)),IF(OR(Request!$B$9="",Request!$C$9=""),1,IFERROR(1-Request!$E$9/MIN(SUMIFS(Capacity_By_SKU!$K:$K,Capacity_By_SKU!$A:$A,$A10,Capacity_By_SKU!$C:$C,"NonProd",Capacity_By_SKU!$D:$D,Request!$B$9),SUMIFS(Quota_Groups!$G:$G,Quota_Groups!$B:$B,$A10,Quota_Groups!$D:$D,IFERROR(VLOOKUP(Request!$B$9,SKU_Family_Map!$A:$B,2,FALSE),""))),0)),IF(OR(Request!$B$10="",Request!$C$10=""),1,IFERROR(1-Request!$E$10/MIN(SUMIFS(Capacity_By_SKU!$K:$K,Capacity_By_SKU!$A:$A,$A10,Capacity_By_SKU!$C:$C,"NonProd",Capacity_By_SKU!$D:$D,Request!$B$10),SUMIFS(Quota_Groups!$G:$G,Quota_Groups!$B:$B,$A10,Quota_Groups!$D:$D,IFERROR(VLOOKUP(Request!$B$10,SKU_Family_Map!$A:$B,2,FALSE),""))),0)),IF(OR(Request!$B$11="",Request!$C$11=""),1,IFERROR(1-Request!$E$11/MIN(SUMIFS(Capacity_By_SKU!$K:$K,Capacity_By_SKU!$A:$A,$A10,Capacity_By_SKU!$C:$C,"NonProd",Capacity_By_SKU!$D:$D,Request!$B$11),SUMIFS(Quota_Groups!$G:$G,Quota_Groups!$B:$B,$A10,Quota_Groups!$D:$D,IFERROR(VLOOKUP(Request!$B$11,SKU_Family_Map!$A:$B,2,FALSE),""))),0)),IF(OR(Request!$B$12="",Request!$C$12=""),1,IFERROR(1-Request!$E$12/MIN(SUMIFS(Capacity_By_SKU!$K:$K,Capacity_By_SKU!$A:$A,$A10,Capacity_By_SKU!$C:$C,"NonProd",Capacity_By_SKU!$D:$D,Request!$B$12),SUMIFS(Quota_Groups!$G:$G,Quota_Groups!$B:$B,$A10,Quota_Groups!$D:$D,IFERROR(VLOOKUP(Request!$B$12,SKU_Family_Map!$A:$B,2,FALSE),""))),0)),IF(OR(Request!$B$13="",Request!$C$13=""),1,IFERROR(1-Request!$E$13/MIN(SUMIFS(Capacity_By_SKU!$K:$K,Capacity_By_SKU!$A:$A,$A10,Capacity_By_SKU!$C:$C,"NonProd",Capacity_By_SKU!$D:$D,Request!$B$13),SUMIFS(Quota_Groups!$G:$G,Quota_Groups!$B:$B,$A10,Quota_Groups!$D:$D,IFERROR(VLOOKUP(Request!$B$13,SKU_Family_Map!$A:$B,2,FALSE),""))),0)),IF(OR(Request!$B$14="",Request!$C$14=""),1,IFERROR(1-Request!$E$14/MIN(SUMIFS(Capacity_By_SKU!$K:$K,Capacity_By_SKU!$A:$A,$A10,Capacity_By_SKU!$C:$C,"NonProd",Capacity_By_SKU!$D:$D,Request!$B$14),SUMIFS(Quota_Groups!$G:$G,Quota_Groups!$B:$B,$A10,Quota_Groups!$D:$D,IFERROR(VLOOKUP(Request!$B$14,SKU_Family_Map!$A:$B,2,FALSE),""))),0)),IF(OR(Request!$B$15="",Request!$C$15=""),1,IFERROR(1-Request!$E$15/MIN(SUMIFS(Capacity_By_SKU!$K:$K,Capacity_By_SKU!$A:$A,$A10,Capacity_By_SKU!$C:$C,"NonProd",Capacity_By_SKU!$D:$D,Request!$B$15),SUMIFS(Quota_Groups!$G:$G,Quota_Groups!$B:$B,$A10,Quota_Groups!$D:$D,IFERROR(VLOOKUP(Request!$B$15,SKU_Family_Map!$A:$B,2,FALSE),""))),0)))&lt;Policy!$B$10,"READY_WITH_RISK","READY")))))</f>
        <v/>
      </c>
      <c r="I10" s="16">
        <f>IF(AND(F10=1,G10=1,OR(H10="READY",H10="READY_WITH_RISK")),1,0)</f>
        <v/>
      </c>
      <c r="J10" s="16">
        <f>IF(I10=1,MAX(0,MIN(IF(OR(Request!$B$8="",Request!$C$8=""),1,IFERROR(1-Request!$E$8/MIN(SUMIFS(Capacity_By_SKU!$K:$K,Capacity_By_SKU!$A:$A,$A10,Capacity_By_SKU!$C:$C,"NonProd",Capacity_By_SKU!$D:$D,Request!$B$8),SUMIFS(Quota_Groups!$G:$G,Quota_Groups!$B:$B,$A10,Quota_Groups!$D:$D,IFERROR(VLOOKUP(Request!$B$8,SKU_Family_Map!$A:$B,2,FALSE),""))),0)),IF(OR(Request!$B$9="",Request!$C$9=""),1,IFERROR(1-Request!$E$9/MIN(SUMIFS(Capacity_By_SKU!$K:$K,Capacity_By_SKU!$A:$A,$A10,Capacity_By_SKU!$C:$C,"NonProd",Capacity_By_SKU!$D:$D,Request!$B$9),SUMIFS(Quota_Groups!$G:$G,Quota_Groups!$B:$B,$A10,Quota_Groups!$D:$D,IFERROR(VLOOKUP(Request!$B$9,SKU_Family_Map!$A:$B,2,FALSE),""))),0)),IF(OR(Request!$B$10="",Request!$C$10=""),1,IFERROR(1-Request!$E$10/MIN(SUMIFS(Capacity_By_SKU!$K:$K,Capacity_By_SKU!$A:$A,$A10,Capacity_By_SKU!$C:$C,"NonProd",Capacity_By_SKU!$D:$D,Request!$B$10),SUMIFS(Quota_Groups!$G:$G,Quota_Groups!$B:$B,$A10,Quota_Groups!$D:$D,IFERROR(VLOOKUP(Request!$B$10,SKU_Family_Map!$A:$B,2,FALSE),""))),0)),IF(OR(Request!$B$11="",Request!$C$11=""),1,IFERROR(1-Request!$E$11/MIN(SUMIFS(Capacity_By_SKU!$K:$K,Capacity_By_SKU!$A:$A,$A10,Capacity_By_SKU!$C:$C,"NonProd",Capacity_By_SKU!$D:$D,Request!$B$11),SUMIFS(Quota_Groups!$G:$G,Quota_Groups!$B:$B,$A10,Quota_Groups!$D:$D,IFERROR(VLOOKUP(Request!$B$11,SKU_Family_Map!$A:$B,2,FALSE),""))),0)),IF(OR(Request!$B$12="",Request!$C$12=""),1,IFERROR(1-Request!$E$12/MIN(SUMIFS(Capacity_By_SKU!$K:$K,Capacity_By_SKU!$A:$A,$A10,Capacity_By_SKU!$C:$C,"NonProd",Capacity_By_SKU!$D:$D,Request!$B$12),SUMIFS(Quota_Groups!$G:$G,Quota_Groups!$B:$B,$A10,Quota_Groups!$D:$D,IFERROR(VLOOKUP(Request!$B$12,SKU_Family_Map!$A:$B,2,FALSE),""))),0)),IF(OR(Request!$B$13="",Request!$C$13=""),1,IFERROR(1-Request!$E$13/MIN(SUMIFS(Capacity_By_SKU!$K:$K,Capacity_By_SKU!$A:$A,$A10,Capacity_By_SKU!$C:$C,"NonProd",Capacity_By_SKU!$D:$D,Request!$B$13),SUMIFS(Quota_Groups!$G:$G,Quota_Groups!$B:$B,$A10,Quota_Groups!$D:$D,IFERROR(VLOOKUP(Request!$B$13,SKU_Family_Map!$A:$B,2,FALSE),""))),0)),IF(OR(Request!$B$14="",Request!$C$14=""),1,IFERROR(1-Request!$E$14/MIN(SUMIFS(Capacity_By_SKU!$K:$K,Capacity_By_SKU!$A:$A,$A10,Capacity_By_SKU!$C:$C,"NonProd",Capacity_By_SKU!$D:$D,Request!$B$14),SUMIFS(Quota_Groups!$G:$G,Quota_Groups!$B:$B,$A10,Quota_Groups!$D:$D,IFERROR(VLOOKUP(Request!$B$14,SKU_Family_Map!$A:$B,2,FALSE),""))),0)),IF(OR(Request!$B$15="",Request!$C$15=""),1,IFERROR(1-Request!$E$15/MIN(SUMIFS(Capacity_By_SKU!$K:$K,Capacity_By_SKU!$A:$A,$A10,Capacity_By_SKU!$C:$C,"NonProd",Capacity_By_SKU!$D:$D,Request!$B$15),SUMIFS(Quota_Groups!$G:$G,Quota_Groups!$B:$B,$A10,Quota_Groups!$D:$D,IFERROR(VLOOKUP(Request!$B$15,SKU_Family_Map!$A:$B,2,FALSE),""))),0)))),0)</f>
        <v/>
      </c>
      <c r="K10" s="16">
        <f>IF(I10=1,MAX(0,MIN(IF(OR(Request!$B$8="",Request!$C$8=""),1,IFERROR(SUMIFS(Quota_Groups!$G:$G,Quota_Groups!$B:$B,$A10,Quota_Groups!$D:$D,IFERROR(VLOOKUP(Request!$B$8,SKU_Family_Map!$A:$B,2,FALSE),""))/MAX(SUMIFS(Quota_Groups!$E:$E,Quota_Groups!$B:$B,$A10,Quota_Groups!$D:$D,IFERROR(VLOOKUP(Request!$B$8,SKU_Family_Map!$A:$B,2,FALSE),"")),1),0)),IF(OR(Request!$B$9="",Request!$C$9=""),1,IFERROR(SUMIFS(Quota_Groups!$G:$G,Quota_Groups!$B:$B,$A10,Quota_Groups!$D:$D,IFERROR(VLOOKUP(Request!$B$9,SKU_Family_Map!$A:$B,2,FALSE),""))/MAX(SUMIFS(Quota_Groups!$E:$E,Quota_Groups!$B:$B,$A10,Quota_Groups!$D:$D,IFERROR(VLOOKUP(Request!$B$9,SKU_Family_Map!$A:$B,2,FALSE),"")),1),0)),IF(OR(Request!$B$10="",Request!$C$10=""),1,IFERROR(SUMIFS(Quota_Groups!$G:$G,Quota_Groups!$B:$B,$A10,Quota_Groups!$D:$D,IFERROR(VLOOKUP(Request!$B$10,SKU_Family_Map!$A:$B,2,FALSE),""))/MAX(SUMIFS(Quota_Groups!$E:$E,Quota_Groups!$B:$B,$A10,Quota_Groups!$D:$D,IFERROR(VLOOKUP(Request!$B$10,SKU_Family_Map!$A:$B,2,FALSE),"")),1),0)),IF(OR(Request!$B$11="",Request!$C$11=""),1,IFERROR(SUMIFS(Quota_Groups!$G:$G,Quota_Groups!$B:$B,$A10,Quota_Groups!$D:$D,IFERROR(VLOOKUP(Request!$B$11,SKU_Family_Map!$A:$B,2,FALSE),""))/MAX(SUMIFS(Quota_Groups!$E:$E,Quota_Groups!$B:$B,$A10,Quota_Groups!$D:$D,IFERROR(VLOOKUP(Request!$B$11,SKU_Family_Map!$A:$B,2,FALSE),"")),1),0)),IF(OR(Request!$B$12="",Request!$C$12=""),1,IFERROR(SUMIFS(Quota_Groups!$G:$G,Quota_Groups!$B:$B,$A10,Quota_Groups!$D:$D,IFERROR(VLOOKUP(Request!$B$12,SKU_Family_Map!$A:$B,2,FALSE),""))/MAX(SUMIFS(Quota_Groups!$E:$E,Quota_Groups!$B:$B,$A10,Quota_Groups!$D:$D,IFERROR(VLOOKUP(Request!$B$12,SKU_Family_Map!$A:$B,2,FALSE),"")),1),0)),IF(OR(Request!$B$13="",Request!$C$13=""),1,IFERROR(SUMIFS(Quota_Groups!$G:$G,Quota_Groups!$B:$B,$A10,Quota_Groups!$D:$D,IFERROR(VLOOKUP(Request!$B$13,SKU_Family_Map!$A:$B,2,FALSE),""))/MAX(SUMIFS(Quota_Groups!$E:$E,Quota_Groups!$B:$B,$A10,Quota_Groups!$D:$D,IFERROR(VLOOKUP(Request!$B$13,SKU_Family_Map!$A:$B,2,FALSE),"")),1),0)),IF(OR(Request!$B$14="",Request!$C$14=""),1,IFERROR(SUMIFS(Quota_Groups!$G:$G,Quota_Groups!$B:$B,$A10,Quota_Groups!$D:$D,IFERROR(VLOOKUP(Request!$B$14,SKU_Family_Map!$A:$B,2,FALSE),""))/MAX(SUMIFS(Quota_Groups!$E:$E,Quota_Groups!$B:$B,$A10,Quota_Groups!$D:$D,IFERROR(VLOOKUP(Request!$B$14,SKU_Family_Map!$A:$B,2,FALSE),"")),1),0)),IF(OR(Request!$B$15="",Request!$C$15=""),1,IFERROR(SUMIFS(Quota_Groups!$G:$G,Quota_Groups!$B:$B,$A10,Quota_Groups!$D:$D,IFERROR(VLOOKUP(Request!$B$15,SKU_Family_Map!$A:$B,2,FALSE),""))/MAX(SUMIFS(Quota_Groups!$E:$E,Quota_Groups!$B:$B,$A10,Quota_Groups!$D:$D,IFERROR(VLOOKUP(Request!$B$15,SKU_Family_Map!$A:$B,2,FALSE),"")),1),0)))),0)</f>
        <v/>
      </c>
      <c r="L10" s="16">
        <f>IF(I10=1,MAX(0,MIN(IF(OR(Request!$B$8="",Request!$C$8=""),1,IFERROR(SUMIFS(Capacity_By_SKU!$K:$K,Capacity_By_SKU!$A:$A,$A10,Capacity_By_SKU!$C:$C,"NonProd",Capacity_By_SKU!$D:$D,Request!$B$8)/MAX(SUMIFS(Capacity_By_SKU!$J:$J,Capacity_By_SKU!$A:$A,$A10,Capacity_By_SKU!$C:$C,"NonProd",Capacity_By_SKU!$D:$D,Request!$B$8),1),0)),IF(OR(Request!$B$9="",Request!$C$9=""),1,IFERROR(SUMIFS(Capacity_By_SKU!$K:$K,Capacity_By_SKU!$A:$A,$A10,Capacity_By_SKU!$C:$C,"NonProd",Capacity_By_SKU!$D:$D,Request!$B$9)/MAX(SUMIFS(Capacity_By_SKU!$J:$J,Capacity_By_SKU!$A:$A,$A10,Capacity_By_SKU!$C:$C,"NonProd",Capacity_By_SKU!$D:$D,Request!$B$9),1),0)),IF(OR(Request!$B$10="",Request!$C$10=""),1,IFERROR(SUMIFS(Capacity_By_SKU!$K:$K,Capacity_By_SKU!$A:$A,$A10,Capacity_By_SKU!$C:$C,"NonProd",Capacity_By_SKU!$D:$D,Request!$B$10)/MAX(SUMIFS(Capacity_By_SKU!$J:$J,Capacity_By_SKU!$A:$A,$A10,Capacity_By_SKU!$C:$C,"NonProd",Capacity_By_SKU!$D:$D,Request!$B$10),1),0)),IF(OR(Request!$B$11="",Request!$C$11=""),1,IFERROR(SUMIFS(Capacity_By_SKU!$K:$K,Capacity_By_SKU!$A:$A,$A10,Capacity_By_SKU!$C:$C,"NonProd",Capacity_By_SKU!$D:$D,Request!$B$11)/MAX(SUMIFS(Capacity_By_SKU!$J:$J,Capacity_By_SKU!$A:$A,$A10,Capacity_By_SKU!$C:$C,"NonProd",Capacity_By_SKU!$D:$D,Request!$B$11),1),0)),IF(OR(Request!$B$12="",Request!$C$12=""),1,IFERROR(SUMIFS(Capacity_By_SKU!$K:$K,Capacity_By_SKU!$A:$A,$A10,Capacity_By_SKU!$C:$C,"NonProd",Capacity_By_SKU!$D:$D,Request!$B$12)/MAX(SUMIFS(Capacity_By_SKU!$J:$J,Capacity_By_SKU!$A:$A,$A10,Capacity_By_SKU!$C:$C,"NonProd",Capacity_By_SKU!$D:$D,Request!$B$12),1),0)),IF(OR(Request!$B$13="",Request!$C$13=""),1,IFERROR(SUMIFS(Capacity_By_SKU!$K:$K,Capacity_By_SKU!$A:$A,$A10,Capacity_By_SKU!$C:$C,"NonProd",Capacity_By_SKU!$D:$D,Request!$B$13)/MAX(SUMIFS(Capacity_By_SKU!$J:$J,Capacity_By_SKU!$A:$A,$A10,Capacity_By_SKU!$C:$C,"NonProd",Capacity_By_SKU!$D:$D,Request!$B$13),1),0)),IF(OR(Request!$B$14="",Request!$C$14=""),1,IFERROR(SUMIFS(Capacity_By_SKU!$K:$K,Capacity_By_SKU!$A:$A,$A10,Capacity_By_SKU!$C:$C,"NonProd",Capacity_By_SKU!$D:$D,Request!$B$14)/MAX(SUMIFS(Capacity_By_SKU!$J:$J,Capacity_By_SKU!$A:$A,$A10,Capacity_By_SKU!$C:$C,"NonProd",Capacity_By_SKU!$D:$D,Request!$B$14),1),0)),IF(OR(Request!$B$15="",Request!$C$15=""),1,IFERROR(SUMIFS(Capacity_By_SKU!$K:$K,Capacity_By_SKU!$A:$A,$A10,Capacity_By_SKU!$C:$C,"NonProd",Capacity_By_SKU!$D:$D,Request!$B$15)/MAX(SUMIFS(Capacity_By_SKU!$J:$J,Capacity_By_SKU!$A:$A,$A10,Capacity_By_SKU!$C:$C,"NonProd",Capacity_By_SKU!$D:$D,Request!$B$15),1),0)))),0)</f>
        <v/>
      </c>
      <c r="M10" s="22">
        <f>IF(I10=1,ROUND(Policy!$B$4*J10+Policy!$B$5*K10+Policy!$B$6*L10,4),"")</f>
        <v/>
      </c>
      <c r="N10" s="16">
        <f>IF(I10=1,SUMPRODUCT(($I$4:$I$11=1)*($M$4:$M$11&gt;M10))+1,"")</f>
        <v/>
      </c>
      <c r="O10" s="16">
        <f>IF(I10=0,"N/A",IF(MIN(IF(OR(Request!$B$8="",Request!$C$8=""),1,IFERROR(SUMIFS(Capacity_By_SKU!$K:$K,Capacity_By_SKU!$A:$A,$A10,Capacity_By_SKU!$C:$C,"NonProd",Capacity_By_SKU!$D:$D,Request!$B$8)/MAX(SUMIFS(Capacity_By_SKU!$J:$J,Capacity_By_SKU!$A:$A,$A10,Capacity_By_SKU!$C:$C,"NonProd",Capacity_By_SKU!$D:$D,Request!$B$8),1),0)),IF(OR(Request!$B$9="",Request!$C$9=""),1,IFERROR(SUMIFS(Capacity_By_SKU!$K:$K,Capacity_By_SKU!$A:$A,$A10,Capacity_By_SKU!$C:$C,"NonProd",Capacity_By_SKU!$D:$D,Request!$B$9)/MAX(SUMIFS(Capacity_By_SKU!$J:$J,Capacity_By_SKU!$A:$A,$A10,Capacity_By_SKU!$C:$C,"NonProd",Capacity_By_SKU!$D:$D,Request!$B$9),1),0)),IF(OR(Request!$B$10="",Request!$C$10=""),1,IFERROR(SUMIFS(Capacity_By_SKU!$K:$K,Capacity_By_SKU!$A:$A,$A10,Capacity_By_SKU!$C:$C,"NonProd",Capacity_By_SKU!$D:$D,Request!$B$10)/MAX(SUMIFS(Capacity_By_SKU!$J:$J,Capacity_By_SKU!$A:$A,$A10,Capacity_By_SKU!$C:$C,"NonProd",Capacity_By_SKU!$D:$D,Request!$B$10),1),0)),IF(OR(Request!$B$11="",Request!$C$11=""),1,IFERROR(SUMIFS(Capacity_By_SKU!$K:$K,Capacity_By_SKU!$A:$A,$A10,Capacity_By_SKU!$C:$C,"NonProd",Capacity_By_SKU!$D:$D,Request!$B$11)/MAX(SUMIFS(Capacity_By_SKU!$J:$J,Capacity_By_SKU!$A:$A,$A10,Capacity_By_SKU!$C:$C,"NonProd",Capacity_By_SKU!$D:$D,Request!$B$11),1),0)),IF(OR(Request!$B$12="",Request!$C$12=""),1,IFERROR(SUMIFS(Capacity_By_SKU!$K:$K,Capacity_By_SKU!$A:$A,$A10,Capacity_By_SKU!$C:$C,"NonProd",Capacity_By_SKU!$D:$D,Request!$B$12)/MAX(SUMIFS(Capacity_By_SKU!$J:$J,Capacity_By_SKU!$A:$A,$A10,Capacity_By_SKU!$C:$C,"NonProd",Capacity_By_SKU!$D:$D,Request!$B$12),1),0)),IF(OR(Request!$B$13="",Request!$C$13=""),1,IFERROR(SUMIFS(Capacity_By_SKU!$K:$K,Capacity_By_SKU!$A:$A,$A10,Capacity_By_SKU!$C:$C,"NonProd",Capacity_By_SKU!$D:$D,Request!$B$13)/MAX(SUMIFS(Capacity_By_SKU!$J:$J,Capacity_By_SKU!$A:$A,$A10,Capacity_By_SKU!$C:$C,"NonProd",Capacity_By_SKU!$D:$D,Request!$B$13),1),0)),IF(OR(Request!$B$14="",Request!$C$14=""),1,IFERROR(SUMIFS(Capacity_By_SKU!$K:$K,Capacity_By_SKU!$A:$A,$A10,Capacity_By_SKU!$C:$C,"NonProd",Capacity_By_SKU!$D:$D,Request!$B$14)/MAX(SUMIFS(Capacity_By_SKU!$J:$J,Capacity_By_SKU!$A:$A,$A10,Capacity_By_SKU!$C:$C,"NonProd",Capacity_By_SKU!$D:$D,Request!$B$14),1),0)),IF(OR(Request!$B$15="",Request!$C$15=""),1,IFERROR(SUMIFS(Capacity_By_SKU!$K:$K,Capacity_By_SKU!$A:$A,$A10,Capacity_By_SKU!$C:$C,"NonProd",Capacity_By_SKU!$D:$D,Request!$B$15)/MAX(SUMIFS(Capacity_By_SKU!$J:$J,Capacity_By_SKU!$A:$A,$A10,Capacity_By_SKU!$C:$C,"NonProd",Capacity_By_SKU!$D:$D,Request!$B$15),1),0)))&lt;=MIN(IF(OR(Request!$B$8="",Request!$C$8=""),1,IFERROR(SUMIFS(Quota_Groups!$G:$G,Quota_Groups!$B:$B,$A10,Quota_Groups!$D:$D,IFERROR(VLOOKUP(Request!$B$8,SKU_Family_Map!$A:$B,2,FALSE),""))/MAX(SUMIFS(Quota_Groups!$E:$E,Quota_Groups!$B:$B,$A10,Quota_Groups!$D:$D,IFERROR(VLOOKUP(Request!$B$8,SKU_Family_Map!$A:$B,2,FALSE),"")),1),0)),IF(OR(Request!$B$9="",Request!$C$9=""),1,IFERROR(SUMIFS(Quota_Groups!$G:$G,Quota_Groups!$B:$B,$A10,Quota_Groups!$D:$D,IFERROR(VLOOKUP(Request!$B$9,SKU_Family_Map!$A:$B,2,FALSE),""))/MAX(SUMIFS(Quota_Groups!$E:$E,Quota_Groups!$B:$B,$A10,Quota_Groups!$D:$D,IFERROR(VLOOKUP(Request!$B$9,SKU_Family_Map!$A:$B,2,FALSE),"")),1),0)),IF(OR(Request!$B$10="",Request!$C$10=""),1,IFERROR(SUMIFS(Quota_Groups!$G:$G,Quota_Groups!$B:$B,$A10,Quota_Groups!$D:$D,IFERROR(VLOOKUP(Request!$B$10,SKU_Family_Map!$A:$B,2,FALSE),""))/MAX(SUMIFS(Quota_Groups!$E:$E,Quota_Groups!$B:$B,$A10,Quota_Groups!$D:$D,IFERROR(VLOOKUP(Request!$B$10,SKU_Family_Map!$A:$B,2,FALSE),"")),1),0)),IF(OR(Request!$B$11="",Request!$C$11=""),1,IFERROR(SUMIFS(Quota_Groups!$G:$G,Quota_Groups!$B:$B,$A10,Quota_Groups!$D:$D,IFERROR(VLOOKUP(Request!$B$11,SKU_Family_Map!$A:$B,2,FALSE),""))/MAX(SUMIFS(Quota_Groups!$E:$E,Quota_Groups!$B:$B,$A10,Quota_Groups!$D:$D,IFERROR(VLOOKUP(Request!$B$11,SKU_Family_Map!$A:$B,2,FALSE),"")),1),0)),IF(OR(Request!$B$12="",Request!$C$12=""),1,IFERROR(SUMIFS(Quota_Groups!$G:$G,Quota_Groups!$B:$B,$A10,Quota_Groups!$D:$D,IFERROR(VLOOKUP(Request!$B$12,SKU_Family_Map!$A:$B,2,FALSE),""))/MAX(SUMIFS(Quota_Groups!$E:$E,Quota_Groups!$B:$B,$A10,Quota_Groups!$D:$D,IFERROR(VLOOKUP(Request!$B$12,SKU_Family_Map!$A:$B,2,FALSE),"")),1),0)),IF(OR(Request!$B$13="",Request!$C$13=""),1,IFERROR(SUMIFS(Quota_Groups!$G:$G,Quota_Groups!$B:$B,$A10,Quota_Groups!$D:$D,IFERROR(VLOOKUP(Request!$B$13,SKU_Family_Map!$A:$B,2,FALSE),""))/MAX(SUMIFS(Quota_Groups!$E:$E,Quota_Groups!$B:$B,$A10,Quota_Groups!$D:$D,IFERROR(VLOOKUP(Request!$B$13,SKU_Family_Map!$A:$B,2,FALSE),"")),1),0)),IF(OR(Request!$B$14="",Request!$C$14=""),1,IFERROR(SUMIFS(Quota_Groups!$G:$G,Quota_Groups!$B:$B,$A10,Quota_Groups!$D:$D,IFERROR(VLOOKUP(Request!$B$14,SKU_Family_Map!$A:$B,2,FALSE),""))/MAX(SUMIFS(Quota_Groups!$E:$E,Quota_Groups!$B:$B,$A10,Quota_Groups!$D:$D,IFERROR(VLOOKUP(Request!$B$14,SKU_Family_Map!$A:$B,2,FALSE),"")),1),0)),IF(OR(Request!$B$15="",Request!$C$15=""),1,IFERROR(SUMIFS(Quota_Groups!$G:$G,Quota_Groups!$B:$B,$A10,Quota_Groups!$D:$D,IFERROR(VLOOKUP(Request!$B$15,SKU_Family_Map!$A:$B,2,FALSE),""))/MAX(SUMIFS(Quota_Groups!$E:$E,Quota_Groups!$B:$B,$A10,Quota_Groups!$D:$D,IFERROR(VLOOKUP(Request!$B$15,SKU_Family_Map!$A:$B,2,FALSE),"")),1),0))),"CAPACITY","QUOTA"))</f>
        <v/>
      </c>
    </row>
    <row r="11">
      <c r="A11" s="12" t="inlineStr">
        <is>
          <t>West Europe</t>
        </is>
      </c>
      <c r="B11" s="16" t="inlineStr">
        <is>
          <t>EU</t>
        </is>
      </c>
      <c r="C11" s="16" t="inlineStr">
        <is>
          <t>NonProd</t>
        </is>
      </c>
      <c r="D11" s="16">
        <f>Request!$B$17</f>
        <v/>
      </c>
      <c r="E11" s="16">
        <f>Request!$B$18</f>
        <v/>
      </c>
      <c r="F11" s="16">
        <f>IF(B11=Request!$B$4,1,0)</f>
        <v/>
      </c>
      <c r="G11" s="18">
        <f>IF(Request!$B$17=0,0,MIN(IF(OR(Request!$B$8="",Request!$C$8=""),1,IF(MIN(SUMIFS(Capacity_By_SKU!$K:$K,Capacity_By_SKU!$A:$A,$A11,Capacity_By_SKU!$C:$C,"NonProd",Capacity_By_SKU!$D:$D,Request!$B$8),SUMIFS(Quota_Groups!$G:$G,Quota_Groups!$B:$B,$A11,Quota_Groups!$D:$D,IFERROR(VLOOKUP(Request!$B$8,SKU_Family_Map!$A:$B,2,FALSE),"")))&gt;=Request!$E$8,1,0)),IF(OR(Request!$B$9="",Request!$C$9=""),1,IF(MIN(SUMIFS(Capacity_By_SKU!$K:$K,Capacity_By_SKU!$A:$A,$A11,Capacity_By_SKU!$C:$C,"NonProd",Capacity_By_SKU!$D:$D,Request!$B$9),SUMIFS(Quota_Groups!$G:$G,Quota_Groups!$B:$B,$A11,Quota_Groups!$D:$D,IFERROR(VLOOKUP(Request!$B$9,SKU_Family_Map!$A:$B,2,FALSE),"")))&gt;=Request!$E$9,1,0)),IF(OR(Request!$B$10="",Request!$C$10=""),1,IF(MIN(SUMIFS(Capacity_By_SKU!$K:$K,Capacity_By_SKU!$A:$A,$A11,Capacity_By_SKU!$C:$C,"NonProd",Capacity_By_SKU!$D:$D,Request!$B$10),SUMIFS(Quota_Groups!$G:$G,Quota_Groups!$B:$B,$A11,Quota_Groups!$D:$D,IFERROR(VLOOKUP(Request!$B$10,SKU_Family_Map!$A:$B,2,FALSE),"")))&gt;=Request!$E$10,1,0)),IF(OR(Request!$B$11="",Request!$C$11=""),1,IF(MIN(SUMIFS(Capacity_By_SKU!$K:$K,Capacity_By_SKU!$A:$A,$A11,Capacity_By_SKU!$C:$C,"NonProd",Capacity_By_SKU!$D:$D,Request!$B$11),SUMIFS(Quota_Groups!$G:$G,Quota_Groups!$B:$B,$A11,Quota_Groups!$D:$D,IFERROR(VLOOKUP(Request!$B$11,SKU_Family_Map!$A:$B,2,FALSE),"")))&gt;=Request!$E$11,1,0)),IF(OR(Request!$B$12="",Request!$C$12=""),1,IF(MIN(SUMIFS(Capacity_By_SKU!$K:$K,Capacity_By_SKU!$A:$A,$A11,Capacity_By_SKU!$C:$C,"NonProd",Capacity_By_SKU!$D:$D,Request!$B$12),SUMIFS(Quota_Groups!$G:$G,Quota_Groups!$B:$B,$A11,Quota_Groups!$D:$D,IFERROR(VLOOKUP(Request!$B$12,SKU_Family_Map!$A:$B,2,FALSE),"")))&gt;=Request!$E$12,1,0)),IF(OR(Request!$B$13="",Request!$C$13=""),1,IF(MIN(SUMIFS(Capacity_By_SKU!$K:$K,Capacity_By_SKU!$A:$A,$A11,Capacity_By_SKU!$C:$C,"NonProd",Capacity_By_SKU!$D:$D,Request!$B$13),SUMIFS(Quota_Groups!$G:$G,Quota_Groups!$B:$B,$A11,Quota_Groups!$D:$D,IFERROR(VLOOKUP(Request!$B$13,SKU_Family_Map!$A:$B,2,FALSE),"")))&gt;=Request!$E$13,1,0)),IF(OR(Request!$B$14="",Request!$C$14=""),1,IF(MIN(SUMIFS(Capacity_By_SKU!$K:$K,Capacity_By_SKU!$A:$A,$A11,Capacity_By_SKU!$C:$C,"NonProd",Capacity_By_SKU!$D:$D,Request!$B$14),SUMIFS(Quota_Groups!$G:$G,Quota_Groups!$B:$B,$A11,Quota_Groups!$D:$D,IFERROR(VLOOKUP(Request!$B$14,SKU_Family_Map!$A:$B,2,FALSE),"")))&gt;=Request!$E$14,1,0)),IF(OR(Request!$B$15="",Request!$C$15=""),1,IF(MIN(SUMIFS(Capacity_By_SKU!$K:$K,Capacity_By_SKU!$A:$A,$A11,Capacity_By_SKU!$C:$C,"NonProd",Capacity_By_SKU!$D:$D,Request!$B$15),SUMIFS(Quota_Groups!$G:$G,Quota_Groups!$B:$B,$A11,Quota_Groups!$D:$D,IFERROR(VLOOKUP(Request!$B$15,SKU_Family_Map!$A:$B,2,FALSE),"")))&gt;=Request!$E$15,1,0))))</f>
        <v/>
      </c>
      <c r="H11" s="12">
        <f>IF(Request!$B$17=0,"NO_REQUEST",IF(SUM(IF(AND(Request!$B$8&lt;&gt;"",Request!$C$8&lt;&gt;"",SUMIFS(Capacity_By_SKU!$K:$K,Capacity_By_SKU!$A:$A,$A11,Capacity_By_SKU!$C:$C,"NonProd",Capacity_By_SKU!$D:$D,Request!$B$8)&lt;=0),1,0),IF(AND(Request!$B$9&lt;&gt;"",Request!$C$9&lt;&gt;"",SUMIFS(Capacity_By_SKU!$K:$K,Capacity_By_SKU!$A:$A,$A11,Capacity_By_SKU!$C:$C,"NonProd",Capacity_By_SKU!$D:$D,Request!$B$9)&lt;=0),1,0),IF(AND(Request!$B$10&lt;&gt;"",Request!$C$10&lt;&gt;"",SUMIFS(Capacity_By_SKU!$K:$K,Capacity_By_SKU!$A:$A,$A11,Capacity_By_SKU!$C:$C,"NonProd",Capacity_By_SKU!$D:$D,Request!$B$10)&lt;=0),1,0),IF(AND(Request!$B$11&lt;&gt;"",Request!$C$11&lt;&gt;"",SUMIFS(Capacity_By_SKU!$K:$K,Capacity_By_SKU!$A:$A,$A11,Capacity_By_SKU!$C:$C,"NonProd",Capacity_By_SKU!$D:$D,Request!$B$11)&lt;=0),1,0),IF(AND(Request!$B$12&lt;&gt;"",Request!$C$12&lt;&gt;"",SUMIFS(Capacity_By_SKU!$K:$K,Capacity_By_SKU!$A:$A,$A11,Capacity_By_SKU!$C:$C,"NonProd",Capacity_By_SKU!$D:$D,Request!$B$12)&lt;=0),1,0),IF(AND(Request!$B$13&lt;&gt;"",Request!$C$13&lt;&gt;"",SUMIFS(Capacity_By_SKU!$K:$K,Capacity_By_SKU!$A:$A,$A11,Capacity_By_SKU!$C:$C,"NonProd",Capacity_By_SKU!$D:$D,Request!$B$13)&lt;=0),1,0),IF(AND(Request!$B$14&lt;&gt;"",Request!$C$14&lt;&gt;"",SUMIFS(Capacity_By_SKU!$K:$K,Capacity_By_SKU!$A:$A,$A11,Capacity_By_SKU!$C:$C,"NonProd",Capacity_By_SKU!$D:$D,Request!$B$14)&lt;=0),1,0),IF(AND(Request!$B$15&lt;&gt;"",Request!$C$15&lt;&gt;"",SUMIFS(Capacity_By_SKU!$K:$K,Capacity_By_SKU!$A:$A,$A11,Capacity_By_SKU!$C:$C,"NonProd",Capacity_By_SKU!$D:$D,Request!$B$15)&lt;=0),1,0))&gt;0,"RESERVATION_DEFICIT",IF(SUM(IF(AND(Request!$B$8&lt;&gt;"",Request!$C$8&lt;&gt;"",SUMIFS(Quota_Groups!$G:$G,Quota_Groups!$B:$B,$A11,Quota_Groups!$D:$D,IFERROR(VLOOKUP(Request!$B$8,SKU_Family_Map!$A:$B,2,FALSE),""))&lt;=0),1,0),IF(AND(Request!$B$9&lt;&gt;"",Request!$C$9&lt;&gt;"",SUMIFS(Quota_Groups!$G:$G,Quota_Groups!$B:$B,$A11,Quota_Groups!$D:$D,IFERROR(VLOOKUP(Request!$B$9,SKU_Family_Map!$A:$B,2,FALSE),""))&lt;=0),1,0),IF(AND(Request!$B$10&lt;&gt;"",Request!$C$10&lt;&gt;"",SUMIFS(Quota_Groups!$G:$G,Quota_Groups!$B:$B,$A11,Quota_Groups!$D:$D,IFERROR(VLOOKUP(Request!$B$10,SKU_Family_Map!$A:$B,2,FALSE),""))&lt;=0),1,0),IF(AND(Request!$B$11&lt;&gt;"",Request!$C$11&lt;&gt;"",SUMIFS(Quota_Groups!$G:$G,Quota_Groups!$B:$B,$A11,Quota_Groups!$D:$D,IFERROR(VLOOKUP(Request!$B$11,SKU_Family_Map!$A:$B,2,FALSE),""))&lt;=0),1,0),IF(AND(Request!$B$12&lt;&gt;"",Request!$C$12&lt;&gt;"",SUMIFS(Quota_Groups!$G:$G,Quota_Groups!$B:$B,$A11,Quota_Groups!$D:$D,IFERROR(VLOOKUP(Request!$B$12,SKU_Family_Map!$A:$B,2,FALSE),""))&lt;=0),1,0),IF(AND(Request!$B$13&lt;&gt;"",Request!$C$13&lt;&gt;"",SUMIFS(Quota_Groups!$G:$G,Quota_Groups!$B:$B,$A11,Quota_Groups!$D:$D,IFERROR(VLOOKUP(Request!$B$13,SKU_Family_Map!$A:$B,2,FALSE),""))&lt;=0),1,0),IF(AND(Request!$B$14&lt;&gt;"",Request!$C$14&lt;&gt;"",SUMIFS(Quota_Groups!$G:$G,Quota_Groups!$B:$B,$A11,Quota_Groups!$D:$D,IFERROR(VLOOKUP(Request!$B$14,SKU_Family_Map!$A:$B,2,FALSE),""))&lt;=0),1,0),IF(AND(Request!$B$15&lt;&gt;"",Request!$C$15&lt;&gt;"",SUMIFS(Quota_Groups!$G:$G,Quota_Groups!$B:$B,$A11,Quota_Groups!$D:$D,IFERROR(VLOOKUP(Request!$B$15,SKU_Family_Map!$A:$B,2,FALSE),""))&lt;=0),1,0))&gt;0,"QUOTA_DEFICIT",IF(G11=0,"CAPACITY_DEFICIT",IF(MIN(IF(OR(Request!$B$8="",Request!$C$8=""),1,IFERROR(1-Request!$E$8/MIN(SUMIFS(Capacity_By_SKU!$K:$K,Capacity_By_SKU!$A:$A,$A11,Capacity_By_SKU!$C:$C,"NonProd",Capacity_By_SKU!$D:$D,Request!$B$8),SUMIFS(Quota_Groups!$G:$G,Quota_Groups!$B:$B,$A11,Quota_Groups!$D:$D,IFERROR(VLOOKUP(Request!$B$8,SKU_Family_Map!$A:$B,2,FALSE),""))),0)),IF(OR(Request!$B$9="",Request!$C$9=""),1,IFERROR(1-Request!$E$9/MIN(SUMIFS(Capacity_By_SKU!$K:$K,Capacity_By_SKU!$A:$A,$A11,Capacity_By_SKU!$C:$C,"NonProd",Capacity_By_SKU!$D:$D,Request!$B$9),SUMIFS(Quota_Groups!$G:$G,Quota_Groups!$B:$B,$A11,Quota_Groups!$D:$D,IFERROR(VLOOKUP(Request!$B$9,SKU_Family_Map!$A:$B,2,FALSE),""))),0)),IF(OR(Request!$B$10="",Request!$C$10=""),1,IFERROR(1-Request!$E$10/MIN(SUMIFS(Capacity_By_SKU!$K:$K,Capacity_By_SKU!$A:$A,$A11,Capacity_By_SKU!$C:$C,"NonProd",Capacity_By_SKU!$D:$D,Request!$B$10),SUMIFS(Quota_Groups!$G:$G,Quota_Groups!$B:$B,$A11,Quota_Groups!$D:$D,IFERROR(VLOOKUP(Request!$B$10,SKU_Family_Map!$A:$B,2,FALSE),""))),0)),IF(OR(Request!$B$11="",Request!$C$11=""),1,IFERROR(1-Request!$E$11/MIN(SUMIFS(Capacity_By_SKU!$K:$K,Capacity_By_SKU!$A:$A,$A11,Capacity_By_SKU!$C:$C,"NonProd",Capacity_By_SKU!$D:$D,Request!$B$11),SUMIFS(Quota_Groups!$G:$G,Quota_Groups!$B:$B,$A11,Quota_Groups!$D:$D,IFERROR(VLOOKUP(Request!$B$11,SKU_Family_Map!$A:$B,2,FALSE),""))),0)),IF(OR(Request!$B$12="",Request!$C$12=""),1,IFERROR(1-Request!$E$12/MIN(SUMIFS(Capacity_By_SKU!$K:$K,Capacity_By_SKU!$A:$A,$A11,Capacity_By_SKU!$C:$C,"NonProd",Capacity_By_SKU!$D:$D,Request!$B$12),SUMIFS(Quota_Groups!$G:$G,Quota_Groups!$B:$B,$A11,Quota_Groups!$D:$D,IFERROR(VLOOKUP(Request!$B$12,SKU_Family_Map!$A:$B,2,FALSE),""))),0)),IF(OR(Request!$B$13="",Request!$C$13=""),1,IFERROR(1-Request!$E$13/MIN(SUMIFS(Capacity_By_SKU!$K:$K,Capacity_By_SKU!$A:$A,$A11,Capacity_By_SKU!$C:$C,"NonProd",Capacity_By_SKU!$D:$D,Request!$B$13),SUMIFS(Quota_Groups!$G:$G,Quota_Groups!$B:$B,$A11,Quota_Groups!$D:$D,IFERROR(VLOOKUP(Request!$B$13,SKU_Family_Map!$A:$B,2,FALSE),""))),0)),IF(OR(Request!$B$14="",Request!$C$14=""),1,IFERROR(1-Request!$E$14/MIN(SUMIFS(Capacity_By_SKU!$K:$K,Capacity_By_SKU!$A:$A,$A11,Capacity_By_SKU!$C:$C,"NonProd",Capacity_By_SKU!$D:$D,Request!$B$14),SUMIFS(Quota_Groups!$G:$G,Quota_Groups!$B:$B,$A11,Quota_Groups!$D:$D,IFERROR(VLOOKUP(Request!$B$14,SKU_Family_Map!$A:$B,2,FALSE),""))),0)),IF(OR(Request!$B$15="",Request!$C$15=""),1,IFERROR(1-Request!$E$15/MIN(SUMIFS(Capacity_By_SKU!$K:$K,Capacity_By_SKU!$A:$A,$A11,Capacity_By_SKU!$C:$C,"NonProd",Capacity_By_SKU!$D:$D,Request!$B$15),SUMIFS(Quota_Groups!$G:$G,Quota_Groups!$B:$B,$A11,Quota_Groups!$D:$D,IFERROR(VLOOKUP(Request!$B$15,SKU_Family_Map!$A:$B,2,FALSE),""))),0)))&lt;Policy!$B$10,"READY_WITH_RISK","READY")))))</f>
        <v/>
      </c>
      <c r="I11" s="16">
        <f>IF(AND(F11=1,G11=1,OR(H11="READY",H11="READY_WITH_RISK")),1,0)</f>
        <v/>
      </c>
      <c r="J11" s="16">
        <f>IF(I11=1,MAX(0,MIN(IF(OR(Request!$B$8="",Request!$C$8=""),1,IFERROR(1-Request!$E$8/MIN(SUMIFS(Capacity_By_SKU!$K:$K,Capacity_By_SKU!$A:$A,$A11,Capacity_By_SKU!$C:$C,"NonProd",Capacity_By_SKU!$D:$D,Request!$B$8),SUMIFS(Quota_Groups!$G:$G,Quota_Groups!$B:$B,$A11,Quota_Groups!$D:$D,IFERROR(VLOOKUP(Request!$B$8,SKU_Family_Map!$A:$B,2,FALSE),""))),0)),IF(OR(Request!$B$9="",Request!$C$9=""),1,IFERROR(1-Request!$E$9/MIN(SUMIFS(Capacity_By_SKU!$K:$K,Capacity_By_SKU!$A:$A,$A11,Capacity_By_SKU!$C:$C,"NonProd",Capacity_By_SKU!$D:$D,Request!$B$9),SUMIFS(Quota_Groups!$G:$G,Quota_Groups!$B:$B,$A11,Quota_Groups!$D:$D,IFERROR(VLOOKUP(Request!$B$9,SKU_Family_Map!$A:$B,2,FALSE),""))),0)),IF(OR(Request!$B$10="",Request!$C$10=""),1,IFERROR(1-Request!$E$10/MIN(SUMIFS(Capacity_By_SKU!$K:$K,Capacity_By_SKU!$A:$A,$A11,Capacity_By_SKU!$C:$C,"NonProd",Capacity_By_SKU!$D:$D,Request!$B$10),SUMIFS(Quota_Groups!$G:$G,Quota_Groups!$B:$B,$A11,Quota_Groups!$D:$D,IFERROR(VLOOKUP(Request!$B$10,SKU_Family_Map!$A:$B,2,FALSE),""))),0)),IF(OR(Request!$B$11="",Request!$C$11=""),1,IFERROR(1-Request!$E$11/MIN(SUMIFS(Capacity_By_SKU!$K:$K,Capacity_By_SKU!$A:$A,$A11,Capacity_By_SKU!$C:$C,"NonProd",Capacity_By_SKU!$D:$D,Request!$B$11),SUMIFS(Quota_Groups!$G:$G,Quota_Groups!$B:$B,$A11,Quota_Groups!$D:$D,IFERROR(VLOOKUP(Request!$B$11,SKU_Family_Map!$A:$B,2,FALSE),""))),0)),IF(OR(Request!$B$12="",Request!$C$12=""),1,IFERROR(1-Request!$E$12/MIN(SUMIFS(Capacity_By_SKU!$K:$K,Capacity_By_SKU!$A:$A,$A11,Capacity_By_SKU!$C:$C,"NonProd",Capacity_By_SKU!$D:$D,Request!$B$12),SUMIFS(Quota_Groups!$G:$G,Quota_Groups!$B:$B,$A11,Quota_Groups!$D:$D,IFERROR(VLOOKUP(Request!$B$12,SKU_Family_Map!$A:$B,2,FALSE),""))),0)),IF(OR(Request!$B$13="",Request!$C$13=""),1,IFERROR(1-Request!$E$13/MIN(SUMIFS(Capacity_By_SKU!$K:$K,Capacity_By_SKU!$A:$A,$A11,Capacity_By_SKU!$C:$C,"NonProd",Capacity_By_SKU!$D:$D,Request!$B$13),SUMIFS(Quota_Groups!$G:$G,Quota_Groups!$B:$B,$A11,Quota_Groups!$D:$D,IFERROR(VLOOKUP(Request!$B$13,SKU_Family_Map!$A:$B,2,FALSE),""))),0)),IF(OR(Request!$B$14="",Request!$C$14=""),1,IFERROR(1-Request!$E$14/MIN(SUMIFS(Capacity_By_SKU!$K:$K,Capacity_By_SKU!$A:$A,$A11,Capacity_By_SKU!$C:$C,"NonProd",Capacity_By_SKU!$D:$D,Request!$B$14),SUMIFS(Quota_Groups!$G:$G,Quota_Groups!$B:$B,$A11,Quota_Groups!$D:$D,IFERROR(VLOOKUP(Request!$B$14,SKU_Family_Map!$A:$B,2,FALSE),""))),0)),IF(OR(Request!$B$15="",Request!$C$15=""),1,IFERROR(1-Request!$E$15/MIN(SUMIFS(Capacity_By_SKU!$K:$K,Capacity_By_SKU!$A:$A,$A11,Capacity_By_SKU!$C:$C,"NonProd",Capacity_By_SKU!$D:$D,Request!$B$15),SUMIFS(Quota_Groups!$G:$G,Quota_Groups!$B:$B,$A11,Quota_Groups!$D:$D,IFERROR(VLOOKUP(Request!$B$15,SKU_Family_Map!$A:$B,2,FALSE),""))),0)))),0)</f>
        <v/>
      </c>
      <c r="K11" s="16">
        <f>IF(I11=1,MAX(0,MIN(IF(OR(Request!$B$8="",Request!$C$8=""),1,IFERROR(SUMIFS(Quota_Groups!$G:$G,Quota_Groups!$B:$B,$A11,Quota_Groups!$D:$D,IFERROR(VLOOKUP(Request!$B$8,SKU_Family_Map!$A:$B,2,FALSE),""))/MAX(SUMIFS(Quota_Groups!$E:$E,Quota_Groups!$B:$B,$A11,Quota_Groups!$D:$D,IFERROR(VLOOKUP(Request!$B$8,SKU_Family_Map!$A:$B,2,FALSE),"")),1),0)),IF(OR(Request!$B$9="",Request!$C$9=""),1,IFERROR(SUMIFS(Quota_Groups!$G:$G,Quota_Groups!$B:$B,$A11,Quota_Groups!$D:$D,IFERROR(VLOOKUP(Request!$B$9,SKU_Family_Map!$A:$B,2,FALSE),""))/MAX(SUMIFS(Quota_Groups!$E:$E,Quota_Groups!$B:$B,$A11,Quota_Groups!$D:$D,IFERROR(VLOOKUP(Request!$B$9,SKU_Family_Map!$A:$B,2,FALSE),"")),1),0)),IF(OR(Request!$B$10="",Request!$C$10=""),1,IFERROR(SUMIFS(Quota_Groups!$G:$G,Quota_Groups!$B:$B,$A11,Quota_Groups!$D:$D,IFERROR(VLOOKUP(Request!$B$10,SKU_Family_Map!$A:$B,2,FALSE),""))/MAX(SUMIFS(Quota_Groups!$E:$E,Quota_Groups!$B:$B,$A11,Quota_Groups!$D:$D,IFERROR(VLOOKUP(Request!$B$10,SKU_Family_Map!$A:$B,2,FALSE),"")),1),0)),IF(OR(Request!$B$11="",Request!$C$11=""),1,IFERROR(SUMIFS(Quota_Groups!$G:$G,Quota_Groups!$B:$B,$A11,Quota_Groups!$D:$D,IFERROR(VLOOKUP(Request!$B$11,SKU_Family_Map!$A:$B,2,FALSE),""))/MAX(SUMIFS(Quota_Groups!$E:$E,Quota_Groups!$B:$B,$A11,Quota_Groups!$D:$D,IFERROR(VLOOKUP(Request!$B$11,SKU_Family_Map!$A:$B,2,FALSE),"")),1),0)),IF(OR(Request!$B$12="",Request!$C$12=""),1,IFERROR(SUMIFS(Quota_Groups!$G:$G,Quota_Groups!$B:$B,$A11,Quota_Groups!$D:$D,IFERROR(VLOOKUP(Request!$B$12,SKU_Family_Map!$A:$B,2,FALSE),""))/MAX(SUMIFS(Quota_Groups!$E:$E,Quota_Groups!$B:$B,$A11,Quota_Groups!$D:$D,IFERROR(VLOOKUP(Request!$B$12,SKU_Family_Map!$A:$B,2,FALSE),"")),1),0)),IF(OR(Request!$B$13="",Request!$C$13=""),1,IFERROR(SUMIFS(Quota_Groups!$G:$G,Quota_Groups!$B:$B,$A11,Quota_Groups!$D:$D,IFERROR(VLOOKUP(Request!$B$13,SKU_Family_Map!$A:$B,2,FALSE),""))/MAX(SUMIFS(Quota_Groups!$E:$E,Quota_Groups!$B:$B,$A11,Quota_Groups!$D:$D,IFERROR(VLOOKUP(Request!$B$13,SKU_Family_Map!$A:$B,2,FALSE),"")),1),0)),IF(OR(Request!$B$14="",Request!$C$14=""),1,IFERROR(SUMIFS(Quota_Groups!$G:$G,Quota_Groups!$B:$B,$A11,Quota_Groups!$D:$D,IFERROR(VLOOKUP(Request!$B$14,SKU_Family_Map!$A:$B,2,FALSE),""))/MAX(SUMIFS(Quota_Groups!$E:$E,Quota_Groups!$B:$B,$A11,Quota_Groups!$D:$D,IFERROR(VLOOKUP(Request!$B$14,SKU_Family_Map!$A:$B,2,FALSE),"")),1),0)),IF(OR(Request!$B$15="",Request!$C$15=""),1,IFERROR(SUMIFS(Quota_Groups!$G:$G,Quota_Groups!$B:$B,$A11,Quota_Groups!$D:$D,IFERROR(VLOOKUP(Request!$B$15,SKU_Family_Map!$A:$B,2,FALSE),""))/MAX(SUMIFS(Quota_Groups!$E:$E,Quota_Groups!$B:$B,$A11,Quota_Groups!$D:$D,IFERROR(VLOOKUP(Request!$B$15,SKU_Family_Map!$A:$B,2,FALSE),"")),1),0)))),0)</f>
        <v/>
      </c>
      <c r="L11" s="16">
        <f>IF(I11=1,MAX(0,MIN(IF(OR(Request!$B$8="",Request!$C$8=""),1,IFERROR(SUMIFS(Capacity_By_SKU!$K:$K,Capacity_By_SKU!$A:$A,$A11,Capacity_By_SKU!$C:$C,"NonProd",Capacity_By_SKU!$D:$D,Request!$B$8)/MAX(SUMIFS(Capacity_By_SKU!$J:$J,Capacity_By_SKU!$A:$A,$A11,Capacity_By_SKU!$C:$C,"NonProd",Capacity_By_SKU!$D:$D,Request!$B$8),1),0)),IF(OR(Request!$B$9="",Request!$C$9=""),1,IFERROR(SUMIFS(Capacity_By_SKU!$K:$K,Capacity_By_SKU!$A:$A,$A11,Capacity_By_SKU!$C:$C,"NonProd",Capacity_By_SKU!$D:$D,Request!$B$9)/MAX(SUMIFS(Capacity_By_SKU!$J:$J,Capacity_By_SKU!$A:$A,$A11,Capacity_By_SKU!$C:$C,"NonProd",Capacity_By_SKU!$D:$D,Request!$B$9),1),0)),IF(OR(Request!$B$10="",Request!$C$10=""),1,IFERROR(SUMIFS(Capacity_By_SKU!$K:$K,Capacity_By_SKU!$A:$A,$A11,Capacity_By_SKU!$C:$C,"NonProd",Capacity_By_SKU!$D:$D,Request!$B$10)/MAX(SUMIFS(Capacity_By_SKU!$J:$J,Capacity_By_SKU!$A:$A,$A11,Capacity_By_SKU!$C:$C,"NonProd",Capacity_By_SKU!$D:$D,Request!$B$10),1),0)),IF(OR(Request!$B$11="",Request!$C$11=""),1,IFERROR(SUMIFS(Capacity_By_SKU!$K:$K,Capacity_By_SKU!$A:$A,$A11,Capacity_By_SKU!$C:$C,"NonProd",Capacity_By_SKU!$D:$D,Request!$B$11)/MAX(SUMIFS(Capacity_By_SKU!$J:$J,Capacity_By_SKU!$A:$A,$A11,Capacity_By_SKU!$C:$C,"NonProd",Capacity_By_SKU!$D:$D,Request!$B$11),1),0)),IF(OR(Request!$B$12="",Request!$C$12=""),1,IFERROR(SUMIFS(Capacity_By_SKU!$K:$K,Capacity_By_SKU!$A:$A,$A11,Capacity_By_SKU!$C:$C,"NonProd",Capacity_By_SKU!$D:$D,Request!$B$12)/MAX(SUMIFS(Capacity_By_SKU!$J:$J,Capacity_By_SKU!$A:$A,$A11,Capacity_By_SKU!$C:$C,"NonProd",Capacity_By_SKU!$D:$D,Request!$B$12),1),0)),IF(OR(Request!$B$13="",Request!$C$13=""),1,IFERROR(SUMIFS(Capacity_By_SKU!$K:$K,Capacity_By_SKU!$A:$A,$A11,Capacity_By_SKU!$C:$C,"NonProd",Capacity_By_SKU!$D:$D,Request!$B$13)/MAX(SUMIFS(Capacity_By_SKU!$J:$J,Capacity_By_SKU!$A:$A,$A11,Capacity_By_SKU!$C:$C,"NonProd",Capacity_By_SKU!$D:$D,Request!$B$13),1),0)),IF(OR(Request!$B$14="",Request!$C$14=""),1,IFERROR(SUMIFS(Capacity_By_SKU!$K:$K,Capacity_By_SKU!$A:$A,$A11,Capacity_By_SKU!$C:$C,"NonProd",Capacity_By_SKU!$D:$D,Request!$B$14)/MAX(SUMIFS(Capacity_By_SKU!$J:$J,Capacity_By_SKU!$A:$A,$A11,Capacity_By_SKU!$C:$C,"NonProd",Capacity_By_SKU!$D:$D,Request!$B$14),1),0)),IF(OR(Request!$B$15="",Request!$C$15=""),1,IFERROR(SUMIFS(Capacity_By_SKU!$K:$K,Capacity_By_SKU!$A:$A,$A11,Capacity_By_SKU!$C:$C,"NonProd",Capacity_By_SKU!$D:$D,Request!$B$15)/MAX(SUMIFS(Capacity_By_SKU!$J:$J,Capacity_By_SKU!$A:$A,$A11,Capacity_By_SKU!$C:$C,"NonProd",Capacity_By_SKU!$D:$D,Request!$B$15),1),0)))),0)</f>
        <v/>
      </c>
      <c r="M11" s="22">
        <f>IF(I11=1,ROUND(Policy!$B$4*J11+Policy!$B$5*K11+Policy!$B$6*L11,4),"")</f>
        <v/>
      </c>
      <c r="N11" s="16">
        <f>IF(I11=1,SUMPRODUCT(($I$4:$I$11=1)*($M$4:$M$11&gt;M11))+1,"")</f>
        <v/>
      </c>
      <c r="O11" s="16">
        <f>IF(I11=0,"N/A",IF(MIN(IF(OR(Request!$B$8="",Request!$C$8=""),1,IFERROR(SUMIFS(Capacity_By_SKU!$K:$K,Capacity_By_SKU!$A:$A,$A11,Capacity_By_SKU!$C:$C,"NonProd",Capacity_By_SKU!$D:$D,Request!$B$8)/MAX(SUMIFS(Capacity_By_SKU!$J:$J,Capacity_By_SKU!$A:$A,$A11,Capacity_By_SKU!$C:$C,"NonProd",Capacity_By_SKU!$D:$D,Request!$B$8),1),0)),IF(OR(Request!$B$9="",Request!$C$9=""),1,IFERROR(SUMIFS(Capacity_By_SKU!$K:$K,Capacity_By_SKU!$A:$A,$A11,Capacity_By_SKU!$C:$C,"NonProd",Capacity_By_SKU!$D:$D,Request!$B$9)/MAX(SUMIFS(Capacity_By_SKU!$J:$J,Capacity_By_SKU!$A:$A,$A11,Capacity_By_SKU!$C:$C,"NonProd",Capacity_By_SKU!$D:$D,Request!$B$9),1),0)),IF(OR(Request!$B$10="",Request!$C$10=""),1,IFERROR(SUMIFS(Capacity_By_SKU!$K:$K,Capacity_By_SKU!$A:$A,$A11,Capacity_By_SKU!$C:$C,"NonProd",Capacity_By_SKU!$D:$D,Request!$B$10)/MAX(SUMIFS(Capacity_By_SKU!$J:$J,Capacity_By_SKU!$A:$A,$A11,Capacity_By_SKU!$C:$C,"NonProd",Capacity_By_SKU!$D:$D,Request!$B$10),1),0)),IF(OR(Request!$B$11="",Request!$C$11=""),1,IFERROR(SUMIFS(Capacity_By_SKU!$K:$K,Capacity_By_SKU!$A:$A,$A11,Capacity_By_SKU!$C:$C,"NonProd",Capacity_By_SKU!$D:$D,Request!$B$11)/MAX(SUMIFS(Capacity_By_SKU!$J:$J,Capacity_By_SKU!$A:$A,$A11,Capacity_By_SKU!$C:$C,"NonProd",Capacity_By_SKU!$D:$D,Request!$B$11),1),0)),IF(OR(Request!$B$12="",Request!$C$12=""),1,IFERROR(SUMIFS(Capacity_By_SKU!$K:$K,Capacity_By_SKU!$A:$A,$A11,Capacity_By_SKU!$C:$C,"NonProd",Capacity_By_SKU!$D:$D,Request!$B$12)/MAX(SUMIFS(Capacity_By_SKU!$J:$J,Capacity_By_SKU!$A:$A,$A11,Capacity_By_SKU!$C:$C,"NonProd",Capacity_By_SKU!$D:$D,Request!$B$12),1),0)),IF(OR(Request!$B$13="",Request!$C$13=""),1,IFERROR(SUMIFS(Capacity_By_SKU!$K:$K,Capacity_By_SKU!$A:$A,$A11,Capacity_By_SKU!$C:$C,"NonProd",Capacity_By_SKU!$D:$D,Request!$B$13)/MAX(SUMIFS(Capacity_By_SKU!$J:$J,Capacity_By_SKU!$A:$A,$A11,Capacity_By_SKU!$C:$C,"NonProd",Capacity_By_SKU!$D:$D,Request!$B$13),1),0)),IF(OR(Request!$B$14="",Request!$C$14=""),1,IFERROR(SUMIFS(Capacity_By_SKU!$K:$K,Capacity_By_SKU!$A:$A,$A11,Capacity_By_SKU!$C:$C,"NonProd",Capacity_By_SKU!$D:$D,Request!$B$14)/MAX(SUMIFS(Capacity_By_SKU!$J:$J,Capacity_By_SKU!$A:$A,$A11,Capacity_By_SKU!$C:$C,"NonProd",Capacity_By_SKU!$D:$D,Request!$B$14),1),0)),IF(OR(Request!$B$15="",Request!$C$15=""),1,IFERROR(SUMIFS(Capacity_By_SKU!$K:$K,Capacity_By_SKU!$A:$A,$A11,Capacity_By_SKU!$C:$C,"NonProd",Capacity_By_SKU!$D:$D,Request!$B$15)/MAX(SUMIFS(Capacity_By_SKU!$J:$J,Capacity_By_SKU!$A:$A,$A11,Capacity_By_SKU!$C:$C,"NonProd",Capacity_By_SKU!$D:$D,Request!$B$15),1),0)))&lt;=MIN(IF(OR(Request!$B$8="",Request!$C$8=""),1,IFERROR(SUMIFS(Quota_Groups!$G:$G,Quota_Groups!$B:$B,$A11,Quota_Groups!$D:$D,IFERROR(VLOOKUP(Request!$B$8,SKU_Family_Map!$A:$B,2,FALSE),""))/MAX(SUMIFS(Quota_Groups!$E:$E,Quota_Groups!$B:$B,$A11,Quota_Groups!$D:$D,IFERROR(VLOOKUP(Request!$B$8,SKU_Family_Map!$A:$B,2,FALSE),"")),1),0)),IF(OR(Request!$B$9="",Request!$C$9=""),1,IFERROR(SUMIFS(Quota_Groups!$G:$G,Quota_Groups!$B:$B,$A11,Quota_Groups!$D:$D,IFERROR(VLOOKUP(Request!$B$9,SKU_Family_Map!$A:$B,2,FALSE),""))/MAX(SUMIFS(Quota_Groups!$E:$E,Quota_Groups!$B:$B,$A11,Quota_Groups!$D:$D,IFERROR(VLOOKUP(Request!$B$9,SKU_Family_Map!$A:$B,2,FALSE),"")),1),0)),IF(OR(Request!$B$10="",Request!$C$10=""),1,IFERROR(SUMIFS(Quota_Groups!$G:$G,Quota_Groups!$B:$B,$A11,Quota_Groups!$D:$D,IFERROR(VLOOKUP(Request!$B$10,SKU_Family_Map!$A:$B,2,FALSE),""))/MAX(SUMIFS(Quota_Groups!$E:$E,Quota_Groups!$B:$B,$A11,Quota_Groups!$D:$D,IFERROR(VLOOKUP(Request!$B$10,SKU_Family_Map!$A:$B,2,FALSE),"")),1),0)),IF(OR(Request!$B$11="",Request!$C$11=""),1,IFERROR(SUMIFS(Quota_Groups!$G:$G,Quota_Groups!$B:$B,$A11,Quota_Groups!$D:$D,IFERROR(VLOOKUP(Request!$B$11,SKU_Family_Map!$A:$B,2,FALSE),""))/MAX(SUMIFS(Quota_Groups!$E:$E,Quota_Groups!$B:$B,$A11,Quota_Groups!$D:$D,IFERROR(VLOOKUP(Request!$B$11,SKU_Family_Map!$A:$B,2,FALSE),"")),1),0)),IF(OR(Request!$B$12="",Request!$C$12=""),1,IFERROR(SUMIFS(Quota_Groups!$G:$G,Quota_Groups!$B:$B,$A11,Quota_Groups!$D:$D,IFERROR(VLOOKUP(Request!$B$12,SKU_Family_Map!$A:$B,2,FALSE),""))/MAX(SUMIFS(Quota_Groups!$E:$E,Quota_Groups!$B:$B,$A11,Quota_Groups!$D:$D,IFERROR(VLOOKUP(Request!$B$12,SKU_Family_Map!$A:$B,2,FALSE),"")),1),0)),IF(OR(Request!$B$13="",Request!$C$13=""),1,IFERROR(SUMIFS(Quota_Groups!$G:$G,Quota_Groups!$B:$B,$A11,Quota_Groups!$D:$D,IFERROR(VLOOKUP(Request!$B$13,SKU_Family_Map!$A:$B,2,FALSE),""))/MAX(SUMIFS(Quota_Groups!$E:$E,Quota_Groups!$B:$B,$A11,Quota_Groups!$D:$D,IFERROR(VLOOKUP(Request!$B$13,SKU_Family_Map!$A:$B,2,FALSE),"")),1),0)),IF(OR(Request!$B$14="",Request!$C$14=""),1,IFERROR(SUMIFS(Quota_Groups!$G:$G,Quota_Groups!$B:$B,$A11,Quota_Groups!$D:$D,IFERROR(VLOOKUP(Request!$B$14,SKU_Family_Map!$A:$B,2,FALSE),""))/MAX(SUMIFS(Quota_Groups!$E:$E,Quota_Groups!$B:$B,$A11,Quota_Groups!$D:$D,IFERROR(VLOOKUP(Request!$B$14,SKU_Family_Map!$A:$B,2,FALSE),"")),1),0)),IF(OR(Request!$B$15="",Request!$C$15=""),1,IFERROR(SUMIFS(Quota_Groups!$G:$G,Quota_Groups!$B:$B,$A11,Quota_Groups!$D:$D,IFERROR(VLOOKUP(Request!$B$15,SKU_Family_Map!$A:$B,2,FALSE),""))/MAX(SUMIFS(Quota_Groups!$E:$E,Quota_Groups!$B:$B,$A11,Quota_Groups!$D:$D,IFERROR(VLOOKUP(Request!$B$15,SKU_Family_Map!$A:$B,2,FALSE),"")),1),0))),"CAPACITY","QUOTA")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1" customWidth="1" min="4" max="4"/>
    <col width="13" customWidth="1" min="5" max="5"/>
    <col width="7" customWidth="1" min="6" max="6"/>
    <col width="11" customWidth="1" min="7" max="7"/>
    <col width="20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7" customWidth="1" min="14" max="14"/>
    <col width="10" customWidth="1" min="15" max="15"/>
    <col width="10" customWidth="1" min="17" max="17"/>
    <col width="16" customWidth="1" min="18" max="18"/>
  </cols>
  <sheetData>
    <row r="1">
      <c r="A1" s="5" t="inlineStr">
        <is>
          <t>SCORE_DR  —  SKU-grain placement score (Disaster Recovery)</t>
        </is>
      </c>
      <c r="Q1" s="20" t="inlineStr">
        <is>
          <t>TOP PICK</t>
        </is>
      </c>
    </row>
    <row r="2">
      <c r="A2" s="6" t="inlineStr">
        <is>
          <t>Meets-All = 1 only when EVERY active SKU line has GROUP AVAIL ≥ Line Cores. Alpha=MIN(1−cores/GAVAIL), Beta=MIN(quota-avail/quota-limit), Eps=MIN(res-free/res) across all active lines.</t>
        </is>
      </c>
      <c r="Q2" s="14" t="inlineStr">
        <is>
          <t>Region</t>
        </is>
      </c>
      <c r="R2" s="21">
        <f>IFERROR(INDEX($A$4:$A$11,MATCH(1,$N$4:$N$11,0)),"NONE ELIGIBLE")</f>
        <v/>
      </c>
    </row>
    <row r="3">
      <c r="A3" s="15" t="inlineStr">
        <is>
          <t>Region</t>
        </is>
      </c>
      <c r="B3" s="15" t="inlineStr">
        <is>
          <t>Geo</t>
        </is>
      </c>
      <c r="C3" s="15" t="inlineStr">
        <is>
          <t>Env</t>
        </is>
      </c>
      <c r="D3" s="15" t="inlineStr">
        <is>
          <t>Active Lines</t>
        </is>
      </c>
      <c r="E3" s="15" t="inlineStr">
        <is>
          <t>Total Req Cores</t>
        </is>
      </c>
      <c r="F3" s="15" t="inlineStr">
        <is>
          <t>InGeo</t>
        </is>
      </c>
      <c r="G3" s="15" t="inlineStr">
        <is>
          <t>Meets-All</t>
        </is>
      </c>
      <c r="H3" s="15" t="inlineStr">
        <is>
          <t>Readiness (RDY-002)</t>
        </is>
      </c>
      <c r="I3" s="15" t="inlineStr">
        <is>
          <t>Eligible</t>
        </is>
      </c>
      <c r="J3" s="15" t="inlineStr">
        <is>
          <t>alpha_c</t>
        </is>
      </c>
      <c r="K3" s="15" t="inlineStr">
        <is>
          <t>beta_c</t>
        </is>
      </c>
      <c r="L3" s="15" t="inlineStr">
        <is>
          <t>eps_c</t>
        </is>
      </c>
      <c r="M3" s="15" t="inlineStr">
        <is>
          <t>PS</t>
        </is>
      </c>
      <c r="N3" s="15" t="inlineStr">
        <is>
          <t>Rank</t>
        </is>
      </c>
      <c r="O3" s="15" t="inlineStr">
        <is>
          <t>Binding</t>
        </is>
      </c>
      <c r="Q3" s="14" t="inlineStr">
        <is>
          <t>PS</t>
        </is>
      </c>
      <c r="R3" s="21">
        <f>IFERROR(INDEX($M$4:$M$11,MATCH(1,$N$4:$N$11,0)),"")</f>
        <v/>
      </c>
    </row>
    <row r="4">
      <c r="A4" s="12" t="inlineStr">
        <is>
          <t>West US 3</t>
        </is>
      </c>
      <c r="B4" s="16" t="inlineStr">
        <is>
          <t>US</t>
        </is>
      </c>
      <c r="C4" s="16" t="inlineStr">
        <is>
          <t>DR</t>
        </is>
      </c>
      <c r="D4" s="16">
        <f>Request!$B$17</f>
        <v/>
      </c>
      <c r="E4" s="16">
        <f>Request!$B$18</f>
        <v/>
      </c>
      <c r="F4" s="16">
        <f>IF(B4=Request!$B$4,1,0)</f>
        <v/>
      </c>
      <c r="G4" s="18">
        <f>IF(Request!$B$17=0,0,MIN(IF(OR(Request!$B$8="",Request!$C$8=""),1,IF(MIN(SUMIFS(Capacity_By_SKU!$K:$K,Capacity_By_SKU!$A:$A,$A4,Capacity_By_SKU!$C:$C,"DR",Capacity_By_SKU!$D:$D,Request!$B$8),SUMIFS(Quota_Groups!$G:$G,Quota_Groups!$B:$B,$A4,Quota_Groups!$D:$D,IFERROR(VLOOKUP(Request!$B$8,SKU_Family_Map!$A:$B,2,FALSE),"")))&gt;=Request!$E$8,1,0)),IF(OR(Request!$B$9="",Request!$C$9=""),1,IF(MIN(SUMIFS(Capacity_By_SKU!$K:$K,Capacity_By_SKU!$A:$A,$A4,Capacity_By_SKU!$C:$C,"DR",Capacity_By_SKU!$D:$D,Request!$B$9),SUMIFS(Quota_Groups!$G:$G,Quota_Groups!$B:$B,$A4,Quota_Groups!$D:$D,IFERROR(VLOOKUP(Request!$B$9,SKU_Family_Map!$A:$B,2,FALSE),"")))&gt;=Request!$E$9,1,0)),IF(OR(Request!$B$10="",Request!$C$10=""),1,IF(MIN(SUMIFS(Capacity_By_SKU!$K:$K,Capacity_By_SKU!$A:$A,$A4,Capacity_By_SKU!$C:$C,"DR",Capacity_By_SKU!$D:$D,Request!$B$10),SUMIFS(Quota_Groups!$G:$G,Quota_Groups!$B:$B,$A4,Quota_Groups!$D:$D,IFERROR(VLOOKUP(Request!$B$10,SKU_Family_Map!$A:$B,2,FALSE),"")))&gt;=Request!$E$10,1,0)),IF(OR(Request!$B$11="",Request!$C$11=""),1,IF(MIN(SUMIFS(Capacity_By_SKU!$K:$K,Capacity_By_SKU!$A:$A,$A4,Capacity_By_SKU!$C:$C,"DR",Capacity_By_SKU!$D:$D,Request!$B$11),SUMIFS(Quota_Groups!$G:$G,Quota_Groups!$B:$B,$A4,Quota_Groups!$D:$D,IFERROR(VLOOKUP(Request!$B$11,SKU_Family_Map!$A:$B,2,FALSE),"")))&gt;=Request!$E$11,1,0)),IF(OR(Request!$B$12="",Request!$C$12=""),1,IF(MIN(SUMIFS(Capacity_By_SKU!$K:$K,Capacity_By_SKU!$A:$A,$A4,Capacity_By_SKU!$C:$C,"DR",Capacity_By_SKU!$D:$D,Request!$B$12),SUMIFS(Quota_Groups!$G:$G,Quota_Groups!$B:$B,$A4,Quota_Groups!$D:$D,IFERROR(VLOOKUP(Request!$B$12,SKU_Family_Map!$A:$B,2,FALSE),"")))&gt;=Request!$E$12,1,0)),IF(OR(Request!$B$13="",Request!$C$13=""),1,IF(MIN(SUMIFS(Capacity_By_SKU!$K:$K,Capacity_By_SKU!$A:$A,$A4,Capacity_By_SKU!$C:$C,"DR",Capacity_By_SKU!$D:$D,Request!$B$13),SUMIFS(Quota_Groups!$G:$G,Quota_Groups!$B:$B,$A4,Quota_Groups!$D:$D,IFERROR(VLOOKUP(Request!$B$13,SKU_Family_Map!$A:$B,2,FALSE),"")))&gt;=Request!$E$13,1,0)),IF(OR(Request!$B$14="",Request!$C$14=""),1,IF(MIN(SUMIFS(Capacity_By_SKU!$K:$K,Capacity_By_SKU!$A:$A,$A4,Capacity_By_SKU!$C:$C,"DR",Capacity_By_SKU!$D:$D,Request!$B$14),SUMIFS(Quota_Groups!$G:$G,Quota_Groups!$B:$B,$A4,Quota_Groups!$D:$D,IFERROR(VLOOKUP(Request!$B$14,SKU_Family_Map!$A:$B,2,FALSE),"")))&gt;=Request!$E$14,1,0)),IF(OR(Request!$B$15="",Request!$C$15=""),1,IF(MIN(SUMIFS(Capacity_By_SKU!$K:$K,Capacity_By_SKU!$A:$A,$A4,Capacity_By_SKU!$C:$C,"DR",Capacity_By_SKU!$D:$D,Request!$B$15),SUMIFS(Quota_Groups!$G:$G,Quota_Groups!$B:$B,$A4,Quota_Groups!$D:$D,IFERROR(VLOOKUP(Request!$B$15,SKU_Family_Map!$A:$B,2,FALSE),"")))&gt;=Request!$E$15,1,0))))</f>
        <v/>
      </c>
      <c r="H4" s="12">
        <f>IF(Request!$B$17=0,"NO_REQUEST",IF(SUM(IF(AND(Request!$B$8&lt;&gt;"",Request!$C$8&lt;&gt;"",SUMIFS(Capacity_By_SKU!$K:$K,Capacity_By_SKU!$A:$A,$A4,Capacity_By_SKU!$C:$C,"DR",Capacity_By_SKU!$D:$D,Request!$B$8)&lt;=0),1,0),IF(AND(Request!$B$9&lt;&gt;"",Request!$C$9&lt;&gt;"",SUMIFS(Capacity_By_SKU!$K:$K,Capacity_By_SKU!$A:$A,$A4,Capacity_By_SKU!$C:$C,"DR",Capacity_By_SKU!$D:$D,Request!$B$9)&lt;=0),1,0),IF(AND(Request!$B$10&lt;&gt;"",Request!$C$10&lt;&gt;"",SUMIFS(Capacity_By_SKU!$K:$K,Capacity_By_SKU!$A:$A,$A4,Capacity_By_SKU!$C:$C,"DR",Capacity_By_SKU!$D:$D,Request!$B$10)&lt;=0),1,0),IF(AND(Request!$B$11&lt;&gt;"",Request!$C$11&lt;&gt;"",SUMIFS(Capacity_By_SKU!$K:$K,Capacity_By_SKU!$A:$A,$A4,Capacity_By_SKU!$C:$C,"DR",Capacity_By_SKU!$D:$D,Request!$B$11)&lt;=0),1,0),IF(AND(Request!$B$12&lt;&gt;"",Request!$C$12&lt;&gt;"",SUMIFS(Capacity_By_SKU!$K:$K,Capacity_By_SKU!$A:$A,$A4,Capacity_By_SKU!$C:$C,"DR",Capacity_By_SKU!$D:$D,Request!$B$12)&lt;=0),1,0),IF(AND(Request!$B$13&lt;&gt;"",Request!$C$13&lt;&gt;"",SUMIFS(Capacity_By_SKU!$K:$K,Capacity_By_SKU!$A:$A,$A4,Capacity_By_SKU!$C:$C,"DR",Capacity_By_SKU!$D:$D,Request!$B$13)&lt;=0),1,0),IF(AND(Request!$B$14&lt;&gt;"",Request!$C$14&lt;&gt;"",SUMIFS(Capacity_By_SKU!$K:$K,Capacity_By_SKU!$A:$A,$A4,Capacity_By_SKU!$C:$C,"DR",Capacity_By_SKU!$D:$D,Request!$B$14)&lt;=0),1,0),IF(AND(Request!$B$15&lt;&gt;"",Request!$C$15&lt;&gt;"",SUMIFS(Capacity_By_SKU!$K:$K,Capacity_By_SKU!$A:$A,$A4,Capacity_By_SKU!$C:$C,"DR",Capacity_By_SKU!$D:$D,Request!$B$15)&lt;=0),1,0))&gt;0,"RESERVATION_DEFICIT",IF(SUM(IF(AND(Request!$B$8&lt;&gt;"",Request!$C$8&lt;&gt;"",SUMIFS(Quota_Groups!$G:$G,Quota_Groups!$B:$B,$A4,Quota_Groups!$D:$D,IFERROR(VLOOKUP(Request!$B$8,SKU_Family_Map!$A:$B,2,FALSE),""))&lt;=0),1,0),IF(AND(Request!$B$9&lt;&gt;"",Request!$C$9&lt;&gt;"",SUMIFS(Quota_Groups!$G:$G,Quota_Groups!$B:$B,$A4,Quota_Groups!$D:$D,IFERROR(VLOOKUP(Request!$B$9,SKU_Family_Map!$A:$B,2,FALSE),""))&lt;=0),1,0),IF(AND(Request!$B$10&lt;&gt;"",Request!$C$10&lt;&gt;"",SUMIFS(Quota_Groups!$G:$G,Quota_Groups!$B:$B,$A4,Quota_Groups!$D:$D,IFERROR(VLOOKUP(Request!$B$10,SKU_Family_Map!$A:$B,2,FALSE),""))&lt;=0),1,0),IF(AND(Request!$B$11&lt;&gt;"",Request!$C$11&lt;&gt;"",SUMIFS(Quota_Groups!$G:$G,Quota_Groups!$B:$B,$A4,Quota_Groups!$D:$D,IFERROR(VLOOKUP(Request!$B$11,SKU_Family_Map!$A:$B,2,FALSE),""))&lt;=0),1,0),IF(AND(Request!$B$12&lt;&gt;"",Request!$C$12&lt;&gt;"",SUMIFS(Quota_Groups!$G:$G,Quota_Groups!$B:$B,$A4,Quota_Groups!$D:$D,IFERROR(VLOOKUP(Request!$B$12,SKU_Family_Map!$A:$B,2,FALSE),""))&lt;=0),1,0),IF(AND(Request!$B$13&lt;&gt;"",Request!$C$13&lt;&gt;"",SUMIFS(Quota_Groups!$G:$G,Quota_Groups!$B:$B,$A4,Quota_Groups!$D:$D,IFERROR(VLOOKUP(Request!$B$13,SKU_Family_Map!$A:$B,2,FALSE),""))&lt;=0),1,0),IF(AND(Request!$B$14&lt;&gt;"",Request!$C$14&lt;&gt;"",SUMIFS(Quota_Groups!$G:$G,Quota_Groups!$B:$B,$A4,Quota_Groups!$D:$D,IFERROR(VLOOKUP(Request!$B$14,SKU_Family_Map!$A:$B,2,FALSE),""))&lt;=0),1,0),IF(AND(Request!$B$15&lt;&gt;"",Request!$C$15&lt;&gt;"",SUMIFS(Quota_Groups!$G:$G,Quota_Groups!$B:$B,$A4,Quota_Groups!$D:$D,IFERROR(VLOOKUP(Request!$B$15,SKU_Family_Map!$A:$B,2,FALSE),""))&lt;=0),1,0))&gt;0,"QUOTA_DEFICIT",IF(G4=0,"CAPACITY_DEFICIT",IF(MIN(IF(OR(Request!$B$8="",Request!$C$8=""),1,IFERROR(1-Request!$E$8/MIN(SUMIFS(Capacity_By_SKU!$K:$K,Capacity_By_SKU!$A:$A,$A4,Capacity_By_SKU!$C:$C,"DR",Capacity_By_SKU!$D:$D,Request!$B$8),SUMIFS(Quota_Groups!$G:$G,Quota_Groups!$B:$B,$A4,Quota_Groups!$D:$D,IFERROR(VLOOKUP(Request!$B$8,SKU_Family_Map!$A:$B,2,FALSE),""))),0)),IF(OR(Request!$B$9="",Request!$C$9=""),1,IFERROR(1-Request!$E$9/MIN(SUMIFS(Capacity_By_SKU!$K:$K,Capacity_By_SKU!$A:$A,$A4,Capacity_By_SKU!$C:$C,"DR",Capacity_By_SKU!$D:$D,Request!$B$9),SUMIFS(Quota_Groups!$G:$G,Quota_Groups!$B:$B,$A4,Quota_Groups!$D:$D,IFERROR(VLOOKUP(Request!$B$9,SKU_Family_Map!$A:$B,2,FALSE),""))),0)),IF(OR(Request!$B$10="",Request!$C$10=""),1,IFERROR(1-Request!$E$10/MIN(SUMIFS(Capacity_By_SKU!$K:$K,Capacity_By_SKU!$A:$A,$A4,Capacity_By_SKU!$C:$C,"DR",Capacity_By_SKU!$D:$D,Request!$B$10),SUMIFS(Quota_Groups!$G:$G,Quota_Groups!$B:$B,$A4,Quota_Groups!$D:$D,IFERROR(VLOOKUP(Request!$B$10,SKU_Family_Map!$A:$B,2,FALSE),""))),0)),IF(OR(Request!$B$11="",Request!$C$11=""),1,IFERROR(1-Request!$E$11/MIN(SUMIFS(Capacity_By_SKU!$K:$K,Capacity_By_SKU!$A:$A,$A4,Capacity_By_SKU!$C:$C,"DR",Capacity_By_SKU!$D:$D,Request!$B$11),SUMIFS(Quota_Groups!$G:$G,Quota_Groups!$B:$B,$A4,Quota_Groups!$D:$D,IFERROR(VLOOKUP(Request!$B$11,SKU_Family_Map!$A:$B,2,FALSE),""))),0)),IF(OR(Request!$B$12="",Request!$C$12=""),1,IFERROR(1-Request!$E$12/MIN(SUMIFS(Capacity_By_SKU!$K:$K,Capacity_By_SKU!$A:$A,$A4,Capacity_By_SKU!$C:$C,"DR",Capacity_By_SKU!$D:$D,Request!$B$12),SUMIFS(Quota_Groups!$G:$G,Quota_Groups!$B:$B,$A4,Quota_Groups!$D:$D,IFERROR(VLOOKUP(Request!$B$12,SKU_Family_Map!$A:$B,2,FALSE),""))),0)),IF(OR(Request!$B$13="",Request!$C$13=""),1,IFERROR(1-Request!$E$13/MIN(SUMIFS(Capacity_By_SKU!$K:$K,Capacity_By_SKU!$A:$A,$A4,Capacity_By_SKU!$C:$C,"DR",Capacity_By_SKU!$D:$D,Request!$B$13),SUMIFS(Quota_Groups!$G:$G,Quota_Groups!$B:$B,$A4,Quota_Groups!$D:$D,IFERROR(VLOOKUP(Request!$B$13,SKU_Family_Map!$A:$B,2,FALSE),""))),0)),IF(OR(Request!$B$14="",Request!$C$14=""),1,IFERROR(1-Request!$E$14/MIN(SUMIFS(Capacity_By_SKU!$K:$K,Capacity_By_SKU!$A:$A,$A4,Capacity_By_SKU!$C:$C,"DR",Capacity_By_SKU!$D:$D,Request!$B$14),SUMIFS(Quota_Groups!$G:$G,Quota_Groups!$B:$B,$A4,Quota_Groups!$D:$D,IFERROR(VLOOKUP(Request!$B$14,SKU_Family_Map!$A:$B,2,FALSE),""))),0)),IF(OR(Request!$B$15="",Request!$C$15=""),1,IFERROR(1-Request!$E$15/MIN(SUMIFS(Capacity_By_SKU!$K:$K,Capacity_By_SKU!$A:$A,$A4,Capacity_By_SKU!$C:$C,"DR",Capacity_By_SKU!$D:$D,Request!$B$15),SUMIFS(Quota_Groups!$G:$G,Quota_Groups!$B:$B,$A4,Quota_Groups!$D:$D,IFERROR(VLOOKUP(Request!$B$15,SKU_Family_Map!$A:$B,2,FALSE),""))),0)))&lt;Policy!$B$10,"READY_WITH_RISK","READY")))))</f>
        <v/>
      </c>
      <c r="I4" s="16">
        <f>IF(AND(F4=1,G4=1,OR(H4="READY",H4="READY_WITH_RISK")),1,0)</f>
        <v/>
      </c>
      <c r="J4" s="16">
        <f>IF(I4=1,MAX(0,MIN(IF(OR(Request!$B$8="",Request!$C$8=""),1,IFERROR(1-Request!$E$8/MIN(SUMIFS(Capacity_By_SKU!$K:$K,Capacity_By_SKU!$A:$A,$A4,Capacity_By_SKU!$C:$C,"DR",Capacity_By_SKU!$D:$D,Request!$B$8),SUMIFS(Quota_Groups!$G:$G,Quota_Groups!$B:$B,$A4,Quota_Groups!$D:$D,IFERROR(VLOOKUP(Request!$B$8,SKU_Family_Map!$A:$B,2,FALSE),""))),0)),IF(OR(Request!$B$9="",Request!$C$9=""),1,IFERROR(1-Request!$E$9/MIN(SUMIFS(Capacity_By_SKU!$K:$K,Capacity_By_SKU!$A:$A,$A4,Capacity_By_SKU!$C:$C,"DR",Capacity_By_SKU!$D:$D,Request!$B$9),SUMIFS(Quota_Groups!$G:$G,Quota_Groups!$B:$B,$A4,Quota_Groups!$D:$D,IFERROR(VLOOKUP(Request!$B$9,SKU_Family_Map!$A:$B,2,FALSE),""))),0)),IF(OR(Request!$B$10="",Request!$C$10=""),1,IFERROR(1-Request!$E$10/MIN(SUMIFS(Capacity_By_SKU!$K:$K,Capacity_By_SKU!$A:$A,$A4,Capacity_By_SKU!$C:$C,"DR",Capacity_By_SKU!$D:$D,Request!$B$10),SUMIFS(Quota_Groups!$G:$G,Quota_Groups!$B:$B,$A4,Quota_Groups!$D:$D,IFERROR(VLOOKUP(Request!$B$10,SKU_Family_Map!$A:$B,2,FALSE),""))),0)),IF(OR(Request!$B$11="",Request!$C$11=""),1,IFERROR(1-Request!$E$11/MIN(SUMIFS(Capacity_By_SKU!$K:$K,Capacity_By_SKU!$A:$A,$A4,Capacity_By_SKU!$C:$C,"DR",Capacity_By_SKU!$D:$D,Request!$B$11),SUMIFS(Quota_Groups!$G:$G,Quota_Groups!$B:$B,$A4,Quota_Groups!$D:$D,IFERROR(VLOOKUP(Request!$B$11,SKU_Family_Map!$A:$B,2,FALSE),""))),0)),IF(OR(Request!$B$12="",Request!$C$12=""),1,IFERROR(1-Request!$E$12/MIN(SUMIFS(Capacity_By_SKU!$K:$K,Capacity_By_SKU!$A:$A,$A4,Capacity_By_SKU!$C:$C,"DR",Capacity_By_SKU!$D:$D,Request!$B$12),SUMIFS(Quota_Groups!$G:$G,Quota_Groups!$B:$B,$A4,Quota_Groups!$D:$D,IFERROR(VLOOKUP(Request!$B$12,SKU_Family_Map!$A:$B,2,FALSE),""))),0)),IF(OR(Request!$B$13="",Request!$C$13=""),1,IFERROR(1-Request!$E$13/MIN(SUMIFS(Capacity_By_SKU!$K:$K,Capacity_By_SKU!$A:$A,$A4,Capacity_By_SKU!$C:$C,"DR",Capacity_By_SKU!$D:$D,Request!$B$13),SUMIFS(Quota_Groups!$G:$G,Quota_Groups!$B:$B,$A4,Quota_Groups!$D:$D,IFERROR(VLOOKUP(Request!$B$13,SKU_Family_Map!$A:$B,2,FALSE),""))),0)),IF(OR(Request!$B$14="",Request!$C$14=""),1,IFERROR(1-Request!$E$14/MIN(SUMIFS(Capacity_By_SKU!$K:$K,Capacity_By_SKU!$A:$A,$A4,Capacity_By_SKU!$C:$C,"DR",Capacity_By_SKU!$D:$D,Request!$B$14),SUMIFS(Quota_Groups!$G:$G,Quota_Groups!$B:$B,$A4,Quota_Groups!$D:$D,IFERROR(VLOOKUP(Request!$B$14,SKU_Family_Map!$A:$B,2,FALSE),""))),0)),IF(OR(Request!$B$15="",Request!$C$15=""),1,IFERROR(1-Request!$E$15/MIN(SUMIFS(Capacity_By_SKU!$K:$K,Capacity_By_SKU!$A:$A,$A4,Capacity_By_SKU!$C:$C,"DR",Capacity_By_SKU!$D:$D,Request!$B$15),SUMIFS(Quota_Groups!$G:$G,Quota_Groups!$B:$B,$A4,Quota_Groups!$D:$D,IFERROR(VLOOKUP(Request!$B$15,SKU_Family_Map!$A:$B,2,FALSE),""))),0)))),0)</f>
        <v/>
      </c>
      <c r="K4" s="16">
        <f>IF(I4=1,MAX(0,MIN(IF(OR(Request!$B$8="",Request!$C$8=""),1,IFERROR(SUMIFS(Quota_Groups!$G:$G,Quota_Groups!$B:$B,$A4,Quota_Groups!$D:$D,IFERROR(VLOOKUP(Request!$B$8,SKU_Family_Map!$A:$B,2,FALSE),""))/MAX(SUMIFS(Quota_Groups!$E:$E,Quota_Groups!$B:$B,$A4,Quota_Groups!$D:$D,IFERROR(VLOOKUP(Request!$B$8,SKU_Family_Map!$A:$B,2,FALSE),"")),1),0)),IF(OR(Request!$B$9="",Request!$C$9=""),1,IFERROR(SUMIFS(Quota_Groups!$G:$G,Quota_Groups!$B:$B,$A4,Quota_Groups!$D:$D,IFERROR(VLOOKUP(Request!$B$9,SKU_Family_Map!$A:$B,2,FALSE),""))/MAX(SUMIFS(Quota_Groups!$E:$E,Quota_Groups!$B:$B,$A4,Quota_Groups!$D:$D,IFERROR(VLOOKUP(Request!$B$9,SKU_Family_Map!$A:$B,2,FALSE),"")),1),0)),IF(OR(Request!$B$10="",Request!$C$10=""),1,IFERROR(SUMIFS(Quota_Groups!$G:$G,Quota_Groups!$B:$B,$A4,Quota_Groups!$D:$D,IFERROR(VLOOKUP(Request!$B$10,SKU_Family_Map!$A:$B,2,FALSE),""))/MAX(SUMIFS(Quota_Groups!$E:$E,Quota_Groups!$B:$B,$A4,Quota_Groups!$D:$D,IFERROR(VLOOKUP(Request!$B$10,SKU_Family_Map!$A:$B,2,FALSE),"")),1),0)),IF(OR(Request!$B$11="",Request!$C$11=""),1,IFERROR(SUMIFS(Quota_Groups!$G:$G,Quota_Groups!$B:$B,$A4,Quota_Groups!$D:$D,IFERROR(VLOOKUP(Request!$B$11,SKU_Family_Map!$A:$B,2,FALSE),""))/MAX(SUMIFS(Quota_Groups!$E:$E,Quota_Groups!$B:$B,$A4,Quota_Groups!$D:$D,IFERROR(VLOOKUP(Request!$B$11,SKU_Family_Map!$A:$B,2,FALSE),"")),1),0)),IF(OR(Request!$B$12="",Request!$C$12=""),1,IFERROR(SUMIFS(Quota_Groups!$G:$G,Quota_Groups!$B:$B,$A4,Quota_Groups!$D:$D,IFERROR(VLOOKUP(Request!$B$12,SKU_Family_Map!$A:$B,2,FALSE),""))/MAX(SUMIFS(Quota_Groups!$E:$E,Quota_Groups!$B:$B,$A4,Quota_Groups!$D:$D,IFERROR(VLOOKUP(Request!$B$12,SKU_Family_Map!$A:$B,2,FALSE),"")),1),0)),IF(OR(Request!$B$13="",Request!$C$13=""),1,IFERROR(SUMIFS(Quota_Groups!$G:$G,Quota_Groups!$B:$B,$A4,Quota_Groups!$D:$D,IFERROR(VLOOKUP(Request!$B$13,SKU_Family_Map!$A:$B,2,FALSE),""))/MAX(SUMIFS(Quota_Groups!$E:$E,Quota_Groups!$B:$B,$A4,Quota_Groups!$D:$D,IFERROR(VLOOKUP(Request!$B$13,SKU_Family_Map!$A:$B,2,FALSE),"")),1),0)),IF(OR(Request!$B$14="",Request!$C$14=""),1,IFERROR(SUMIFS(Quota_Groups!$G:$G,Quota_Groups!$B:$B,$A4,Quota_Groups!$D:$D,IFERROR(VLOOKUP(Request!$B$14,SKU_Family_Map!$A:$B,2,FALSE),""))/MAX(SUMIFS(Quota_Groups!$E:$E,Quota_Groups!$B:$B,$A4,Quota_Groups!$D:$D,IFERROR(VLOOKUP(Request!$B$14,SKU_Family_Map!$A:$B,2,FALSE),"")),1),0)),IF(OR(Request!$B$15="",Request!$C$15=""),1,IFERROR(SUMIFS(Quota_Groups!$G:$G,Quota_Groups!$B:$B,$A4,Quota_Groups!$D:$D,IFERROR(VLOOKUP(Request!$B$15,SKU_Family_Map!$A:$B,2,FALSE),""))/MAX(SUMIFS(Quota_Groups!$E:$E,Quota_Groups!$B:$B,$A4,Quota_Groups!$D:$D,IFERROR(VLOOKUP(Request!$B$15,SKU_Family_Map!$A:$B,2,FALSE),"")),1),0)))),0)</f>
        <v/>
      </c>
      <c r="L4" s="16">
        <f>IF(I4=1,MAX(0,MIN(IF(OR(Request!$B$8="",Request!$C$8=""),1,IFERROR(SUMIFS(Capacity_By_SKU!$K:$K,Capacity_By_SKU!$A:$A,$A4,Capacity_By_SKU!$C:$C,"DR",Capacity_By_SKU!$D:$D,Request!$B$8)/MAX(SUMIFS(Capacity_By_SKU!$J:$J,Capacity_By_SKU!$A:$A,$A4,Capacity_By_SKU!$C:$C,"DR",Capacity_By_SKU!$D:$D,Request!$B$8),1),0)),IF(OR(Request!$B$9="",Request!$C$9=""),1,IFERROR(SUMIFS(Capacity_By_SKU!$K:$K,Capacity_By_SKU!$A:$A,$A4,Capacity_By_SKU!$C:$C,"DR",Capacity_By_SKU!$D:$D,Request!$B$9)/MAX(SUMIFS(Capacity_By_SKU!$J:$J,Capacity_By_SKU!$A:$A,$A4,Capacity_By_SKU!$C:$C,"DR",Capacity_By_SKU!$D:$D,Request!$B$9),1),0)),IF(OR(Request!$B$10="",Request!$C$10=""),1,IFERROR(SUMIFS(Capacity_By_SKU!$K:$K,Capacity_By_SKU!$A:$A,$A4,Capacity_By_SKU!$C:$C,"DR",Capacity_By_SKU!$D:$D,Request!$B$10)/MAX(SUMIFS(Capacity_By_SKU!$J:$J,Capacity_By_SKU!$A:$A,$A4,Capacity_By_SKU!$C:$C,"DR",Capacity_By_SKU!$D:$D,Request!$B$10),1),0)),IF(OR(Request!$B$11="",Request!$C$11=""),1,IFERROR(SUMIFS(Capacity_By_SKU!$K:$K,Capacity_By_SKU!$A:$A,$A4,Capacity_By_SKU!$C:$C,"DR",Capacity_By_SKU!$D:$D,Request!$B$11)/MAX(SUMIFS(Capacity_By_SKU!$J:$J,Capacity_By_SKU!$A:$A,$A4,Capacity_By_SKU!$C:$C,"DR",Capacity_By_SKU!$D:$D,Request!$B$11),1),0)),IF(OR(Request!$B$12="",Request!$C$12=""),1,IFERROR(SUMIFS(Capacity_By_SKU!$K:$K,Capacity_By_SKU!$A:$A,$A4,Capacity_By_SKU!$C:$C,"DR",Capacity_By_SKU!$D:$D,Request!$B$12)/MAX(SUMIFS(Capacity_By_SKU!$J:$J,Capacity_By_SKU!$A:$A,$A4,Capacity_By_SKU!$C:$C,"DR",Capacity_By_SKU!$D:$D,Request!$B$12),1),0)),IF(OR(Request!$B$13="",Request!$C$13=""),1,IFERROR(SUMIFS(Capacity_By_SKU!$K:$K,Capacity_By_SKU!$A:$A,$A4,Capacity_By_SKU!$C:$C,"DR",Capacity_By_SKU!$D:$D,Request!$B$13)/MAX(SUMIFS(Capacity_By_SKU!$J:$J,Capacity_By_SKU!$A:$A,$A4,Capacity_By_SKU!$C:$C,"DR",Capacity_By_SKU!$D:$D,Request!$B$13),1),0)),IF(OR(Request!$B$14="",Request!$C$14=""),1,IFERROR(SUMIFS(Capacity_By_SKU!$K:$K,Capacity_By_SKU!$A:$A,$A4,Capacity_By_SKU!$C:$C,"DR",Capacity_By_SKU!$D:$D,Request!$B$14)/MAX(SUMIFS(Capacity_By_SKU!$J:$J,Capacity_By_SKU!$A:$A,$A4,Capacity_By_SKU!$C:$C,"DR",Capacity_By_SKU!$D:$D,Request!$B$14),1),0)),IF(OR(Request!$B$15="",Request!$C$15=""),1,IFERROR(SUMIFS(Capacity_By_SKU!$K:$K,Capacity_By_SKU!$A:$A,$A4,Capacity_By_SKU!$C:$C,"DR",Capacity_By_SKU!$D:$D,Request!$B$15)/MAX(SUMIFS(Capacity_By_SKU!$J:$J,Capacity_By_SKU!$A:$A,$A4,Capacity_By_SKU!$C:$C,"DR",Capacity_By_SKU!$D:$D,Request!$B$15),1),0)))),0)</f>
        <v/>
      </c>
      <c r="M4" s="22">
        <f>IF(I4=1,ROUND(Policy!$B$4*J4+Policy!$B$5*K4+Policy!$B$6*L4,4),"")</f>
        <v/>
      </c>
      <c r="N4" s="16">
        <f>IF(I4=1,SUMPRODUCT(($I$4:$I$11=1)*($M$4:$M$11&gt;M4))+1,"")</f>
        <v/>
      </c>
      <c r="O4" s="16">
        <f>IF(I4=0,"N/A",IF(MIN(IF(OR(Request!$B$8="",Request!$C$8=""),1,IFERROR(SUMIFS(Capacity_By_SKU!$K:$K,Capacity_By_SKU!$A:$A,$A4,Capacity_By_SKU!$C:$C,"DR",Capacity_By_SKU!$D:$D,Request!$B$8)/MAX(SUMIFS(Capacity_By_SKU!$J:$J,Capacity_By_SKU!$A:$A,$A4,Capacity_By_SKU!$C:$C,"DR",Capacity_By_SKU!$D:$D,Request!$B$8),1),0)),IF(OR(Request!$B$9="",Request!$C$9=""),1,IFERROR(SUMIFS(Capacity_By_SKU!$K:$K,Capacity_By_SKU!$A:$A,$A4,Capacity_By_SKU!$C:$C,"DR",Capacity_By_SKU!$D:$D,Request!$B$9)/MAX(SUMIFS(Capacity_By_SKU!$J:$J,Capacity_By_SKU!$A:$A,$A4,Capacity_By_SKU!$C:$C,"DR",Capacity_By_SKU!$D:$D,Request!$B$9),1),0)),IF(OR(Request!$B$10="",Request!$C$10=""),1,IFERROR(SUMIFS(Capacity_By_SKU!$K:$K,Capacity_By_SKU!$A:$A,$A4,Capacity_By_SKU!$C:$C,"DR",Capacity_By_SKU!$D:$D,Request!$B$10)/MAX(SUMIFS(Capacity_By_SKU!$J:$J,Capacity_By_SKU!$A:$A,$A4,Capacity_By_SKU!$C:$C,"DR",Capacity_By_SKU!$D:$D,Request!$B$10),1),0)),IF(OR(Request!$B$11="",Request!$C$11=""),1,IFERROR(SUMIFS(Capacity_By_SKU!$K:$K,Capacity_By_SKU!$A:$A,$A4,Capacity_By_SKU!$C:$C,"DR",Capacity_By_SKU!$D:$D,Request!$B$11)/MAX(SUMIFS(Capacity_By_SKU!$J:$J,Capacity_By_SKU!$A:$A,$A4,Capacity_By_SKU!$C:$C,"DR",Capacity_By_SKU!$D:$D,Request!$B$11),1),0)),IF(OR(Request!$B$12="",Request!$C$12=""),1,IFERROR(SUMIFS(Capacity_By_SKU!$K:$K,Capacity_By_SKU!$A:$A,$A4,Capacity_By_SKU!$C:$C,"DR",Capacity_By_SKU!$D:$D,Request!$B$12)/MAX(SUMIFS(Capacity_By_SKU!$J:$J,Capacity_By_SKU!$A:$A,$A4,Capacity_By_SKU!$C:$C,"DR",Capacity_By_SKU!$D:$D,Request!$B$12),1),0)),IF(OR(Request!$B$13="",Request!$C$13=""),1,IFERROR(SUMIFS(Capacity_By_SKU!$K:$K,Capacity_By_SKU!$A:$A,$A4,Capacity_By_SKU!$C:$C,"DR",Capacity_By_SKU!$D:$D,Request!$B$13)/MAX(SUMIFS(Capacity_By_SKU!$J:$J,Capacity_By_SKU!$A:$A,$A4,Capacity_By_SKU!$C:$C,"DR",Capacity_By_SKU!$D:$D,Request!$B$13),1),0)),IF(OR(Request!$B$14="",Request!$C$14=""),1,IFERROR(SUMIFS(Capacity_By_SKU!$K:$K,Capacity_By_SKU!$A:$A,$A4,Capacity_By_SKU!$C:$C,"DR",Capacity_By_SKU!$D:$D,Request!$B$14)/MAX(SUMIFS(Capacity_By_SKU!$J:$J,Capacity_By_SKU!$A:$A,$A4,Capacity_By_SKU!$C:$C,"DR",Capacity_By_SKU!$D:$D,Request!$B$14),1),0)),IF(OR(Request!$B$15="",Request!$C$15=""),1,IFERROR(SUMIFS(Capacity_By_SKU!$K:$K,Capacity_By_SKU!$A:$A,$A4,Capacity_By_SKU!$C:$C,"DR",Capacity_By_SKU!$D:$D,Request!$B$15)/MAX(SUMIFS(Capacity_By_SKU!$J:$J,Capacity_By_SKU!$A:$A,$A4,Capacity_By_SKU!$C:$C,"DR",Capacity_By_SKU!$D:$D,Request!$B$15),1),0)))&lt;=MIN(IF(OR(Request!$B$8="",Request!$C$8=""),1,IFERROR(SUMIFS(Quota_Groups!$G:$G,Quota_Groups!$B:$B,$A4,Quota_Groups!$D:$D,IFERROR(VLOOKUP(Request!$B$8,SKU_Family_Map!$A:$B,2,FALSE),""))/MAX(SUMIFS(Quota_Groups!$E:$E,Quota_Groups!$B:$B,$A4,Quota_Groups!$D:$D,IFERROR(VLOOKUP(Request!$B$8,SKU_Family_Map!$A:$B,2,FALSE),"")),1),0)),IF(OR(Request!$B$9="",Request!$C$9=""),1,IFERROR(SUMIFS(Quota_Groups!$G:$G,Quota_Groups!$B:$B,$A4,Quota_Groups!$D:$D,IFERROR(VLOOKUP(Request!$B$9,SKU_Family_Map!$A:$B,2,FALSE),""))/MAX(SUMIFS(Quota_Groups!$E:$E,Quota_Groups!$B:$B,$A4,Quota_Groups!$D:$D,IFERROR(VLOOKUP(Request!$B$9,SKU_Family_Map!$A:$B,2,FALSE),"")),1),0)),IF(OR(Request!$B$10="",Request!$C$10=""),1,IFERROR(SUMIFS(Quota_Groups!$G:$G,Quota_Groups!$B:$B,$A4,Quota_Groups!$D:$D,IFERROR(VLOOKUP(Request!$B$10,SKU_Family_Map!$A:$B,2,FALSE),""))/MAX(SUMIFS(Quota_Groups!$E:$E,Quota_Groups!$B:$B,$A4,Quota_Groups!$D:$D,IFERROR(VLOOKUP(Request!$B$10,SKU_Family_Map!$A:$B,2,FALSE),"")),1),0)),IF(OR(Request!$B$11="",Request!$C$11=""),1,IFERROR(SUMIFS(Quota_Groups!$G:$G,Quota_Groups!$B:$B,$A4,Quota_Groups!$D:$D,IFERROR(VLOOKUP(Request!$B$11,SKU_Family_Map!$A:$B,2,FALSE),""))/MAX(SUMIFS(Quota_Groups!$E:$E,Quota_Groups!$B:$B,$A4,Quota_Groups!$D:$D,IFERROR(VLOOKUP(Request!$B$11,SKU_Family_Map!$A:$B,2,FALSE),"")),1),0)),IF(OR(Request!$B$12="",Request!$C$12=""),1,IFERROR(SUMIFS(Quota_Groups!$G:$G,Quota_Groups!$B:$B,$A4,Quota_Groups!$D:$D,IFERROR(VLOOKUP(Request!$B$12,SKU_Family_Map!$A:$B,2,FALSE),""))/MAX(SUMIFS(Quota_Groups!$E:$E,Quota_Groups!$B:$B,$A4,Quota_Groups!$D:$D,IFERROR(VLOOKUP(Request!$B$12,SKU_Family_Map!$A:$B,2,FALSE),"")),1),0)),IF(OR(Request!$B$13="",Request!$C$13=""),1,IFERROR(SUMIFS(Quota_Groups!$G:$G,Quota_Groups!$B:$B,$A4,Quota_Groups!$D:$D,IFERROR(VLOOKUP(Request!$B$13,SKU_Family_Map!$A:$B,2,FALSE),""))/MAX(SUMIFS(Quota_Groups!$E:$E,Quota_Groups!$B:$B,$A4,Quota_Groups!$D:$D,IFERROR(VLOOKUP(Request!$B$13,SKU_Family_Map!$A:$B,2,FALSE),"")),1),0)),IF(OR(Request!$B$14="",Request!$C$14=""),1,IFERROR(SUMIFS(Quota_Groups!$G:$G,Quota_Groups!$B:$B,$A4,Quota_Groups!$D:$D,IFERROR(VLOOKUP(Request!$B$14,SKU_Family_Map!$A:$B,2,FALSE),""))/MAX(SUMIFS(Quota_Groups!$E:$E,Quota_Groups!$B:$B,$A4,Quota_Groups!$D:$D,IFERROR(VLOOKUP(Request!$B$14,SKU_Family_Map!$A:$B,2,FALSE),"")),1),0)),IF(OR(Request!$B$15="",Request!$C$15=""),1,IFERROR(SUMIFS(Quota_Groups!$G:$G,Quota_Groups!$B:$B,$A4,Quota_Groups!$D:$D,IFERROR(VLOOKUP(Request!$B$15,SKU_Family_Map!$A:$B,2,FALSE),""))/MAX(SUMIFS(Quota_Groups!$E:$E,Quota_Groups!$B:$B,$A4,Quota_Groups!$D:$D,IFERROR(VLOOKUP(Request!$B$15,SKU_Family_Map!$A:$B,2,FALSE),"")),1),0))),"CAPACITY","QUOTA"))</f>
        <v/>
      </c>
      <c r="Q4" s="14" t="inlineStr">
        <is>
          <t>Readiness</t>
        </is>
      </c>
      <c r="R4" s="21">
        <f>IFERROR(INDEX($H$4:$H$11,MATCH(1,$N$4:$N$11,0)),"")</f>
        <v/>
      </c>
    </row>
    <row r="5">
      <c r="A5" s="12" t="inlineStr">
        <is>
          <t>Central US</t>
        </is>
      </c>
      <c r="B5" s="16" t="inlineStr">
        <is>
          <t>US</t>
        </is>
      </c>
      <c r="C5" s="16" t="inlineStr">
        <is>
          <t>DR</t>
        </is>
      </c>
      <c r="D5" s="16">
        <f>Request!$B$17</f>
        <v/>
      </c>
      <c r="E5" s="16">
        <f>Request!$B$18</f>
        <v/>
      </c>
      <c r="F5" s="16">
        <f>IF(B5=Request!$B$4,1,0)</f>
        <v/>
      </c>
      <c r="G5" s="18">
        <f>IF(Request!$B$17=0,0,MIN(IF(OR(Request!$B$8="",Request!$C$8=""),1,IF(MIN(SUMIFS(Capacity_By_SKU!$K:$K,Capacity_By_SKU!$A:$A,$A5,Capacity_By_SKU!$C:$C,"DR",Capacity_By_SKU!$D:$D,Request!$B$8),SUMIFS(Quota_Groups!$G:$G,Quota_Groups!$B:$B,$A5,Quota_Groups!$D:$D,IFERROR(VLOOKUP(Request!$B$8,SKU_Family_Map!$A:$B,2,FALSE),"")))&gt;=Request!$E$8,1,0)),IF(OR(Request!$B$9="",Request!$C$9=""),1,IF(MIN(SUMIFS(Capacity_By_SKU!$K:$K,Capacity_By_SKU!$A:$A,$A5,Capacity_By_SKU!$C:$C,"DR",Capacity_By_SKU!$D:$D,Request!$B$9),SUMIFS(Quota_Groups!$G:$G,Quota_Groups!$B:$B,$A5,Quota_Groups!$D:$D,IFERROR(VLOOKUP(Request!$B$9,SKU_Family_Map!$A:$B,2,FALSE),"")))&gt;=Request!$E$9,1,0)),IF(OR(Request!$B$10="",Request!$C$10=""),1,IF(MIN(SUMIFS(Capacity_By_SKU!$K:$K,Capacity_By_SKU!$A:$A,$A5,Capacity_By_SKU!$C:$C,"DR",Capacity_By_SKU!$D:$D,Request!$B$10),SUMIFS(Quota_Groups!$G:$G,Quota_Groups!$B:$B,$A5,Quota_Groups!$D:$D,IFERROR(VLOOKUP(Request!$B$10,SKU_Family_Map!$A:$B,2,FALSE),"")))&gt;=Request!$E$10,1,0)),IF(OR(Request!$B$11="",Request!$C$11=""),1,IF(MIN(SUMIFS(Capacity_By_SKU!$K:$K,Capacity_By_SKU!$A:$A,$A5,Capacity_By_SKU!$C:$C,"DR",Capacity_By_SKU!$D:$D,Request!$B$11),SUMIFS(Quota_Groups!$G:$G,Quota_Groups!$B:$B,$A5,Quota_Groups!$D:$D,IFERROR(VLOOKUP(Request!$B$11,SKU_Family_Map!$A:$B,2,FALSE),"")))&gt;=Request!$E$11,1,0)),IF(OR(Request!$B$12="",Request!$C$12=""),1,IF(MIN(SUMIFS(Capacity_By_SKU!$K:$K,Capacity_By_SKU!$A:$A,$A5,Capacity_By_SKU!$C:$C,"DR",Capacity_By_SKU!$D:$D,Request!$B$12),SUMIFS(Quota_Groups!$G:$G,Quota_Groups!$B:$B,$A5,Quota_Groups!$D:$D,IFERROR(VLOOKUP(Request!$B$12,SKU_Family_Map!$A:$B,2,FALSE),"")))&gt;=Request!$E$12,1,0)),IF(OR(Request!$B$13="",Request!$C$13=""),1,IF(MIN(SUMIFS(Capacity_By_SKU!$K:$K,Capacity_By_SKU!$A:$A,$A5,Capacity_By_SKU!$C:$C,"DR",Capacity_By_SKU!$D:$D,Request!$B$13),SUMIFS(Quota_Groups!$G:$G,Quota_Groups!$B:$B,$A5,Quota_Groups!$D:$D,IFERROR(VLOOKUP(Request!$B$13,SKU_Family_Map!$A:$B,2,FALSE),"")))&gt;=Request!$E$13,1,0)),IF(OR(Request!$B$14="",Request!$C$14=""),1,IF(MIN(SUMIFS(Capacity_By_SKU!$K:$K,Capacity_By_SKU!$A:$A,$A5,Capacity_By_SKU!$C:$C,"DR",Capacity_By_SKU!$D:$D,Request!$B$14),SUMIFS(Quota_Groups!$G:$G,Quota_Groups!$B:$B,$A5,Quota_Groups!$D:$D,IFERROR(VLOOKUP(Request!$B$14,SKU_Family_Map!$A:$B,2,FALSE),"")))&gt;=Request!$E$14,1,0)),IF(OR(Request!$B$15="",Request!$C$15=""),1,IF(MIN(SUMIFS(Capacity_By_SKU!$K:$K,Capacity_By_SKU!$A:$A,$A5,Capacity_By_SKU!$C:$C,"DR",Capacity_By_SKU!$D:$D,Request!$B$15),SUMIFS(Quota_Groups!$G:$G,Quota_Groups!$B:$B,$A5,Quota_Groups!$D:$D,IFERROR(VLOOKUP(Request!$B$15,SKU_Family_Map!$A:$B,2,FALSE),"")))&gt;=Request!$E$15,1,0))))</f>
        <v/>
      </c>
      <c r="H5" s="12">
        <f>IF(Request!$B$17=0,"NO_REQUEST",IF(SUM(IF(AND(Request!$B$8&lt;&gt;"",Request!$C$8&lt;&gt;"",SUMIFS(Capacity_By_SKU!$K:$K,Capacity_By_SKU!$A:$A,$A5,Capacity_By_SKU!$C:$C,"DR",Capacity_By_SKU!$D:$D,Request!$B$8)&lt;=0),1,0),IF(AND(Request!$B$9&lt;&gt;"",Request!$C$9&lt;&gt;"",SUMIFS(Capacity_By_SKU!$K:$K,Capacity_By_SKU!$A:$A,$A5,Capacity_By_SKU!$C:$C,"DR",Capacity_By_SKU!$D:$D,Request!$B$9)&lt;=0),1,0),IF(AND(Request!$B$10&lt;&gt;"",Request!$C$10&lt;&gt;"",SUMIFS(Capacity_By_SKU!$K:$K,Capacity_By_SKU!$A:$A,$A5,Capacity_By_SKU!$C:$C,"DR",Capacity_By_SKU!$D:$D,Request!$B$10)&lt;=0),1,0),IF(AND(Request!$B$11&lt;&gt;"",Request!$C$11&lt;&gt;"",SUMIFS(Capacity_By_SKU!$K:$K,Capacity_By_SKU!$A:$A,$A5,Capacity_By_SKU!$C:$C,"DR",Capacity_By_SKU!$D:$D,Request!$B$11)&lt;=0),1,0),IF(AND(Request!$B$12&lt;&gt;"",Request!$C$12&lt;&gt;"",SUMIFS(Capacity_By_SKU!$K:$K,Capacity_By_SKU!$A:$A,$A5,Capacity_By_SKU!$C:$C,"DR",Capacity_By_SKU!$D:$D,Request!$B$12)&lt;=0),1,0),IF(AND(Request!$B$13&lt;&gt;"",Request!$C$13&lt;&gt;"",SUMIFS(Capacity_By_SKU!$K:$K,Capacity_By_SKU!$A:$A,$A5,Capacity_By_SKU!$C:$C,"DR",Capacity_By_SKU!$D:$D,Request!$B$13)&lt;=0),1,0),IF(AND(Request!$B$14&lt;&gt;"",Request!$C$14&lt;&gt;"",SUMIFS(Capacity_By_SKU!$K:$K,Capacity_By_SKU!$A:$A,$A5,Capacity_By_SKU!$C:$C,"DR",Capacity_By_SKU!$D:$D,Request!$B$14)&lt;=0),1,0),IF(AND(Request!$B$15&lt;&gt;"",Request!$C$15&lt;&gt;"",SUMIFS(Capacity_By_SKU!$K:$K,Capacity_By_SKU!$A:$A,$A5,Capacity_By_SKU!$C:$C,"DR",Capacity_By_SKU!$D:$D,Request!$B$15)&lt;=0),1,0))&gt;0,"RESERVATION_DEFICIT",IF(SUM(IF(AND(Request!$B$8&lt;&gt;"",Request!$C$8&lt;&gt;"",SUMIFS(Quota_Groups!$G:$G,Quota_Groups!$B:$B,$A5,Quota_Groups!$D:$D,IFERROR(VLOOKUP(Request!$B$8,SKU_Family_Map!$A:$B,2,FALSE),""))&lt;=0),1,0),IF(AND(Request!$B$9&lt;&gt;"",Request!$C$9&lt;&gt;"",SUMIFS(Quota_Groups!$G:$G,Quota_Groups!$B:$B,$A5,Quota_Groups!$D:$D,IFERROR(VLOOKUP(Request!$B$9,SKU_Family_Map!$A:$B,2,FALSE),""))&lt;=0),1,0),IF(AND(Request!$B$10&lt;&gt;"",Request!$C$10&lt;&gt;"",SUMIFS(Quota_Groups!$G:$G,Quota_Groups!$B:$B,$A5,Quota_Groups!$D:$D,IFERROR(VLOOKUP(Request!$B$10,SKU_Family_Map!$A:$B,2,FALSE),""))&lt;=0),1,0),IF(AND(Request!$B$11&lt;&gt;"",Request!$C$11&lt;&gt;"",SUMIFS(Quota_Groups!$G:$G,Quota_Groups!$B:$B,$A5,Quota_Groups!$D:$D,IFERROR(VLOOKUP(Request!$B$11,SKU_Family_Map!$A:$B,2,FALSE),""))&lt;=0),1,0),IF(AND(Request!$B$12&lt;&gt;"",Request!$C$12&lt;&gt;"",SUMIFS(Quota_Groups!$G:$G,Quota_Groups!$B:$B,$A5,Quota_Groups!$D:$D,IFERROR(VLOOKUP(Request!$B$12,SKU_Family_Map!$A:$B,2,FALSE),""))&lt;=0),1,0),IF(AND(Request!$B$13&lt;&gt;"",Request!$C$13&lt;&gt;"",SUMIFS(Quota_Groups!$G:$G,Quota_Groups!$B:$B,$A5,Quota_Groups!$D:$D,IFERROR(VLOOKUP(Request!$B$13,SKU_Family_Map!$A:$B,2,FALSE),""))&lt;=0),1,0),IF(AND(Request!$B$14&lt;&gt;"",Request!$C$14&lt;&gt;"",SUMIFS(Quota_Groups!$G:$G,Quota_Groups!$B:$B,$A5,Quota_Groups!$D:$D,IFERROR(VLOOKUP(Request!$B$14,SKU_Family_Map!$A:$B,2,FALSE),""))&lt;=0),1,0),IF(AND(Request!$B$15&lt;&gt;"",Request!$C$15&lt;&gt;"",SUMIFS(Quota_Groups!$G:$G,Quota_Groups!$B:$B,$A5,Quota_Groups!$D:$D,IFERROR(VLOOKUP(Request!$B$15,SKU_Family_Map!$A:$B,2,FALSE),""))&lt;=0),1,0))&gt;0,"QUOTA_DEFICIT",IF(G5=0,"CAPACITY_DEFICIT",IF(MIN(IF(OR(Request!$B$8="",Request!$C$8=""),1,IFERROR(1-Request!$E$8/MIN(SUMIFS(Capacity_By_SKU!$K:$K,Capacity_By_SKU!$A:$A,$A5,Capacity_By_SKU!$C:$C,"DR",Capacity_By_SKU!$D:$D,Request!$B$8),SUMIFS(Quota_Groups!$G:$G,Quota_Groups!$B:$B,$A5,Quota_Groups!$D:$D,IFERROR(VLOOKUP(Request!$B$8,SKU_Family_Map!$A:$B,2,FALSE),""))),0)),IF(OR(Request!$B$9="",Request!$C$9=""),1,IFERROR(1-Request!$E$9/MIN(SUMIFS(Capacity_By_SKU!$K:$K,Capacity_By_SKU!$A:$A,$A5,Capacity_By_SKU!$C:$C,"DR",Capacity_By_SKU!$D:$D,Request!$B$9),SUMIFS(Quota_Groups!$G:$G,Quota_Groups!$B:$B,$A5,Quota_Groups!$D:$D,IFERROR(VLOOKUP(Request!$B$9,SKU_Family_Map!$A:$B,2,FALSE),""))),0)),IF(OR(Request!$B$10="",Request!$C$10=""),1,IFERROR(1-Request!$E$10/MIN(SUMIFS(Capacity_By_SKU!$K:$K,Capacity_By_SKU!$A:$A,$A5,Capacity_By_SKU!$C:$C,"DR",Capacity_By_SKU!$D:$D,Request!$B$10),SUMIFS(Quota_Groups!$G:$G,Quota_Groups!$B:$B,$A5,Quota_Groups!$D:$D,IFERROR(VLOOKUP(Request!$B$10,SKU_Family_Map!$A:$B,2,FALSE),""))),0)),IF(OR(Request!$B$11="",Request!$C$11=""),1,IFERROR(1-Request!$E$11/MIN(SUMIFS(Capacity_By_SKU!$K:$K,Capacity_By_SKU!$A:$A,$A5,Capacity_By_SKU!$C:$C,"DR",Capacity_By_SKU!$D:$D,Request!$B$11),SUMIFS(Quota_Groups!$G:$G,Quota_Groups!$B:$B,$A5,Quota_Groups!$D:$D,IFERROR(VLOOKUP(Request!$B$11,SKU_Family_Map!$A:$B,2,FALSE),""))),0)),IF(OR(Request!$B$12="",Request!$C$12=""),1,IFERROR(1-Request!$E$12/MIN(SUMIFS(Capacity_By_SKU!$K:$K,Capacity_By_SKU!$A:$A,$A5,Capacity_By_SKU!$C:$C,"DR",Capacity_By_SKU!$D:$D,Request!$B$12),SUMIFS(Quota_Groups!$G:$G,Quota_Groups!$B:$B,$A5,Quota_Groups!$D:$D,IFERROR(VLOOKUP(Request!$B$12,SKU_Family_Map!$A:$B,2,FALSE),""))),0)),IF(OR(Request!$B$13="",Request!$C$13=""),1,IFERROR(1-Request!$E$13/MIN(SUMIFS(Capacity_By_SKU!$K:$K,Capacity_By_SKU!$A:$A,$A5,Capacity_By_SKU!$C:$C,"DR",Capacity_By_SKU!$D:$D,Request!$B$13),SUMIFS(Quota_Groups!$G:$G,Quota_Groups!$B:$B,$A5,Quota_Groups!$D:$D,IFERROR(VLOOKUP(Request!$B$13,SKU_Family_Map!$A:$B,2,FALSE),""))),0)),IF(OR(Request!$B$14="",Request!$C$14=""),1,IFERROR(1-Request!$E$14/MIN(SUMIFS(Capacity_By_SKU!$K:$K,Capacity_By_SKU!$A:$A,$A5,Capacity_By_SKU!$C:$C,"DR",Capacity_By_SKU!$D:$D,Request!$B$14),SUMIFS(Quota_Groups!$G:$G,Quota_Groups!$B:$B,$A5,Quota_Groups!$D:$D,IFERROR(VLOOKUP(Request!$B$14,SKU_Family_Map!$A:$B,2,FALSE),""))),0)),IF(OR(Request!$B$15="",Request!$C$15=""),1,IFERROR(1-Request!$E$15/MIN(SUMIFS(Capacity_By_SKU!$K:$K,Capacity_By_SKU!$A:$A,$A5,Capacity_By_SKU!$C:$C,"DR",Capacity_By_SKU!$D:$D,Request!$B$15),SUMIFS(Quota_Groups!$G:$G,Quota_Groups!$B:$B,$A5,Quota_Groups!$D:$D,IFERROR(VLOOKUP(Request!$B$15,SKU_Family_Map!$A:$B,2,FALSE),""))),0)))&lt;Policy!$B$10,"READY_WITH_RISK","READY")))))</f>
        <v/>
      </c>
      <c r="I5" s="16">
        <f>IF(AND(F5=1,G5=1,OR(H5="READY",H5="READY_WITH_RISK")),1,0)</f>
        <v/>
      </c>
      <c r="J5" s="16">
        <f>IF(I5=1,MAX(0,MIN(IF(OR(Request!$B$8="",Request!$C$8=""),1,IFERROR(1-Request!$E$8/MIN(SUMIFS(Capacity_By_SKU!$K:$K,Capacity_By_SKU!$A:$A,$A5,Capacity_By_SKU!$C:$C,"DR",Capacity_By_SKU!$D:$D,Request!$B$8),SUMIFS(Quota_Groups!$G:$G,Quota_Groups!$B:$B,$A5,Quota_Groups!$D:$D,IFERROR(VLOOKUP(Request!$B$8,SKU_Family_Map!$A:$B,2,FALSE),""))),0)),IF(OR(Request!$B$9="",Request!$C$9=""),1,IFERROR(1-Request!$E$9/MIN(SUMIFS(Capacity_By_SKU!$K:$K,Capacity_By_SKU!$A:$A,$A5,Capacity_By_SKU!$C:$C,"DR",Capacity_By_SKU!$D:$D,Request!$B$9),SUMIFS(Quota_Groups!$G:$G,Quota_Groups!$B:$B,$A5,Quota_Groups!$D:$D,IFERROR(VLOOKUP(Request!$B$9,SKU_Family_Map!$A:$B,2,FALSE),""))),0)),IF(OR(Request!$B$10="",Request!$C$10=""),1,IFERROR(1-Request!$E$10/MIN(SUMIFS(Capacity_By_SKU!$K:$K,Capacity_By_SKU!$A:$A,$A5,Capacity_By_SKU!$C:$C,"DR",Capacity_By_SKU!$D:$D,Request!$B$10),SUMIFS(Quota_Groups!$G:$G,Quota_Groups!$B:$B,$A5,Quota_Groups!$D:$D,IFERROR(VLOOKUP(Request!$B$10,SKU_Family_Map!$A:$B,2,FALSE),""))),0)),IF(OR(Request!$B$11="",Request!$C$11=""),1,IFERROR(1-Request!$E$11/MIN(SUMIFS(Capacity_By_SKU!$K:$K,Capacity_By_SKU!$A:$A,$A5,Capacity_By_SKU!$C:$C,"DR",Capacity_By_SKU!$D:$D,Request!$B$11),SUMIFS(Quota_Groups!$G:$G,Quota_Groups!$B:$B,$A5,Quota_Groups!$D:$D,IFERROR(VLOOKUP(Request!$B$11,SKU_Family_Map!$A:$B,2,FALSE),""))),0)),IF(OR(Request!$B$12="",Request!$C$12=""),1,IFERROR(1-Request!$E$12/MIN(SUMIFS(Capacity_By_SKU!$K:$K,Capacity_By_SKU!$A:$A,$A5,Capacity_By_SKU!$C:$C,"DR",Capacity_By_SKU!$D:$D,Request!$B$12),SUMIFS(Quota_Groups!$G:$G,Quota_Groups!$B:$B,$A5,Quota_Groups!$D:$D,IFERROR(VLOOKUP(Request!$B$12,SKU_Family_Map!$A:$B,2,FALSE),""))),0)),IF(OR(Request!$B$13="",Request!$C$13=""),1,IFERROR(1-Request!$E$13/MIN(SUMIFS(Capacity_By_SKU!$K:$K,Capacity_By_SKU!$A:$A,$A5,Capacity_By_SKU!$C:$C,"DR",Capacity_By_SKU!$D:$D,Request!$B$13),SUMIFS(Quota_Groups!$G:$G,Quota_Groups!$B:$B,$A5,Quota_Groups!$D:$D,IFERROR(VLOOKUP(Request!$B$13,SKU_Family_Map!$A:$B,2,FALSE),""))),0)),IF(OR(Request!$B$14="",Request!$C$14=""),1,IFERROR(1-Request!$E$14/MIN(SUMIFS(Capacity_By_SKU!$K:$K,Capacity_By_SKU!$A:$A,$A5,Capacity_By_SKU!$C:$C,"DR",Capacity_By_SKU!$D:$D,Request!$B$14),SUMIFS(Quota_Groups!$G:$G,Quota_Groups!$B:$B,$A5,Quota_Groups!$D:$D,IFERROR(VLOOKUP(Request!$B$14,SKU_Family_Map!$A:$B,2,FALSE),""))),0)),IF(OR(Request!$B$15="",Request!$C$15=""),1,IFERROR(1-Request!$E$15/MIN(SUMIFS(Capacity_By_SKU!$K:$K,Capacity_By_SKU!$A:$A,$A5,Capacity_By_SKU!$C:$C,"DR",Capacity_By_SKU!$D:$D,Request!$B$15),SUMIFS(Quota_Groups!$G:$G,Quota_Groups!$B:$B,$A5,Quota_Groups!$D:$D,IFERROR(VLOOKUP(Request!$B$15,SKU_Family_Map!$A:$B,2,FALSE),""))),0)))),0)</f>
        <v/>
      </c>
      <c r="K5" s="16">
        <f>IF(I5=1,MAX(0,MIN(IF(OR(Request!$B$8="",Request!$C$8=""),1,IFERROR(SUMIFS(Quota_Groups!$G:$G,Quota_Groups!$B:$B,$A5,Quota_Groups!$D:$D,IFERROR(VLOOKUP(Request!$B$8,SKU_Family_Map!$A:$B,2,FALSE),""))/MAX(SUMIFS(Quota_Groups!$E:$E,Quota_Groups!$B:$B,$A5,Quota_Groups!$D:$D,IFERROR(VLOOKUP(Request!$B$8,SKU_Family_Map!$A:$B,2,FALSE),"")),1),0)),IF(OR(Request!$B$9="",Request!$C$9=""),1,IFERROR(SUMIFS(Quota_Groups!$G:$G,Quota_Groups!$B:$B,$A5,Quota_Groups!$D:$D,IFERROR(VLOOKUP(Request!$B$9,SKU_Family_Map!$A:$B,2,FALSE),""))/MAX(SUMIFS(Quota_Groups!$E:$E,Quota_Groups!$B:$B,$A5,Quota_Groups!$D:$D,IFERROR(VLOOKUP(Request!$B$9,SKU_Family_Map!$A:$B,2,FALSE),"")),1),0)),IF(OR(Request!$B$10="",Request!$C$10=""),1,IFERROR(SUMIFS(Quota_Groups!$G:$G,Quota_Groups!$B:$B,$A5,Quota_Groups!$D:$D,IFERROR(VLOOKUP(Request!$B$10,SKU_Family_Map!$A:$B,2,FALSE),""))/MAX(SUMIFS(Quota_Groups!$E:$E,Quota_Groups!$B:$B,$A5,Quota_Groups!$D:$D,IFERROR(VLOOKUP(Request!$B$10,SKU_Family_Map!$A:$B,2,FALSE),"")),1),0)),IF(OR(Request!$B$11="",Request!$C$11=""),1,IFERROR(SUMIFS(Quota_Groups!$G:$G,Quota_Groups!$B:$B,$A5,Quota_Groups!$D:$D,IFERROR(VLOOKUP(Request!$B$11,SKU_Family_Map!$A:$B,2,FALSE),""))/MAX(SUMIFS(Quota_Groups!$E:$E,Quota_Groups!$B:$B,$A5,Quota_Groups!$D:$D,IFERROR(VLOOKUP(Request!$B$11,SKU_Family_Map!$A:$B,2,FALSE),"")),1),0)),IF(OR(Request!$B$12="",Request!$C$12=""),1,IFERROR(SUMIFS(Quota_Groups!$G:$G,Quota_Groups!$B:$B,$A5,Quota_Groups!$D:$D,IFERROR(VLOOKUP(Request!$B$12,SKU_Family_Map!$A:$B,2,FALSE),""))/MAX(SUMIFS(Quota_Groups!$E:$E,Quota_Groups!$B:$B,$A5,Quota_Groups!$D:$D,IFERROR(VLOOKUP(Request!$B$12,SKU_Family_Map!$A:$B,2,FALSE),"")),1),0)),IF(OR(Request!$B$13="",Request!$C$13=""),1,IFERROR(SUMIFS(Quota_Groups!$G:$G,Quota_Groups!$B:$B,$A5,Quota_Groups!$D:$D,IFERROR(VLOOKUP(Request!$B$13,SKU_Family_Map!$A:$B,2,FALSE),""))/MAX(SUMIFS(Quota_Groups!$E:$E,Quota_Groups!$B:$B,$A5,Quota_Groups!$D:$D,IFERROR(VLOOKUP(Request!$B$13,SKU_Family_Map!$A:$B,2,FALSE),"")),1),0)),IF(OR(Request!$B$14="",Request!$C$14=""),1,IFERROR(SUMIFS(Quota_Groups!$G:$G,Quota_Groups!$B:$B,$A5,Quota_Groups!$D:$D,IFERROR(VLOOKUP(Request!$B$14,SKU_Family_Map!$A:$B,2,FALSE),""))/MAX(SUMIFS(Quota_Groups!$E:$E,Quota_Groups!$B:$B,$A5,Quota_Groups!$D:$D,IFERROR(VLOOKUP(Request!$B$14,SKU_Family_Map!$A:$B,2,FALSE),"")),1),0)),IF(OR(Request!$B$15="",Request!$C$15=""),1,IFERROR(SUMIFS(Quota_Groups!$G:$G,Quota_Groups!$B:$B,$A5,Quota_Groups!$D:$D,IFERROR(VLOOKUP(Request!$B$15,SKU_Family_Map!$A:$B,2,FALSE),""))/MAX(SUMIFS(Quota_Groups!$E:$E,Quota_Groups!$B:$B,$A5,Quota_Groups!$D:$D,IFERROR(VLOOKUP(Request!$B$15,SKU_Family_Map!$A:$B,2,FALSE),"")),1),0)))),0)</f>
        <v/>
      </c>
      <c r="L5" s="16">
        <f>IF(I5=1,MAX(0,MIN(IF(OR(Request!$B$8="",Request!$C$8=""),1,IFERROR(SUMIFS(Capacity_By_SKU!$K:$K,Capacity_By_SKU!$A:$A,$A5,Capacity_By_SKU!$C:$C,"DR",Capacity_By_SKU!$D:$D,Request!$B$8)/MAX(SUMIFS(Capacity_By_SKU!$J:$J,Capacity_By_SKU!$A:$A,$A5,Capacity_By_SKU!$C:$C,"DR",Capacity_By_SKU!$D:$D,Request!$B$8),1),0)),IF(OR(Request!$B$9="",Request!$C$9=""),1,IFERROR(SUMIFS(Capacity_By_SKU!$K:$K,Capacity_By_SKU!$A:$A,$A5,Capacity_By_SKU!$C:$C,"DR",Capacity_By_SKU!$D:$D,Request!$B$9)/MAX(SUMIFS(Capacity_By_SKU!$J:$J,Capacity_By_SKU!$A:$A,$A5,Capacity_By_SKU!$C:$C,"DR",Capacity_By_SKU!$D:$D,Request!$B$9),1),0)),IF(OR(Request!$B$10="",Request!$C$10=""),1,IFERROR(SUMIFS(Capacity_By_SKU!$K:$K,Capacity_By_SKU!$A:$A,$A5,Capacity_By_SKU!$C:$C,"DR",Capacity_By_SKU!$D:$D,Request!$B$10)/MAX(SUMIFS(Capacity_By_SKU!$J:$J,Capacity_By_SKU!$A:$A,$A5,Capacity_By_SKU!$C:$C,"DR",Capacity_By_SKU!$D:$D,Request!$B$10),1),0)),IF(OR(Request!$B$11="",Request!$C$11=""),1,IFERROR(SUMIFS(Capacity_By_SKU!$K:$K,Capacity_By_SKU!$A:$A,$A5,Capacity_By_SKU!$C:$C,"DR",Capacity_By_SKU!$D:$D,Request!$B$11)/MAX(SUMIFS(Capacity_By_SKU!$J:$J,Capacity_By_SKU!$A:$A,$A5,Capacity_By_SKU!$C:$C,"DR",Capacity_By_SKU!$D:$D,Request!$B$11),1),0)),IF(OR(Request!$B$12="",Request!$C$12=""),1,IFERROR(SUMIFS(Capacity_By_SKU!$K:$K,Capacity_By_SKU!$A:$A,$A5,Capacity_By_SKU!$C:$C,"DR",Capacity_By_SKU!$D:$D,Request!$B$12)/MAX(SUMIFS(Capacity_By_SKU!$J:$J,Capacity_By_SKU!$A:$A,$A5,Capacity_By_SKU!$C:$C,"DR",Capacity_By_SKU!$D:$D,Request!$B$12),1),0)),IF(OR(Request!$B$13="",Request!$C$13=""),1,IFERROR(SUMIFS(Capacity_By_SKU!$K:$K,Capacity_By_SKU!$A:$A,$A5,Capacity_By_SKU!$C:$C,"DR",Capacity_By_SKU!$D:$D,Request!$B$13)/MAX(SUMIFS(Capacity_By_SKU!$J:$J,Capacity_By_SKU!$A:$A,$A5,Capacity_By_SKU!$C:$C,"DR",Capacity_By_SKU!$D:$D,Request!$B$13),1),0)),IF(OR(Request!$B$14="",Request!$C$14=""),1,IFERROR(SUMIFS(Capacity_By_SKU!$K:$K,Capacity_By_SKU!$A:$A,$A5,Capacity_By_SKU!$C:$C,"DR",Capacity_By_SKU!$D:$D,Request!$B$14)/MAX(SUMIFS(Capacity_By_SKU!$J:$J,Capacity_By_SKU!$A:$A,$A5,Capacity_By_SKU!$C:$C,"DR",Capacity_By_SKU!$D:$D,Request!$B$14),1),0)),IF(OR(Request!$B$15="",Request!$C$15=""),1,IFERROR(SUMIFS(Capacity_By_SKU!$K:$K,Capacity_By_SKU!$A:$A,$A5,Capacity_By_SKU!$C:$C,"DR",Capacity_By_SKU!$D:$D,Request!$B$15)/MAX(SUMIFS(Capacity_By_SKU!$J:$J,Capacity_By_SKU!$A:$A,$A5,Capacity_By_SKU!$C:$C,"DR",Capacity_By_SKU!$D:$D,Request!$B$15),1),0)))),0)</f>
        <v/>
      </c>
      <c r="M5" s="22">
        <f>IF(I5=1,ROUND(Policy!$B$4*J5+Policy!$B$5*K5+Policy!$B$6*L5,4),"")</f>
        <v/>
      </c>
      <c r="N5" s="16">
        <f>IF(I5=1,SUMPRODUCT(($I$4:$I$11=1)*($M$4:$M$11&gt;M5))+1,"")</f>
        <v/>
      </c>
      <c r="O5" s="16">
        <f>IF(I5=0,"N/A",IF(MIN(IF(OR(Request!$B$8="",Request!$C$8=""),1,IFERROR(SUMIFS(Capacity_By_SKU!$K:$K,Capacity_By_SKU!$A:$A,$A5,Capacity_By_SKU!$C:$C,"DR",Capacity_By_SKU!$D:$D,Request!$B$8)/MAX(SUMIFS(Capacity_By_SKU!$J:$J,Capacity_By_SKU!$A:$A,$A5,Capacity_By_SKU!$C:$C,"DR",Capacity_By_SKU!$D:$D,Request!$B$8),1),0)),IF(OR(Request!$B$9="",Request!$C$9=""),1,IFERROR(SUMIFS(Capacity_By_SKU!$K:$K,Capacity_By_SKU!$A:$A,$A5,Capacity_By_SKU!$C:$C,"DR",Capacity_By_SKU!$D:$D,Request!$B$9)/MAX(SUMIFS(Capacity_By_SKU!$J:$J,Capacity_By_SKU!$A:$A,$A5,Capacity_By_SKU!$C:$C,"DR",Capacity_By_SKU!$D:$D,Request!$B$9),1),0)),IF(OR(Request!$B$10="",Request!$C$10=""),1,IFERROR(SUMIFS(Capacity_By_SKU!$K:$K,Capacity_By_SKU!$A:$A,$A5,Capacity_By_SKU!$C:$C,"DR",Capacity_By_SKU!$D:$D,Request!$B$10)/MAX(SUMIFS(Capacity_By_SKU!$J:$J,Capacity_By_SKU!$A:$A,$A5,Capacity_By_SKU!$C:$C,"DR",Capacity_By_SKU!$D:$D,Request!$B$10),1),0)),IF(OR(Request!$B$11="",Request!$C$11=""),1,IFERROR(SUMIFS(Capacity_By_SKU!$K:$K,Capacity_By_SKU!$A:$A,$A5,Capacity_By_SKU!$C:$C,"DR",Capacity_By_SKU!$D:$D,Request!$B$11)/MAX(SUMIFS(Capacity_By_SKU!$J:$J,Capacity_By_SKU!$A:$A,$A5,Capacity_By_SKU!$C:$C,"DR",Capacity_By_SKU!$D:$D,Request!$B$11),1),0)),IF(OR(Request!$B$12="",Request!$C$12=""),1,IFERROR(SUMIFS(Capacity_By_SKU!$K:$K,Capacity_By_SKU!$A:$A,$A5,Capacity_By_SKU!$C:$C,"DR",Capacity_By_SKU!$D:$D,Request!$B$12)/MAX(SUMIFS(Capacity_By_SKU!$J:$J,Capacity_By_SKU!$A:$A,$A5,Capacity_By_SKU!$C:$C,"DR",Capacity_By_SKU!$D:$D,Request!$B$12),1),0)),IF(OR(Request!$B$13="",Request!$C$13=""),1,IFERROR(SUMIFS(Capacity_By_SKU!$K:$K,Capacity_By_SKU!$A:$A,$A5,Capacity_By_SKU!$C:$C,"DR",Capacity_By_SKU!$D:$D,Request!$B$13)/MAX(SUMIFS(Capacity_By_SKU!$J:$J,Capacity_By_SKU!$A:$A,$A5,Capacity_By_SKU!$C:$C,"DR",Capacity_By_SKU!$D:$D,Request!$B$13),1),0)),IF(OR(Request!$B$14="",Request!$C$14=""),1,IFERROR(SUMIFS(Capacity_By_SKU!$K:$K,Capacity_By_SKU!$A:$A,$A5,Capacity_By_SKU!$C:$C,"DR",Capacity_By_SKU!$D:$D,Request!$B$14)/MAX(SUMIFS(Capacity_By_SKU!$J:$J,Capacity_By_SKU!$A:$A,$A5,Capacity_By_SKU!$C:$C,"DR",Capacity_By_SKU!$D:$D,Request!$B$14),1),0)),IF(OR(Request!$B$15="",Request!$C$15=""),1,IFERROR(SUMIFS(Capacity_By_SKU!$K:$K,Capacity_By_SKU!$A:$A,$A5,Capacity_By_SKU!$C:$C,"DR",Capacity_By_SKU!$D:$D,Request!$B$15)/MAX(SUMIFS(Capacity_By_SKU!$J:$J,Capacity_By_SKU!$A:$A,$A5,Capacity_By_SKU!$C:$C,"DR",Capacity_By_SKU!$D:$D,Request!$B$15),1),0)))&lt;=MIN(IF(OR(Request!$B$8="",Request!$C$8=""),1,IFERROR(SUMIFS(Quota_Groups!$G:$G,Quota_Groups!$B:$B,$A5,Quota_Groups!$D:$D,IFERROR(VLOOKUP(Request!$B$8,SKU_Family_Map!$A:$B,2,FALSE),""))/MAX(SUMIFS(Quota_Groups!$E:$E,Quota_Groups!$B:$B,$A5,Quota_Groups!$D:$D,IFERROR(VLOOKUP(Request!$B$8,SKU_Family_Map!$A:$B,2,FALSE),"")),1),0)),IF(OR(Request!$B$9="",Request!$C$9=""),1,IFERROR(SUMIFS(Quota_Groups!$G:$G,Quota_Groups!$B:$B,$A5,Quota_Groups!$D:$D,IFERROR(VLOOKUP(Request!$B$9,SKU_Family_Map!$A:$B,2,FALSE),""))/MAX(SUMIFS(Quota_Groups!$E:$E,Quota_Groups!$B:$B,$A5,Quota_Groups!$D:$D,IFERROR(VLOOKUP(Request!$B$9,SKU_Family_Map!$A:$B,2,FALSE),"")),1),0)),IF(OR(Request!$B$10="",Request!$C$10=""),1,IFERROR(SUMIFS(Quota_Groups!$G:$G,Quota_Groups!$B:$B,$A5,Quota_Groups!$D:$D,IFERROR(VLOOKUP(Request!$B$10,SKU_Family_Map!$A:$B,2,FALSE),""))/MAX(SUMIFS(Quota_Groups!$E:$E,Quota_Groups!$B:$B,$A5,Quota_Groups!$D:$D,IFERROR(VLOOKUP(Request!$B$10,SKU_Family_Map!$A:$B,2,FALSE),"")),1),0)),IF(OR(Request!$B$11="",Request!$C$11=""),1,IFERROR(SUMIFS(Quota_Groups!$G:$G,Quota_Groups!$B:$B,$A5,Quota_Groups!$D:$D,IFERROR(VLOOKUP(Request!$B$11,SKU_Family_Map!$A:$B,2,FALSE),""))/MAX(SUMIFS(Quota_Groups!$E:$E,Quota_Groups!$B:$B,$A5,Quota_Groups!$D:$D,IFERROR(VLOOKUP(Request!$B$11,SKU_Family_Map!$A:$B,2,FALSE),"")),1),0)),IF(OR(Request!$B$12="",Request!$C$12=""),1,IFERROR(SUMIFS(Quota_Groups!$G:$G,Quota_Groups!$B:$B,$A5,Quota_Groups!$D:$D,IFERROR(VLOOKUP(Request!$B$12,SKU_Family_Map!$A:$B,2,FALSE),""))/MAX(SUMIFS(Quota_Groups!$E:$E,Quota_Groups!$B:$B,$A5,Quota_Groups!$D:$D,IFERROR(VLOOKUP(Request!$B$12,SKU_Family_Map!$A:$B,2,FALSE),"")),1),0)),IF(OR(Request!$B$13="",Request!$C$13=""),1,IFERROR(SUMIFS(Quota_Groups!$G:$G,Quota_Groups!$B:$B,$A5,Quota_Groups!$D:$D,IFERROR(VLOOKUP(Request!$B$13,SKU_Family_Map!$A:$B,2,FALSE),""))/MAX(SUMIFS(Quota_Groups!$E:$E,Quota_Groups!$B:$B,$A5,Quota_Groups!$D:$D,IFERROR(VLOOKUP(Request!$B$13,SKU_Family_Map!$A:$B,2,FALSE),"")),1),0)),IF(OR(Request!$B$14="",Request!$C$14=""),1,IFERROR(SUMIFS(Quota_Groups!$G:$G,Quota_Groups!$B:$B,$A5,Quota_Groups!$D:$D,IFERROR(VLOOKUP(Request!$B$14,SKU_Family_Map!$A:$B,2,FALSE),""))/MAX(SUMIFS(Quota_Groups!$E:$E,Quota_Groups!$B:$B,$A5,Quota_Groups!$D:$D,IFERROR(VLOOKUP(Request!$B$14,SKU_Family_Map!$A:$B,2,FALSE),"")),1),0)),IF(OR(Request!$B$15="",Request!$C$15=""),1,IFERROR(SUMIFS(Quota_Groups!$G:$G,Quota_Groups!$B:$B,$A5,Quota_Groups!$D:$D,IFERROR(VLOOKUP(Request!$B$15,SKU_Family_Map!$A:$B,2,FALSE),""))/MAX(SUMIFS(Quota_Groups!$E:$E,Quota_Groups!$B:$B,$A5,Quota_Groups!$D:$D,IFERROR(VLOOKUP(Request!$B$15,SKU_Family_Map!$A:$B,2,FALSE),"")),1),0))),"CAPACITY","QUOTA"))</f>
        <v/>
      </c>
    </row>
    <row r="6">
      <c r="A6" s="12" t="inlineStr">
        <is>
          <t>Canada Central</t>
        </is>
      </c>
      <c r="B6" s="16" t="inlineStr">
        <is>
          <t>US</t>
        </is>
      </c>
      <c r="C6" s="16" t="inlineStr">
        <is>
          <t>DR</t>
        </is>
      </c>
      <c r="D6" s="16">
        <f>Request!$B$17</f>
        <v/>
      </c>
      <c r="E6" s="16">
        <f>Request!$B$18</f>
        <v/>
      </c>
      <c r="F6" s="16">
        <f>IF(B6=Request!$B$4,1,0)</f>
        <v/>
      </c>
      <c r="G6" s="18">
        <f>IF(Request!$B$17=0,0,MIN(IF(OR(Request!$B$8="",Request!$C$8=""),1,IF(MIN(SUMIFS(Capacity_By_SKU!$K:$K,Capacity_By_SKU!$A:$A,$A6,Capacity_By_SKU!$C:$C,"DR",Capacity_By_SKU!$D:$D,Request!$B$8),SUMIFS(Quota_Groups!$G:$G,Quota_Groups!$B:$B,$A6,Quota_Groups!$D:$D,IFERROR(VLOOKUP(Request!$B$8,SKU_Family_Map!$A:$B,2,FALSE),"")))&gt;=Request!$E$8,1,0)),IF(OR(Request!$B$9="",Request!$C$9=""),1,IF(MIN(SUMIFS(Capacity_By_SKU!$K:$K,Capacity_By_SKU!$A:$A,$A6,Capacity_By_SKU!$C:$C,"DR",Capacity_By_SKU!$D:$D,Request!$B$9),SUMIFS(Quota_Groups!$G:$G,Quota_Groups!$B:$B,$A6,Quota_Groups!$D:$D,IFERROR(VLOOKUP(Request!$B$9,SKU_Family_Map!$A:$B,2,FALSE),"")))&gt;=Request!$E$9,1,0)),IF(OR(Request!$B$10="",Request!$C$10=""),1,IF(MIN(SUMIFS(Capacity_By_SKU!$K:$K,Capacity_By_SKU!$A:$A,$A6,Capacity_By_SKU!$C:$C,"DR",Capacity_By_SKU!$D:$D,Request!$B$10),SUMIFS(Quota_Groups!$G:$G,Quota_Groups!$B:$B,$A6,Quota_Groups!$D:$D,IFERROR(VLOOKUP(Request!$B$10,SKU_Family_Map!$A:$B,2,FALSE),"")))&gt;=Request!$E$10,1,0)),IF(OR(Request!$B$11="",Request!$C$11=""),1,IF(MIN(SUMIFS(Capacity_By_SKU!$K:$K,Capacity_By_SKU!$A:$A,$A6,Capacity_By_SKU!$C:$C,"DR",Capacity_By_SKU!$D:$D,Request!$B$11),SUMIFS(Quota_Groups!$G:$G,Quota_Groups!$B:$B,$A6,Quota_Groups!$D:$D,IFERROR(VLOOKUP(Request!$B$11,SKU_Family_Map!$A:$B,2,FALSE),"")))&gt;=Request!$E$11,1,0)),IF(OR(Request!$B$12="",Request!$C$12=""),1,IF(MIN(SUMIFS(Capacity_By_SKU!$K:$K,Capacity_By_SKU!$A:$A,$A6,Capacity_By_SKU!$C:$C,"DR",Capacity_By_SKU!$D:$D,Request!$B$12),SUMIFS(Quota_Groups!$G:$G,Quota_Groups!$B:$B,$A6,Quota_Groups!$D:$D,IFERROR(VLOOKUP(Request!$B$12,SKU_Family_Map!$A:$B,2,FALSE),"")))&gt;=Request!$E$12,1,0)),IF(OR(Request!$B$13="",Request!$C$13=""),1,IF(MIN(SUMIFS(Capacity_By_SKU!$K:$K,Capacity_By_SKU!$A:$A,$A6,Capacity_By_SKU!$C:$C,"DR",Capacity_By_SKU!$D:$D,Request!$B$13),SUMIFS(Quota_Groups!$G:$G,Quota_Groups!$B:$B,$A6,Quota_Groups!$D:$D,IFERROR(VLOOKUP(Request!$B$13,SKU_Family_Map!$A:$B,2,FALSE),"")))&gt;=Request!$E$13,1,0)),IF(OR(Request!$B$14="",Request!$C$14=""),1,IF(MIN(SUMIFS(Capacity_By_SKU!$K:$K,Capacity_By_SKU!$A:$A,$A6,Capacity_By_SKU!$C:$C,"DR",Capacity_By_SKU!$D:$D,Request!$B$14),SUMIFS(Quota_Groups!$G:$G,Quota_Groups!$B:$B,$A6,Quota_Groups!$D:$D,IFERROR(VLOOKUP(Request!$B$14,SKU_Family_Map!$A:$B,2,FALSE),"")))&gt;=Request!$E$14,1,0)),IF(OR(Request!$B$15="",Request!$C$15=""),1,IF(MIN(SUMIFS(Capacity_By_SKU!$K:$K,Capacity_By_SKU!$A:$A,$A6,Capacity_By_SKU!$C:$C,"DR",Capacity_By_SKU!$D:$D,Request!$B$15),SUMIFS(Quota_Groups!$G:$G,Quota_Groups!$B:$B,$A6,Quota_Groups!$D:$D,IFERROR(VLOOKUP(Request!$B$15,SKU_Family_Map!$A:$B,2,FALSE),"")))&gt;=Request!$E$15,1,0))))</f>
        <v/>
      </c>
      <c r="H6" s="12">
        <f>IF(Request!$B$17=0,"NO_REQUEST",IF(SUM(IF(AND(Request!$B$8&lt;&gt;"",Request!$C$8&lt;&gt;"",SUMIFS(Capacity_By_SKU!$K:$K,Capacity_By_SKU!$A:$A,$A6,Capacity_By_SKU!$C:$C,"DR",Capacity_By_SKU!$D:$D,Request!$B$8)&lt;=0),1,0),IF(AND(Request!$B$9&lt;&gt;"",Request!$C$9&lt;&gt;"",SUMIFS(Capacity_By_SKU!$K:$K,Capacity_By_SKU!$A:$A,$A6,Capacity_By_SKU!$C:$C,"DR",Capacity_By_SKU!$D:$D,Request!$B$9)&lt;=0),1,0),IF(AND(Request!$B$10&lt;&gt;"",Request!$C$10&lt;&gt;"",SUMIFS(Capacity_By_SKU!$K:$K,Capacity_By_SKU!$A:$A,$A6,Capacity_By_SKU!$C:$C,"DR",Capacity_By_SKU!$D:$D,Request!$B$10)&lt;=0),1,0),IF(AND(Request!$B$11&lt;&gt;"",Request!$C$11&lt;&gt;"",SUMIFS(Capacity_By_SKU!$K:$K,Capacity_By_SKU!$A:$A,$A6,Capacity_By_SKU!$C:$C,"DR",Capacity_By_SKU!$D:$D,Request!$B$11)&lt;=0),1,0),IF(AND(Request!$B$12&lt;&gt;"",Request!$C$12&lt;&gt;"",SUMIFS(Capacity_By_SKU!$K:$K,Capacity_By_SKU!$A:$A,$A6,Capacity_By_SKU!$C:$C,"DR",Capacity_By_SKU!$D:$D,Request!$B$12)&lt;=0),1,0),IF(AND(Request!$B$13&lt;&gt;"",Request!$C$13&lt;&gt;"",SUMIFS(Capacity_By_SKU!$K:$K,Capacity_By_SKU!$A:$A,$A6,Capacity_By_SKU!$C:$C,"DR",Capacity_By_SKU!$D:$D,Request!$B$13)&lt;=0),1,0),IF(AND(Request!$B$14&lt;&gt;"",Request!$C$14&lt;&gt;"",SUMIFS(Capacity_By_SKU!$K:$K,Capacity_By_SKU!$A:$A,$A6,Capacity_By_SKU!$C:$C,"DR",Capacity_By_SKU!$D:$D,Request!$B$14)&lt;=0),1,0),IF(AND(Request!$B$15&lt;&gt;"",Request!$C$15&lt;&gt;"",SUMIFS(Capacity_By_SKU!$K:$K,Capacity_By_SKU!$A:$A,$A6,Capacity_By_SKU!$C:$C,"DR",Capacity_By_SKU!$D:$D,Request!$B$15)&lt;=0),1,0))&gt;0,"RESERVATION_DEFICIT",IF(SUM(IF(AND(Request!$B$8&lt;&gt;"",Request!$C$8&lt;&gt;"",SUMIFS(Quota_Groups!$G:$G,Quota_Groups!$B:$B,$A6,Quota_Groups!$D:$D,IFERROR(VLOOKUP(Request!$B$8,SKU_Family_Map!$A:$B,2,FALSE),""))&lt;=0),1,0),IF(AND(Request!$B$9&lt;&gt;"",Request!$C$9&lt;&gt;"",SUMIFS(Quota_Groups!$G:$G,Quota_Groups!$B:$B,$A6,Quota_Groups!$D:$D,IFERROR(VLOOKUP(Request!$B$9,SKU_Family_Map!$A:$B,2,FALSE),""))&lt;=0),1,0),IF(AND(Request!$B$10&lt;&gt;"",Request!$C$10&lt;&gt;"",SUMIFS(Quota_Groups!$G:$G,Quota_Groups!$B:$B,$A6,Quota_Groups!$D:$D,IFERROR(VLOOKUP(Request!$B$10,SKU_Family_Map!$A:$B,2,FALSE),""))&lt;=0),1,0),IF(AND(Request!$B$11&lt;&gt;"",Request!$C$11&lt;&gt;"",SUMIFS(Quota_Groups!$G:$G,Quota_Groups!$B:$B,$A6,Quota_Groups!$D:$D,IFERROR(VLOOKUP(Request!$B$11,SKU_Family_Map!$A:$B,2,FALSE),""))&lt;=0),1,0),IF(AND(Request!$B$12&lt;&gt;"",Request!$C$12&lt;&gt;"",SUMIFS(Quota_Groups!$G:$G,Quota_Groups!$B:$B,$A6,Quota_Groups!$D:$D,IFERROR(VLOOKUP(Request!$B$12,SKU_Family_Map!$A:$B,2,FALSE),""))&lt;=0),1,0),IF(AND(Request!$B$13&lt;&gt;"",Request!$C$13&lt;&gt;"",SUMIFS(Quota_Groups!$G:$G,Quota_Groups!$B:$B,$A6,Quota_Groups!$D:$D,IFERROR(VLOOKUP(Request!$B$13,SKU_Family_Map!$A:$B,2,FALSE),""))&lt;=0),1,0),IF(AND(Request!$B$14&lt;&gt;"",Request!$C$14&lt;&gt;"",SUMIFS(Quota_Groups!$G:$G,Quota_Groups!$B:$B,$A6,Quota_Groups!$D:$D,IFERROR(VLOOKUP(Request!$B$14,SKU_Family_Map!$A:$B,2,FALSE),""))&lt;=0),1,0),IF(AND(Request!$B$15&lt;&gt;"",Request!$C$15&lt;&gt;"",SUMIFS(Quota_Groups!$G:$G,Quota_Groups!$B:$B,$A6,Quota_Groups!$D:$D,IFERROR(VLOOKUP(Request!$B$15,SKU_Family_Map!$A:$B,2,FALSE),""))&lt;=0),1,0))&gt;0,"QUOTA_DEFICIT",IF(G6=0,"CAPACITY_DEFICIT",IF(MIN(IF(OR(Request!$B$8="",Request!$C$8=""),1,IFERROR(1-Request!$E$8/MIN(SUMIFS(Capacity_By_SKU!$K:$K,Capacity_By_SKU!$A:$A,$A6,Capacity_By_SKU!$C:$C,"DR",Capacity_By_SKU!$D:$D,Request!$B$8),SUMIFS(Quota_Groups!$G:$G,Quota_Groups!$B:$B,$A6,Quota_Groups!$D:$D,IFERROR(VLOOKUP(Request!$B$8,SKU_Family_Map!$A:$B,2,FALSE),""))),0)),IF(OR(Request!$B$9="",Request!$C$9=""),1,IFERROR(1-Request!$E$9/MIN(SUMIFS(Capacity_By_SKU!$K:$K,Capacity_By_SKU!$A:$A,$A6,Capacity_By_SKU!$C:$C,"DR",Capacity_By_SKU!$D:$D,Request!$B$9),SUMIFS(Quota_Groups!$G:$G,Quota_Groups!$B:$B,$A6,Quota_Groups!$D:$D,IFERROR(VLOOKUP(Request!$B$9,SKU_Family_Map!$A:$B,2,FALSE),""))),0)),IF(OR(Request!$B$10="",Request!$C$10=""),1,IFERROR(1-Request!$E$10/MIN(SUMIFS(Capacity_By_SKU!$K:$K,Capacity_By_SKU!$A:$A,$A6,Capacity_By_SKU!$C:$C,"DR",Capacity_By_SKU!$D:$D,Request!$B$10),SUMIFS(Quota_Groups!$G:$G,Quota_Groups!$B:$B,$A6,Quota_Groups!$D:$D,IFERROR(VLOOKUP(Request!$B$10,SKU_Family_Map!$A:$B,2,FALSE),""))),0)),IF(OR(Request!$B$11="",Request!$C$11=""),1,IFERROR(1-Request!$E$11/MIN(SUMIFS(Capacity_By_SKU!$K:$K,Capacity_By_SKU!$A:$A,$A6,Capacity_By_SKU!$C:$C,"DR",Capacity_By_SKU!$D:$D,Request!$B$11),SUMIFS(Quota_Groups!$G:$G,Quota_Groups!$B:$B,$A6,Quota_Groups!$D:$D,IFERROR(VLOOKUP(Request!$B$11,SKU_Family_Map!$A:$B,2,FALSE),""))),0)),IF(OR(Request!$B$12="",Request!$C$12=""),1,IFERROR(1-Request!$E$12/MIN(SUMIFS(Capacity_By_SKU!$K:$K,Capacity_By_SKU!$A:$A,$A6,Capacity_By_SKU!$C:$C,"DR",Capacity_By_SKU!$D:$D,Request!$B$12),SUMIFS(Quota_Groups!$G:$G,Quota_Groups!$B:$B,$A6,Quota_Groups!$D:$D,IFERROR(VLOOKUP(Request!$B$12,SKU_Family_Map!$A:$B,2,FALSE),""))),0)),IF(OR(Request!$B$13="",Request!$C$13=""),1,IFERROR(1-Request!$E$13/MIN(SUMIFS(Capacity_By_SKU!$K:$K,Capacity_By_SKU!$A:$A,$A6,Capacity_By_SKU!$C:$C,"DR",Capacity_By_SKU!$D:$D,Request!$B$13),SUMIFS(Quota_Groups!$G:$G,Quota_Groups!$B:$B,$A6,Quota_Groups!$D:$D,IFERROR(VLOOKUP(Request!$B$13,SKU_Family_Map!$A:$B,2,FALSE),""))),0)),IF(OR(Request!$B$14="",Request!$C$14=""),1,IFERROR(1-Request!$E$14/MIN(SUMIFS(Capacity_By_SKU!$K:$K,Capacity_By_SKU!$A:$A,$A6,Capacity_By_SKU!$C:$C,"DR",Capacity_By_SKU!$D:$D,Request!$B$14),SUMIFS(Quota_Groups!$G:$G,Quota_Groups!$B:$B,$A6,Quota_Groups!$D:$D,IFERROR(VLOOKUP(Request!$B$14,SKU_Family_Map!$A:$B,2,FALSE),""))),0)),IF(OR(Request!$B$15="",Request!$C$15=""),1,IFERROR(1-Request!$E$15/MIN(SUMIFS(Capacity_By_SKU!$K:$K,Capacity_By_SKU!$A:$A,$A6,Capacity_By_SKU!$C:$C,"DR",Capacity_By_SKU!$D:$D,Request!$B$15),SUMIFS(Quota_Groups!$G:$G,Quota_Groups!$B:$B,$A6,Quota_Groups!$D:$D,IFERROR(VLOOKUP(Request!$B$15,SKU_Family_Map!$A:$B,2,FALSE),""))),0)))&lt;Policy!$B$10,"READY_WITH_RISK","READY")))))</f>
        <v/>
      </c>
      <c r="I6" s="16">
        <f>IF(AND(F6=1,G6=1,OR(H6="READY",H6="READY_WITH_RISK")),1,0)</f>
        <v/>
      </c>
      <c r="J6" s="16">
        <f>IF(I6=1,MAX(0,MIN(IF(OR(Request!$B$8="",Request!$C$8=""),1,IFERROR(1-Request!$E$8/MIN(SUMIFS(Capacity_By_SKU!$K:$K,Capacity_By_SKU!$A:$A,$A6,Capacity_By_SKU!$C:$C,"DR",Capacity_By_SKU!$D:$D,Request!$B$8),SUMIFS(Quota_Groups!$G:$G,Quota_Groups!$B:$B,$A6,Quota_Groups!$D:$D,IFERROR(VLOOKUP(Request!$B$8,SKU_Family_Map!$A:$B,2,FALSE),""))),0)),IF(OR(Request!$B$9="",Request!$C$9=""),1,IFERROR(1-Request!$E$9/MIN(SUMIFS(Capacity_By_SKU!$K:$K,Capacity_By_SKU!$A:$A,$A6,Capacity_By_SKU!$C:$C,"DR",Capacity_By_SKU!$D:$D,Request!$B$9),SUMIFS(Quota_Groups!$G:$G,Quota_Groups!$B:$B,$A6,Quota_Groups!$D:$D,IFERROR(VLOOKUP(Request!$B$9,SKU_Family_Map!$A:$B,2,FALSE),""))),0)),IF(OR(Request!$B$10="",Request!$C$10=""),1,IFERROR(1-Request!$E$10/MIN(SUMIFS(Capacity_By_SKU!$K:$K,Capacity_By_SKU!$A:$A,$A6,Capacity_By_SKU!$C:$C,"DR",Capacity_By_SKU!$D:$D,Request!$B$10),SUMIFS(Quota_Groups!$G:$G,Quota_Groups!$B:$B,$A6,Quota_Groups!$D:$D,IFERROR(VLOOKUP(Request!$B$10,SKU_Family_Map!$A:$B,2,FALSE),""))),0)),IF(OR(Request!$B$11="",Request!$C$11=""),1,IFERROR(1-Request!$E$11/MIN(SUMIFS(Capacity_By_SKU!$K:$K,Capacity_By_SKU!$A:$A,$A6,Capacity_By_SKU!$C:$C,"DR",Capacity_By_SKU!$D:$D,Request!$B$11),SUMIFS(Quota_Groups!$G:$G,Quota_Groups!$B:$B,$A6,Quota_Groups!$D:$D,IFERROR(VLOOKUP(Request!$B$11,SKU_Family_Map!$A:$B,2,FALSE),""))),0)),IF(OR(Request!$B$12="",Request!$C$12=""),1,IFERROR(1-Request!$E$12/MIN(SUMIFS(Capacity_By_SKU!$K:$K,Capacity_By_SKU!$A:$A,$A6,Capacity_By_SKU!$C:$C,"DR",Capacity_By_SKU!$D:$D,Request!$B$12),SUMIFS(Quota_Groups!$G:$G,Quota_Groups!$B:$B,$A6,Quota_Groups!$D:$D,IFERROR(VLOOKUP(Request!$B$12,SKU_Family_Map!$A:$B,2,FALSE),""))),0)),IF(OR(Request!$B$13="",Request!$C$13=""),1,IFERROR(1-Request!$E$13/MIN(SUMIFS(Capacity_By_SKU!$K:$K,Capacity_By_SKU!$A:$A,$A6,Capacity_By_SKU!$C:$C,"DR",Capacity_By_SKU!$D:$D,Request!$B$13),SUMIFS(Quota_Groups!$G:$G,Quota_Groups!$B:$B,$A6,Quota_Groups!$D:$D,IFERROR(VLOOKUP(Request!$B$13,SKU_Family_Map!$A:$B,2,FALSE),""))),0)),IF(OR(Request!$B$14="",Request!$C$14=""),1,IFERROR(1-Request!$E$14/MIN(SUMIFS(Capacity_By_SKU!$K:$K,Capacity_By_SKU!$A:$A,$A6,Capacity_By_SKU!$C:$C,"DR",Capacity_By_SKU!$D:$D,Request!$B$14),SUMIFS(Quota_Groups!$G:$G,Quota_Groups!$B:$B,$A6,Quota_Groups!$D:$D,IFERROR(VLOOKUP(Request!$B$14,SKU_Family_Map!$A:$B,2,FALSE),""))),0)),IF(OR(Request!$B$15="",Request!$C$15=""),1,IFERROR(1-Request!$E$15/MIN(SUMIFS(Capacity_By_SKU!$K:$K,Capacity_By_SKU!$A:$A,$A6,Capacity_By_SKU!$C:$C,"DR",Capacity_By_SKU!$D:$D,Request!$B$15),SUMIFS(Quota_Groups!$G:$G,Quota_Groups!$B:$B,$A6,Quota_Groups!$D:$D,IFERROR(VLOOKUP(Request!$B$15,SKU_Family_Map!$A:$B,2,FALSE),""))),0)))),0)</f>
        <v/>
      </c>
      <c r="K6" s="16">
        <f>IF(I6=1,MAX(0,MIN(IF(OR(Request!$B$8="",Request!$C$8=""),1,IFERROR(SUMIFS(Quota_Groups!$G:$G,Quota_Groups!$B:$B,$A6,Quota_Groups!$D:$D,IFERROR(VLOOKUP(Request!$B$8,SKU_Family_Map!$A:$B,2,FALSE),""))/MAX(SUMIFS(Quota_Groups!$E:$E,Quota_Groups!$B:$B,$A6,Quota_Groups!$D:$D,IFERROR(VLOOKUP(Request!$B$8,SKU_Family_Map!$A:$B,2,FALSE),"")),1),0)),IF(OR(Request!$B$9="",Request!$C$9=""),1,IFERROR(SUMIFS(Quota_Groups!$G:$G,Quota_Groups!$B:$B,$A6,Quota_Groups!$D:$D,IFERROR(VLOOKUP(Request!$B$9,SKU_Family_Map!$A:$B,2,FALSE),""))/MAX(SUMIFS(Quota_Groups!$E:$E,Quota_Groups!$B:$B,$A6,Quota_Groups!$D:$D,IFERROR(VLOOKUP(Request!$B$9,SKU_Family_Map!$A:$B,2,FALSE),"")),1),0)),IF(OR(Request!$B$10="",Request!$C$10=""),1,IFERROR(SUMIFS(Quota_Groups!$G:$G,Quota_Groups!$B:$B,$A6,Quota_Groups!$D:$D,IFERROR(VLOOKUP(Request!$B$10,SKU_Family_Map!$A:$B,2,FALSE),""))/MAX(SUMIFS(Quota_Groups!$E:$E,Quota_Groups!$B:$B,$A6,Quota_Groups!$D:$D,IFERROR(VLOOKUP(Request!$B$10,SKU_Family_Map!$A:$B,2,FALSE),"")),1),0)),IF(OR(Request!$B$11="",Request!$C$11=""),1,IFERROR(SUMIFS(Quota_Groups!$G:$G,Quota_Groups!$B:$B,$A6,Quota_Groups!$D:$D,IFERROR(VLOOKUP(Request!$B$11,SKU_Family_Map!$A:$B,2,FALSE),""))/MAX(SUMIFS(Quota_Groups!$E:$E,Quota_Groups!$B:$B,$A6,Quota_Groups!$D:$D,IFERROR(VLOOKUP(Request!$B$11,SKU_Family_Map!$A:$B,2,FALSE),"")),1),0)),IF(OR(Request!$B$12="",Request!$C$12=""),1,IFERROR(SUMIFS(Quota_Groups!$G:$G,Quota_Groups!$B:$B,$A6,Quota_Groups!$D:$D,IFERROR(VLOOKUP(Request!$B$12,SKU_Family_Map!$A:$B,2,FALSE),""))/MAX(SUMIFS(Quota_Groups!$E:$E,Quota_Groups!$B:$B,$A6,Quota_Groups!$D:$D,IFERROR(VLOOKUP(Request!$B$12,SKU_Family_Map!$A:$B,2,FALSE),"")),1),0)),IF(OR(Request!$B$13="",Request!$C$13=""),1,IFERROR(SUMIFS(Quota_Groups!$G:$G,Quota_Groups!$B:$B,$A6,Quota_Groups!$D:$D,IFERROR(VLOOKUP(Request!$B$13,SKU_Family_Map!$A:$B,2,FALSE),""))/MAX(SUMIFS(Quota_Groups!$E:$E,Quota_Groups!$B:$B,$A6,Quota_Groups!$D:$D,IFERROR(VLOOKUP(Request!$B$13,SKU_Family_Map!$A:$B,2,FALSE),"")),1),0)),IF(OR(Request!$B$14="",Request!$C$14=""),1,IFERROR(SUMIFS(Quota_Groups!$G:$G,Quota_Groups!$B:$B,$A6,Quota_Groups!$D:$D,IFERROR(VLOOKUP(Request!$B$14,SKU_Family_Map!$A:$B,2,FALSE),""))/MAX(SUMIFS(Quota_Groups!$E:$E,Quota_Groups!$B:$B,$A6,Quota_Groups!$D:$D,IFERROR(VLOOKUP(Request!$B$14,SKU_Family_Map!$A:$B,2,FALSE),"")),1),0)),IF(OR(Request!$B$15="",Request!$C$15=""),1,IFERROR(SUMIFS(Quota_Groups!$G:$G,Quota_Groups!$B:$B,$A6,Quota_Groups!$D:$D,IFERROR(VLOOKUP(Request!$B$15,SKU_Family_Map!$A:$B,2,FALSE),""))/MAX(SUMIFS(Quota_Groups!$E:$E,Quota_Groups!$B:$B,$A6,Quota_Groups!$D:$D,IFERROR(VLOOKUP(Request!$B$15,SKU_Family_Map!$A:$B,2,FALSE),"")),1),0)))),0)</f>
        <v/>
      </c>
      <c r="L6" s="16">
        <f>IF(I6=1,MAX(0,MIN(IF(OR(Request!$B$8="",Request!$C$8=""),1,IFERROR(SUMIFS(Capacity_By_SKU!$K:$K,Capacity_By_SKU!$A:$A,$A6,Capacity_By_SKU!$C:$C,"DR",Capacity_By_SKU!$D:$D,Request!$B$8)/MAX(SUMIFS(Capacity_By_SKU!$J:$J,Capacity_By_SKU!$A:$A,$A6,Capacity_By_SKU!$C:$C,"DR",Capacity_By_SKU!$D:$D,Request!$B$8),1),0)),IF(OR(Request!$B$9="",Request!$C$9=""),1,IFERROR(SUMIFS(Capacity_By_SKU!$K:$K,Capacity_By_SKU!$A:$A,$A6,Capacity_By_SKU!$C:$C,"DR",Capacity_By_SKU!$D:$D,Request!$B$9)/MAX(SUMIFS(Capacity_By_SKU!$J:$J,Capacity_By_SKU!$A:$A,$A6,Capacity_By_SKU!$C:$C,"DR",Capacity_By_SKU!$D:$D,Request!$B$9),1),0)),IF(OR(Request!$B$10="",Request!$C$10=""),1,IFERROR(SUMIFS(Capacity_By_SKU!$K:$K,Capacity_By_SKU!$A:$A,$A6,Capacity_By_SKU!$C:$C,"DR",Capacity_By_SKU!$D:$D,Request!$B$10)/MAX(SUMIFS(Capacity_By_SKU!$J:$J,Capacity_By_SKU!$A:$A,$A6,Capacity_By_SKU!$C:$C,"DR",Capacity_By_SKU!$D:$D,Request!$B$10),1),0)),IF(OR(Request!$B$11="",Request!$C$11=""),1,IFERROR(SUMIFS(Capacity_By_SKU!$K:$K,Capacity_By_SKU!$A:$A,$A6,Capacity_By_SKU!$C:$C,"DR",Capacity_By_SKU!$D:$D,Request!$B$11)/MAX(SUMIFS(Capacity_By_SKU!$J:$J,Capacity_By_SKU!$A:$A,$A6,Capacity_By_SKU!$C:$C,"DR",Capacity_By_SKU!$D:$D,Request!$B$11),1),0)),IF(OR(Request!$B$12="",Request!$C$12=""),1,IFERROR(SUMIFS(Capacity_By_SKU!$K:$K,Capacity_By_SKU!$A:$A,$A6,Capacity_By_SKU!$C:$C,"DR",Capacity_By_SKU!$D:$D,Request!$B$12)/MAX(SUMIFS(Capacity_By_SKU!$J:$J,Capacity_By_SKU!$A:$A,$A6,Capacity_By_SKU!$C:$C,"DR",Capacity_By_SKU!$D:$D,Request!$B$12),1),0)),IF(OR(Request!$B$13="",Request!$C$13=""),1,IFERROR(SUMIFS(Capacity_By_SKU!$K:$K,Capacity_By_SKU!$A:$A,$A6,Capacity_By_SKU!$C:$C,"DR",Capacity_By_SKU!$D:$D,Request!$B$13)/MAX(SUMIFS(Capacity_By_SKU!$J:$J,Capacity_By_SKU!$A:$A,$A6,Capacity_By_SKU!$C:$C,"DR",Capacity_By_SKU!$D:$D,Request!$B$13),1),0)),IF(OR(Request!$B$14="",Request!$C$14=""),1,IFERROR(SUMIFS(Capacity_By_SKU!$K:$K,Capacity_By_SKU!$A:$A,$A6,Capacity_By_SKU!$C:$C,"DR",Capacity_By_SKU!$D:$D,Request!$B$14)/MAX(SUMIFS(Capacity_By_SKU!$J:$J,Capacity_By_SKU!$A:$A,$A6,Capacity_By_SKU!$C:$C,"DR",Capacity_By_SKU!$D:$D,Request!$B$14),1),0)),IF(OR(Request!$B$15="",Request!$C$15=""),1,IFERROR(SUMIFS(Capacity_By_SKU!$K:$K,Capacity_By_SKU!$A:$A,$A6,Capacity_By_SKU!$C:$C,"DR",Capacity_By_SKU!$D:$D,Request!$B$15)/MAX(SUMIFS(Capacity_By_SKU!$J:$J,Capacity_By_SKU!$A:$A,$A6,Capacity_By_SKU!$C:$C,"DR",Capacity_By_SKU!$D:$D,Request!$B$15),1),0)))),0)</f>
        <v/>
      </c>
      <c r="M6" s="22">
        <f>IF(I6=1,ROUND(Policy!$B$4*J6+Policy!$B$5*K6+Policy!$B$6*L6,4),"")</f>
        <v/>
      </c>
      <c r="N6" s="16">
        <f>IF(I6=1,SUMPRODUCT(($I$4:$I$11=1)*($M$4:$M$11&gt;M6))+1,"")</f>
        <v/>
      </c>
      <c r="O6" s="16">
        <f>IF(I6=0,"N/A",IF(MIN(IF(OR(Request!$B$8="",Request!$C$8=""),1,IFERROR(SUMIFS(Capacity_By_SKU!$K:$K,Capacity_By_SKU!$A:$A,$A6,Capacity_By_SKU!$C:$C,"DR",Capacity_By_SKU!$D:$D,Request!$B$8)/MAX(SUMIFS(Capacity_By_SKU!$J:$J,Capacity_By_SKU!$A:$A,$A6,Capacity_By_SKU!$C:$C,"DR",Capacity_By_SKU!$D:$D,Request!$B$8),1),0)),IF(OR(Request!$B$9="",Request!$C$9=""),1,IFERROR(SUMIFS(Capacity_By_SKU!$K:$K,Capacity_By_SKU!$A:$A,$A6,Capacity_By_SKU!$C:$C,"DR",Capacity_By_SKU!$D:$D,Request!$B$9)/MAX(SUMIFS(Capacity_By_SKU!$J:$J,Capacity_By_SKU!$A:$A,$A6,Capacity_By_SKU!$C:$C,"DR",Capacity_By_SKU!$D:$D,Request!$B$9),1),0)),IF(OR(Request!$B$10="",Request!$C$10=""),1,IFERROR(SUMIFS(Capacity_By_SKU!$K:$K,Capacity_By_SKU!$A:$A,$A6,Capacity_By_SKU!$C:$C,"DR",Capacity_By_SKU!$D:$D,Request!$B$10)/MAX(SUMIFS(Capacity_By_SKU!$J:$J,Capacity_By_SKU!$A:$A,$A6,Capacity_By_SKU!$C:$C,"DR",Capacity_By_SKU!$D:$D,Request!$B$10),1),0)),IF(OR(Request!$B$11="",Request!$C$11=""),1,IFERROR(SUMIFS(Capacity_By_SKU!$K:$K,Capacity_By_SKU!$A:$A,$A6,Capacity_By_SKU!$C:$C,"DR",Capacity_By_SKU!$D:$D,Request!$B$11)/MAX(SUMIFS(Capacity_By_SKU!$J:$J,Capacity_By_SKU!$A:$A,$A6,Capacity_By_SKU!$C:$C,"DR",Capacity_By_SKU!$D:$D,Request!$B$11),1),0)),IF(OR(Request!$B$12="",Request!$C$12=""),1,IFERROR(SUMIFS(Capacity_By_SKU!$K:$K,Capacity_By_SKU!$A:$A,$A6,Capacity_By_SKU!$C:$C,"DR",Capacity_By_SKU!$D:$D,Request!$B$12)/MAX(SUMIFS(Capacity_By_SKU!$J:$J,Capacity_By_SKU!$A:$A,$A6,Capacity_By_SKU!$C:$C,"DR",Capacity_By_SKU!$D:$D,Request!$B$12),1),0)),IF(OR(Request!$B$13="",Request!$C$13=""),1,IFERROR(SUMIFS(Capacity_By_SKU!$K:$K,Capacity_By_SKU!$A:$A,$A6,Capacity_By_SKU!$C:$C,"DR",Capacity_By_SKU!$D:$D,Request!$B$13)/MAX(SUMIFS(Capacity_By_SKU!$J:$J,Capacity_By_SKU!$A:$A,$A6,Capacity_By_SKU!$C:$C,"DR",Capacity_By_SKU!$D:$D,Request!$B$13),1),0)),IF(OR(Request!$B$14="",Request!$C$14=""),1,IFERROR(SUMIFS(Capacity_By_SKU!$K:$K,Capacity_By_SKU!$A:$A,$A6,Capacity_By_SKU!$C:$C,"DR",Capacity_By_SKU!$D:$D,Request!$B$14)/MAX(SUMIFS(Capacity_By_SKU!$J:$J,Capacity_By_SKU!$A:$A,$A6,Capacity_By_SKU!$C:$C,"DR",Capacity_By_SKU!$D:$D,Request!$B$14),1),0)),IF(OR(Request!$B$15="",Request!$C$15=""),1,IFERROR(SUMIFS(Capacity_By_SKU!$K:$K,Capacity_By_SKU!$A:$A,$A6,Capacity_By_SKU!$C:$C,"DR",Capacity_By_SKU!$D:$D,Request!$B$15)/MAX(SUMIFS(Capacity_By_SKU!$J:$J,Capacity_By_SKU!$A:$A,$A6,Capacity_By_SKU!$C:$C,"DR",Capacity_By_SKU!$D:$D,Request!$B$15),1),0)))&lt;=MIN(IF(OR(Request!$B$8="",Request!$C$8=""),1,IFERROR(SUMIFS(Quota_Groups!$G:$G,Quota_Groups!$B:$B,$A6,Quota_Groups!$D:$D,IFERROR(VLOOKUP(Request!$B$8,SKU_Family_Map!$A:$B,2,FALSE),""))/MAX(SUMIFS(Quota_Groups!$E:$E,Quota_Groups!$B:$B,$A6,Quota_Groups!$D:$D,IFERROR(VLOOKUP(Request!$B$8,SKU_Family_Map!$A:$B,2,FALSE),"")),1),0)),IF(OR(Request!$B$9="",Request!$C$9=""),1,IFERROR(SUMIFS(Quota_Groups!$G:$G,Quota_Groups!$B:$B,$A6,Quota_Groups!$D:$D,IFERROR(VLOOKUP(Request!$B$9,SKU_Family_Map!$A:$B,2,FALSE),""))/MAX(SUMIFS(Quota_Groups!$E:$E,Quota_Groups!$B:$B,$A6,Quota_Groups!$D:$D,IFERROR(VLOOKUP(Request!$B$9,SKU_Family_Map!$A:$B,2,FALSE),"")),1),0)),IF(OR(Request!$B$10="",Request!$C$10=""),1,IFERROR(SUMIFS(Quota_Groups!$G:$G,Quota_Groups!$B:$B,$A6,Quota_Groups!$D:$D,IFERROR(VLOOKUP(Request!$B$10,SKU_Family_Map!$A:$B,2,FALSE),""))/MAX(SUMIFS(Quota_Groups!$E:$E,Quota_Groups!$B:$B,$A6,Quota_Groups!$D:$D,IFERROR(VLOOKUP(Request!$B$10,SKU_Family_Map!$A:$B,2,FALSE),"")),1),0)),IF(OR(Request!$B$11="",Request!$C$11=""),1,IFERROR(SUMIFS(Quota_Groups!$G:$G,Quota_Groups!$B:$B,$A6,Quota_Groups!$D:$D,IFERROR(VLOOKUP(Request!$B$11,SKU_Family_Map!$A:$B,2,FALSE),""))/MAX(SUMIFS(Quota_Groups!$E:$E,Quota_Groups!$B:$B,$A6,Quota_Groups!$D:$D,IFERROR(VLOOKUP(Request!$B$11,SKU_Family_Map!$A:$B,2,FALSE),"")),1),0)),IF(OR(Request!$B$12="",Request!$C$12=""),1,IFERROR(SUMIFS(Quota_Groups!$G:$G,Quota_Groups!$B:$B,$A6,Quota_Groups!$D:$D,IFERROR(VLOOKUP(Request!$B$12,SKU_Family_Map!$A:$B,2,FALSE),""))/MAX(SUMIFS(Quota_Groups!$E:$E,Quota_Groups!$B:$B,$A6,Quota_Groups!$D:$D,IFERROR(VLOOKUP(Request!$B$12,SKU_Family_Map!$A:$B,2,FALSE),"")),1),0)),IF(OR(Request!$B$13="",Request!$C$13=""),1,IFERROR(SUMIFS(Quota_Groups!$G:$G,Quota_Groups!$B:$B,$A6,Quota_Groups!$D:$D,IFERROR(VLOOKUP(Request!$B$13,SKU_Family_Map!$A:$B,2,FALSE),""))/MAX(SUMIFS(Quota_Groups!$E:$E,Quota_Groups!$B:$B,$A6,Quota_Groups!$D:$D,IFERROR(VLOOKUP(Request!$B$13,SKU_Family_Map!$A:$B,2,FALSE),"")),1),0)),IF(OR(Request!$B$14="",Request!$C$14=""),1,IFERROR(SUMIFS(Quota_Groups!$G:$G,Quota_Groups!$B:$B,$A6,Quota_Groups!$D:$D,IFERROR(VLOOKUP(Request!$B$14,SKU_Family_Map!$A:$B,2,FALSE),""))/MAX(SUMIFS(Quota_Groups!$E:$E,Quota_Groups!$B:$B,$A6,Quota_Groups!$D:$D,IFERROR(VLOOKUP(Request!$B$14,SKU_Family_Map!$A:$B,2,FALSE),"")),1),0)),IF(OR(Request!$B$15="",Request!$C$15=""),1,IFERROR(SUMIFS(Quota_Groups!$G:$G,Quota_Groups!$B:$B,$A6,Quota_Groups!$D:$D,IFERROR(VLOOKUP(Request!$B$15,SKU_Family_Map!$A:$B,2,FALSE),""))/MAX(SUMIFS(Quota_Groups!$E:$E,Quota_Groups!$B:$B,$A6,Quota_Groups!$D:$D,IFERROR(VLOOKUP(Request!$B$15,SKU_Family_Map!$A:$B,2,FALSE),"")),1),0))),"CAPACITY","QUOTA"))</f>
        <v/>
      </c>
    </row>
    <row r="7">
      <c r="A7" s="12" t="inlineStr">
        <is>
          <t>East US 2</t>
        </is>
      </c>
      <c r="B7" s="16" t="inlineStr">
        <is>
          <t>US</t>
        </is>
      </c>
      <c r="C7" s="16" t="inlineStr">
        <is>
          <t>DR</t>
        </is>
      </c>
      <c r="D7" s="16">
        <f>Request!$B$17</f>
        <v/>
      </c>
      <c r="E7" s="16">
        <f>Request!$B$18</f>
        <v/>
      </c>
      <c r="F7" s="16">
        <f>IF(B7=Request!$B$4,1,0)</f>
        <v/>
      </c>
      <c r="G7" s="18">
        <f>IF(Request!$B$17=0,0,MIN(IF(OR(Request!$B$8="",Request!$C$8=""),1,IF(MIN(SUMIFS(Capacity_By_SKU!$K:$K,Capacity_By_SKU!$A:$A,$A7,Capacity_By_SKU!$C:$C,"DR",Capacity_By_SKU!$D:$D,Request!$B$8),SUMIFS(Quota_Groups!$G:$G,Quota_Groups!$B:$B,$A7,Quota_Groups!$D:$D,IFERROR(VLOOKUP(Request!$B$8,SKU_Family_Map!$A:$B,2,FALSE),"")))&gt;=Request!$E$8,1,0)),IF(OR(Request!$B$9="",Request!$C$9=""),1,IF(MIN(SUMIFS(Capacity_By_SKU!$K:$K,Capacity_By_SKU!$A:$A,$A7,Capacity_By_SKU!$C:$C,"DR",Capacity_By_SKU!$D:$D,Request!$B$9),SUMIFS(Quota_Groups!$G:$G,Quota_Groups!$B:$B,$A7,Quota_Groups!$D:$D,IFERROR(VLOOKUP(Request!$B$9,SKU_Family_Map!$A:$B,2,FALSE),"")))&gt;=Request!$E$9,1,0)),IF(OR(Request!$B$10="",Request!$C$10=""),1,IF(MIN(SUMIFS(Capacity_By_SKU!$K:$K,Capacity_By_SKU!$A:$A,$A7,Capacity_By_SKU!$C:$C,"DR",Capacity_By_SKU!$D:$D,Request!$B$10),SUMIFS(Quota_Groups!$G:$G,Quota_Groups!$B:$B,$A7,Quota_Groups!$D:$D,IFERROR(VLOOKUP(Request!$B$10,SKU_Family_Map!$A:$B,2,FALSE),"")))&gt;=Request!$E$10,1,0)),IF(OR(Request!$B$11="",Request!$C$11=""),1,IF(MIN(SUMIFS(Capacity_By_SKU!$K:$K,Capacity_By_SKU!$A:$A,$A7,Capacity_By_SKU!$C:$C,"DR",Capacity_By_SKU!$D:$D,Request!$B$11),SUMIFS(Quota_Groups!$G:$G,Quota_Groups!$B:$B,$A7,Quota_Groups!$D:$D,IFERROR(VLOOKUP(Request!$B$11,SKU_Family_Map!$A:$B,2,FALSE),"")))&gt;=Request!$E$11,1,0)),IF(OR(Request!$B$12="",Request!$C$12=""),1,IF(MIN(SUMIFS(Capacity_By_SKU!$K:$K,Capacity_By_SKU!$A:$A,$A7,Capacity_By_SKU!$C:$C,"DR",Capacity_By_SKU!$D:$D,Request!$B$12),SUMIFS(Quota_Groups!$G:$G,Quota_Groups!$B:$B,$A7,Quota_Groups!$D:$D,IFERROR(VLOOKUP(Request!$B$12,SKU_Family_Map!$A:$B,2,FALSE),"")))&gt;=Request!$E$12,1,0)),IF(OR(Request!$B$13="",Request!$C$13=""),1,IF(MIN(SUMIFS(Capacity_By_SKU!$K:$K,Capacity_By_SKU!$A:$A,$A7,Capacity_By_SKU!$C:$C,"DR",Capacity_By_SKU!$D:$D,Request!$B$13),SUMIFS(Quota_Groups!$G:$G,Quota_Groups!$B:$B,$A7,Quota_Groups!$D:$D,IFERROR(VLOOKUP(Request!$B$13,SKU_Family_Map!$A:$B,2,FALSE),"")))&gt;=Request!$E$13,1,0)),IF(OR(Request!$B$14="",Request!$C$14=""),1,IF(MIN(SUMIFS(Capacity_By_SKU!$K:$K,Capacity_By_SKU!$A:$A,$A7,Capacity_By_SKU!$C:$C,"DR",Capacity_By_SKU!$D:$D,Request!$B$14),SUMIFS(Quota_Groups!$G:$G,Quota_Groups!$B:$B,$A7,Quota_Groups!$D:$D,IFERROR(VLOOKUP(Request!$B$14,SKU_Family_Map!$A:$B,2,FALSE),"")))&gt;=Request!$E$14,1,0)),IF(OR(Request!$B$15="",Request!$C$15=""),1,IF(MIN(SUMIFS(Capacity_By_SKU!$K:$K,Capacity_By_SKU!$A:$A,$A7,Capacity_By_SKU!$C:$C,"DR",Capacity_By_SKU!$D:$D,Request!$B$15),SUMIFS(Quota_Groups!$G:$G,Quota_Groups!$B:$B,$A7,Quota_Groups!$D:$D,IFERROR(VLOOKUP(Request!$B$15,SKU_Family_Map!$A:$B,2,FALSE),"")))&gt;=Request!$E$15,1,0))))</f>
        <v/>
      </c>
      <c r="H7" s="12">
        <f>IF(Request!$B$17=0,"NO_REQUEST",IF(SUM(IF(AND(Request!$B$8&lt;&gt;"",Request!$C$8&lt;&gt;"",SUMIFS(Capacity_By_SKU!$K:$K,Capacity_By_SKU!$A:$A,$A7,Capacity_By_SKU!$C:$C,"DR",Capacity_By_SKU!$D:$D,Request!$B$8)&lt;=0),1,0),IF(AND(Request!$B$9&lt;&gt;"",Request!$C$9&lt;&gt;"",SUMIFS(Capacity_By_SKU!$K:$K,Capacity_By_SKU!$A:$A,$A7,Capacity_By_SKU!$C:$C,"DR",Capacity_By_SKU!$D:$D,Request!$B$9)&lt;=0),1,0),IF(AND(Request!$B$10&lt;&gt;"",Request!$C$10&lt;&gt;"",SUMIFS(Capacity_By_SKU!$K:$K,Capacity_By_SKU!$A:$A,$A7,Capacity_By_SKU!$C:$C,"DR",Capacity_By_SKU!$D:$D,Request!$B$10)&lt;=0),1,0),IF(AND(Request!$B$11&lt;&gt;"",Request!$C$11&lt;&gt;"",SUMIFS(Capacity_By_SKU!$K:$K,Capacity_By_SKU!$A:$A,$A7,Capacity_By_SKU!$C:$C,"DR",Capacity_By_SKU!$D:$D,Request!$B$11)&lt;=0),1,0),IF(AND(Request!$B$12&lt;&gt;"",Request!$C$12&lt;&gt;"",SUMIFS(Capacity_By_SKU!$K:$K,Capacity_By_SKU!$A:$A,$A7,Capacity_By_SKU!$C:$C,"DR",Capacity_By_SKU!$D:$D,Request!$B$12)&lt;=0),1,0),IF(AND(Request!$B$13&lt;&gt;"",Request!$C$13&lt;&gt;"",SUMIFS(Capacity_By_SKU!$K:$K,Capacity_By_SKU!$A:$A,$A7,Capacity_By_SKU!$C:$C,"DR",Capacity_By_SKU!$D:$D,Request!$B$13)&lt;=0),1,0),IF(AND(Request!$B$14&lt;&gt;"",Request!$C$14&lt;&gt;"",SUMIFS(Capacity_By_SKU!$K:$K,Capacity_By_SKU!$A:$A,$A7,Capacity_By_SKU!$C:$C,"DR",Capacity_By_SKU!$D:$D,Request!$B$14)&lt;=0),1,0),IF(AND(Request!$B$15&lt;&gt;"",Request!$C$15&lt;&gt;"",SUMIFS(Capacity_By_SKU!$K:$K,Capacity_By_SKU!$A:$A,$A7,Capacity_By_SKU!$C:$C,"DR",Capacity_By_SKU!$D:$D,Request!$B$15)&lt;=0),1,0))&gt;0,"RESERVATION_DEFICIT",IF(SUM(IF(AND(Request!$B$8&lt;&gt;"",Request!$C$8&lt;&gt;"",SUMIFS(Quota_Groups!$G:$G,Quota_Groups!$B:$B,$A7,Quota_Groups!$D:$D,IFERROR(VLOOKUP(Request!$B$8,SKU_Family_Map!$A:$B,2,FALSE),""))&lt;=0),1,0),IF(AND(Request!$B$9&lt;&gt;"",Request!$C$9&lt;&gt;"",SUMIFS(Quota_Groups!$G:$G,Quota_Groups!$B:$B,$A7,Quota_Groups!$D:$D,IFERROR(VLOOKUP(Request!$B$9,SKU_Family_Map!$A:$B,2,FALSE),""))&lt;=0),1,0),IF(AND(Request!$B$10&lt;&gt;"",Request!$C$10&lt;&gt;"",SUMIFS(Quota_Groups!$G:$G,Quota_Groups!$B:$B,$A7,Quota_Groups!$D:$D,IFERROR(VLOOKUP(Request!$B$10,SKU_Family_Map!$A:$B,2,FALSE),""))&lt;=0),1,0),IF(AND(Request!$B$11&lt;&gt;"",Request!$C$11&lt;&gt;"",SUMIFS(Quota_Groups!$G:$G,Quota_Groups!$B:$B,$A7,Quota_Groups!$D:$D,IFERROR(VLOOKUP(Request!$B$11,SKU_Family_Map!$A:$B,2,FALSE),""))&lt;=0),1,0),IF(AND(Request!$B$12&lt;&gt;"",Request!$C$12&lt;&gt;"",SUMIFS(Quota_Groups!$G:$G,Quota_Groups!$B:$B,$A7,Quota_Groups!$D:$D,IFERROR(VLOOKUP(Request!$B$12,SKU_Family_Map!$A:$B,2,FALSE),""))&lt;=0),1,0),IF(AND(Request!$B$13&lt;&gt;"",Request!$C$13&lt;&gt;"",SUMIFS(Quota_Groups!$G:$G,Quota_Groups!$B:$B,$A7,Quota_Groups!$D:$D,IFERROR(VLOOKUP(Request!$B$13,SKU_Family_Map!$A:$B,2,FALSE),""))&lt;=0),1,0),IF(AND(Request!$B$14&lt;&gt;"",Request!$C$14&lt;&gt;"",SUMIFS(Quota_Groups!$G:$G,Quota_Groups!$B:$B,$A7,Quota_Groups!$D:$D,IFERROR(VLOOKUP(Request!$B$14,SKU_Family_Map!$A:$B,2,FALSE),""))&lt;=0),1,0),IF(AND(Request!$B$15&lt;&gt;"",Request!$C$15&lt;&gt;"",SUMIFS(Quota_Groups!$G:$G,Quota_Groups!$B:$B,$A7,Quota_Groups!$D:$D,IFERROR(VLOOKUP(Request!$B$15,SKU_Family_Map!$A:$B,2,FALSE),""))&lt;=0),1,0))&gt;0,"QUOTA_DEFICIT",IF(G7=0,"CAPACITY_DEFICIT",IF(MIN(IF(OR(Request!$B$8="",Request!$C$8=""),1,IFERROR(1-Request!$E$8/MIN(SUMIFS(Capacity_By_SKU!$K:$K,Capacity_By_SKU!$A:$A,$A7,Capacity_By_SKU!$C:$C,"DR",Capacity_By_SKU!$D:$D,Request!$B$8),SUMIFS(Quota_Groups!$G:$G,Quota_Groups!$B:$B,$A7,Quota_Groups!$D:$D,IFERROR(VLOOKUP(Request!$B$8,SKU_Family_Map!$A:$B,2,FALSE),""))),0)),IF(OR(Request!$B$9="",Request!$C$9=""),1,IFERROR(1-Request!$E$9/MIN(SUMIFS(Capacity_By_SKU!$K:$K,Capacity_By_SKU!$A:$A,$A7,Capacity_By_SKU!$C:$C,"DR",Capacity_By_SKU!$D:$D,Request!$B$9),SUMIFS(Quota_Groups!$G:$G,Quota_Groups!$B:$B,$A7,Quota_Groups!$D:$D,IFERROR(VLOOKUP(Request!$B$9,SKU_Family_Map!$A:$B,2,FALSE),""))),0)),IF(OR(Request!$B$10="",Request!$C$10=""),1,IFERROR(1-Request!$E$10/MIN(SUMIFS(Capacity_By_SKU!$K:$K,Capacity_By_SKU!$A:$A,$A7,Capacity_By_SKU!$C:$C,"DR",Capacity_By_SKU!$D:$D,Request!$B$10),SUMIFS(Quota_Groups!$G:$G,Quota_Groups!$B:$B,$A7,Quota_Groups!$D:$D,IFERROR(VLOOKUP(Request!$B$10,SKU_Family_Map!$A:$B,2,FALSE),""))),0)),IF(OR(Request!$B$11="",Request!$C$11=""),1,IFERROR(1-Request!$E$11/MIN(SUMIFS(Capacity_By_SKU!$K:$K,Capacity_By_SKU!$A:$A,$A7,Capacity_By_SKU!$C:$C,"DR",Capacity_By_SKU!$D:$D,Request!$B$11),SUMIFS(Quota_Groups!$G:$G,Quota_Groups!$B:$B,$A7,Quota_Groups!$D:$D,IFERROR(VLOOKUP(Request!$B$11,SKU_Family_Map!$A:$B,2,FALSE),""))),0)),IF(OR(Request!$B$12="",Request!$C$12=""),1,IFERROR(1-Request!$E$12/MIN(SUMIFS(Capacity_By_SKU!$K:$K,Capacity_By_SKU!$A:$A,$A7,Capacity_By_SKU!$C:$C,"DR",Capacity_By_SKU!$D:$D,Request!$B$12),SUMIFS(Quota_Groups!$G:$G,Quota_Groups!$B:$B,$A7,Quota_Groups!$D:$D,IFERROR(VLOOKUP(Request!$B$12,SKU_Family_Map!$A:$B,2,FALSE),""))),0)),IF(OR(Request!$B$13="",Request!$C$13=""),1,IFERROR(1-Request!$E$13/MIN(SUMIFS(Capacity_By_SKU!$K:$K,Capacity_By_SKU!$A:$A,$A7,Capacity_By_SKU!$C:$C,"DR",Capacity_By_SKU!$D:$D,Request!$B$13),SUMIFS(Quota_Groups!$G:$G,Quota_Groups!$B:$B,$A7,Quota_Groups!$D:$D,IFERROR(VLOOKUP(Request!$B$13,SKU_Family_Map!$A:$B,2,FALSE),""))),0)),IF(OR(Request!$B$14="",Request!$C$14=""),1,IFERROR(1-Request!$E$14/MIN(SUMIFS(Capacity_By_SKU!$K:$K,Capacity_By_SKU!$A:$A,$A7,Capacity_By_SKU!$C:$C,"DR",Capacity_By_SKU!$D:$D,Request!$B$14),SUMIFS(Quota_Groups!$G:$G,Quota_Groups!$B:$B,$A7,Quota_Groups!$D:$D,IFERROR(VLOOKUP(Request!$B$14,SKU_Family_Map!$A:$B,2,FALSE),""))),0)),IF(OR(Request!$B$15="",Request!$C$15=""),1,IFERROR(1-Request!$E$15/MIN(SUMIFS(Capacity_By_SKU!$K:$K,Capacity_By_SKU!$A:$A,$A7,Capacity_By_SKU!$C:$C,"DR",Capacity_By_SKU!$D:$D,Request!$B$15),SUMIFS(Quota_Groups!$G:$G,Quota_Groups!$B:$B,$A7,Quota_Groups!$D:$D,IFERROR(VLOOKUP(Request!$B$15,SKU_Family_Map!$A:$B,2,FALSE),""))),0)))&lt;Policy!$B$10,"READY_WITH_RISK","READY")))))</f>
        <v/>
      </c>
      <c r="I7" s="16">
        <f>IF(AND(F7=1,G7=1,OR(H7="READY",H7="READY_WITH_RISK")),1,0)</f>
        <v/>
      </c>
      <c r="J7" s="16">
        <f>IF(I7=1,MAX(0,MIN(IF(OR(Request!$B$8="",Request!$C$8=""),1,IFERROR(1-Request!$E$8/MIN(SUMIFS(Capacity_By_SKU!$K:$K,Capacity_By_SKU!$A:$A,$A7,Capacity_By_SKU!$C:$C,"DR",Capacity_By_SKU!$D:$D,Request!$B$8),SUMIFS(Quota_Groups!$G:$G,Quota_Groups!$B:$B,$A7,Quota_Groups!$D:$D,IFERROR(VLOOKUP(Request!$B$8,SKU_Family_Map!$A:$B,2,FALSE),""))),0)),IF(OR(Request!$B$9="",Request!$C$9=""),1,IFERROR(1-Request!$E$9/MIN(SUMIFS(Capacity_By_SKU!$K:$K,Capacity_By_SKU!$A:$A,$A7,Capacity_By_SKU!$C:$C,"DR",Capacity_By_SKU!$D:$D,Request!$B$9),SUMIFS(Quota_Groups!$G:$G,Quota_Groups!$B:$B,$A7,Quota_Groups!$D:$D,IFERROR(VLOOKUP(Request!$B$9,SKU_Family_Map!$A:$B,2,FALSE),""))),0)),IF(OR(Request!$B$10="",Request!$C$10=""),1,IFERROR(1-Request!$E$10/MIN(SUMIFS(Capacity_By_SKU!$K:$K,Capacity_By_SKU!$A:$A,$A7,Capacity_By_SKU!$C:$C,"DR",Capacity_By_SKU!$D:$D,Request!$B$10),SUMIFS(Quota_Groups!$G:$G,Quota_Groups!$B:$B,$A7,Quota_Groups!$D:$D,IFERROR(VLOOKUP(Request!$B$10,SKU_Family_Map!$A:$B,2,FALSE),""))),0)),IF(OR(Request!$B$11="",Request!$C$11=""),1,IFERROR(1-Request!$E$11/MIN(SUMIFS(Capacity_By_SKU!$K:$K,Capacity_By_SKU!$A:$A,$A7,Capacity_By_SKU!$C:$C,"DR",Capacity_By_SKU!$D:$D,Request!$B$11),SUMIFS(Quota_Groups!$G:$G,Quota_Groups!$B:$B,$A7,Quota_Groups!$D:$D,IFERROR(VLOOKUP(Request!$B$11,SKU_Family_Map!$A:$B,2,FALSE),""))),0)),IF(OR(Request!$B$12="",Request!$C$12=""),1,IFERROR(1-Request!$E$12/MIN(SUMIFS(Capacity_By_SKU!$K:$K,Capacity_By_SKU!$A:$A,$A7,Capacity_By_SKU!$C:$C,"DR",Capacity_By_SKU!$D:$D,Request!$B$12),SUMIFS(Quota_Groups!$G:$G,Quota_Groups!$B:$B,$A7,Quota_Groups!$D:$D,IFERROR(VLOOKUP(Request!$B$12,SKU_Family_Map!$A:$B,2,FALSE),""))),0)),IF(OR(Request!$B$13="",Request!$C$13=""),1,IFERROR(1-Request!$E$13/MIN(SUMIFS(Capacity_By_SKU!$K:$K,Capacity_By_SKU!$A:$A,$A7,Capacity_By_SKU!$C:$C,"DR",Capacity_By_SKU!$D:$D,Request!$B$13),SUMIFS(Quota_Groups!$G:$G,Quota_Groups!$B:$B,$A7,Quota_Groups!$D:$D,IFERROR(VLOOKUP(Request!$B$13,SKU_Family_Map!$A:$B,2,FALSE),""))),0)),IF(OR(Request!$B$14="",Request!$C$14=""),1,IFERROR(1-Request!$E$14/MIN(SUMIFS(Capacity_By_SKU!$K:$K,Capacity_By_SKU!$A:$A,$A7,Capacity_By_SKU!$C:$C,"DR",Capacity_By_SKU!$D:$D,Request!$B$14),SUMIFS(Quota_Groups!$G:$G,Quota_Groups!$B:$B,$A7,Quota_Groups!$D:$D,IFERROR(VLOOKUP(Request!$B$14,SKU_Family_Map!$A:$B,2,FALSE),""))),0)),IF(OR(Request!$B$15="",Request!$C$15=""),1,IFERROR(1-Request!$E$15/MIN(SUMIFS(Capacity_By_SKU!$K:$K,Capacity_By_SKU!$A:$A,$A7,Capacity_By_SKU!$C:$C,"DR",Capacity_By_SKU!$D:$D,Request!$B$15),SUMIFS(Quota_Groups!$G:$G,Quota_Groups!$B:$B,$A7,Quota_Groups!$D:$D,IFERROR(VLOOKUP(Request!$B$15,SKU_Family_Map!$A:$B,2,FALSE),""))),0)))),0)</f>
        <v/>
      </c>
      <c r="K7" s="16">
        <f>IF(I7=1,MAX(0,MIN(IF(OR(Request!$B$8="",Request!$C$8=""),1,IFERROR(SUMIFS(Quota_Groups!$G:$G,Quota_Groups!$B:$B,$A7,Quota_Groups!$D:$D,IFERROR(VLOOKUP(Request!$B$8,SKU_Family_Map!$A:$B,2,FALSE),""))/MAX(SUMIFS(Quota_Groups!$E:$E,Quota_Groups!$B:$B,$A7,Quota_Groups!$D:$D,IFERROR(VLOOKUP(Request!$B$8,SKU_Family_Map!$A:$B,2,FALSE),"")),1),0)),IF(OR(Request!$B$9="",Request!$C$9=""),1,IFERROR(SUMIFS(Quota_Groups!$G:$G,Quota_Groups!$B:$B,$A7,Quota_Groups!$D:$D,IFERROR(VLOOKUP(Request!$B$9,SKU_Family_Map!$A:$B,2,FALSE),""))/MAX(SUMIFS(Quota_Groups!$E:$E,Quota_Groups!$B:$B,$A7,Quota_Groups!$D:$D,IFERROR(VLOOKUP(Request!$B$9,SKU_Family_Map!$A:$B,2,FALSE),"")),1),0)),IF(OR(Request!$B$10="",Request!$C$10=""),1,IFERROR(SUMIFS(Quota_Groups!$G:$G,Quota_Groups!$B:$B,$A7,Quota_Groups!$D:$D,IFERROR(VLOOKUP(Request!$B$10,SKU_Family_Map!$A:$B,2,FALSE),""))/MAX(SUMIFS(Quota_Groups!$E:$E,Quota_Groups!$B:$B,$A7,Quota_Groups!$D:$D,IFERROR(VLOOKUP(Request!$B$10,SKU_Family_Map!$A:$B,2,FALSE),"")),1),0)),IF(OR(Request!$B$11="",Request!$C$11=""),1,IFERROR(SUMIFS(Quota_Groups!$G:$G,Quota_Groups!$B:$B,$A7,Quota_Groups!$D:$D,IFERROR(VLOOKUP(Request!$B$11,SKU_Family_Map!$A:$B,2,FALSE),""))/MAX(SUMIFS(Quota_Groups!$E:$E,Quota_Groups!$B:$B,$A7,Quota_Groups!$D:$D,IFERROR(VLOOKUP(Request!$B$11,SKU_Family_Map!$A:$B,2,FALSE),"")),1),0)),IF(OR(Request!$B$12="",Request!$C$12=""),1,IFERROR(SUMIFS(Quota_Groups!$G:$G,Quota_Groups!$B:$B,$A7,Quota_Groups!$D:$D,IFERROR(VLOOKUP(Request!$B$12,SKU_Family_Map!$A:$B,2,FALSE),""))/MAX(SUMIFS(Quota_Groups!$E:$E,Quota_Groups!$B:$B,$A7,Quota_Groups!$D:$D,IFERROR(VLOOKUP(Request!$B$12,SKU_Family_Map!$A:$B,2,FALSE),"")),1),0)),IF(OR(Request!$B$13="",Request!$C$13=""),1,IFERROR(SUMIFS(Quota_Groups!$G:$G,Quota_Groups!$B:$B,$A7,Quota_Groups!$D:$D,IFERROR(VLOOKUP(Request!$B$13,SKU_Family_Map!$A:$B,2,FALSE),""))/MAX(SUMIFS(Quota_Groups!$E:$E,Quota_Groups!$B:$B,$A7,Quota_Groups!$D:$D,IFERROR(VLOOKUP(Request!$B$13,SKU_Family_Map!$A:$B,2,FALSE),"")),1),0)),IF(OR(Request!$B$14="",Request!$C$14=""),1,IFERROR(SUMIFS(Quota_Groups!$G:$G,Quota_Groups!$B:$B,$A7,Quota_Groups!$D:$D,IFERROR(VLOOKUP(Request!$B$14,SKU_Family_Map!$A:$B,2,FALSE),""))/MAX(SUMIFS(Quota_Groups!$E:$E,Quota_Groups!$B:$B,$A7,Quota_Groups!$D:$D,IFERROR(VLOOKUP(Request!$B$14,SKU_Family_Map!$A:$B,2,FALSE),"")),1),0)),IF(OR(Request!$B$15="",Request!$C$15=""),1,IFERROR(SUMIFS(Quota_Groups!$G:$G,Quota_Groups!$B:$B,$A7,Quota_Groups!$D:$D,IFERROR(VLOOKUP(Request!$B$15,SKU_Family_Map!$A:$B,2,FALSE),""))/MAX(SUMIFS(Quota_Groups!$E:$E,Quota_Groups!$B:$B,$A7,Quota_Groups!$D:$D,IFERROR(VLOOKUP(Request!$B$15,SKU_Family_Map!$A:$B,2,FALSE),"")),1),0)))),0)</f>
        <v/>
      </c>
      <c r="L7" s="16">
        <f>IF(I7=1,MAX(0,MIN(IF(OR(Request!$B$8="",Request!$C$8=""),1,IFERROR(SUMIFS(Capacity_By_SKU!$K:$K,Capacity_By_SKU!$A:$A,$A7,Capacity_By_SKU!$C:$C,"DR",Capacity_By_SKU!$D:$D,Request!$B$8)/MAX(SUMIFS(Capacity_By_SKU!$J:$J,Capacity_By_SKU!$A:$A,$A7,Capacity_By_SKU!$C:$C,"DR",Capacity_By_SKU!$D:$D,Request!$B$8),1),0)),IF(OR(Request!$B$9="",Request!$C$9=""),1,IFERROR(SUMIFS(Capacity_By_SKU!$K:$K,Capacity_By_SKU!$A:$A,$A7,Capacity_By_SKU!$C:$C,"DR",Capacity_By_SKU!$D:$D,Request!$B$9)/MAX(SUMIFS(Capacity_By_SKU!$J:$J,Capacity_By_SKU!$A:$A,$A7,Capacity_By_SKU!$C:$C,"DR",Capacity_By_SKU!$D:$D,Request!$B$9),1),0)),IF(OR(Request!$B$10="",Request!$C$10=""),1,IFERROR(SUMIFS(Capacity_By_SKU!$K:$K,Capacity_By_SKU!$A:$A,$A7,Capacity_By_SKU!$C:$C,"DR",Capacity_By_SKU!$D:$D,Request!$B$10)/MAX(SUMIFS(Capacity_By_SKU!$J:$J,Capacity_By_SKU!$A:$A,$A7,Capacity_By_SKU!$C:$C,"DR",Capacity_By_SKU!$D:$D,Request!$B$10),1),0)),IF(OR(Request!$B$11="",Request!$C$11=""),1,IFERROR(SUMIFS(Capacity_By_SKU!$K:$K,Capacity_By_SKU!$A:$A,$A7,Capacity_By_SKU!$C:$C,"DR",Capacity_By_SKU!$D:$D,Request!$B$11)/MAX(SUMIFS(Capacity_By_SKU!$J:$J,Capacity_By_SKU!$A:$A,$A7,Capacity_By_SKU!$C:$C,"DR",Capacity_By_SKU!$D:$D,Request!$B$11),1),0)),IF(OR(Request!$B$12="",Request!$C$12=""),1,IFERROR(SUMIFS(Capacity_By_SKU!$K:$K,Capacity_By_SKU!$A:$A,$A7,Capacity_By_SKU!$C:$C,"DR",Capacity_By_SKU!$D:$D,Request!$B$12)/MAX(SUMIFS(Capacity_By_SKU!$J:$J,Capacity_By_SKU!$A:$A,$A7,Capacity_By_SKU!$C:$C,"DR",Capacity_By_SKU!$D:$D,Request!$B$12),1),0)),IF(OR(Request!$B$13="",Request!$C$13=""),1,IFERROR(SUMIFS(Capacity_By_SKU!$K:$K,Capacity_By_SKU!$A:$A,$A7,Capacity_By_SKU!$C:$C,"DR",Capacity_By_SKU!$D:$D,Request!$B$13)/MAX(SUMIFS(Capacity_By_SKU!$J:$J,Capacity_By_SKU!$A:$A,$A7,Capacity_By_SKU!$C:$C,"DR",Capacity_By_SKU!$D:$D,Request!$B$13),1),0)),IF(OR(Request!$B$14="",Request!$C$14=""),1,IFERROR(SUMIFS(Capacity_By_SKU!$K:$K,Capacity_By_SKU!$A:$A,$A7,Capacity_By_SKU!$C:$C,"DR",Capacity_By_SKU!$D:$D,Request!$B$14)/MAX(SUMIFS(Capacity_By_SKU!$J:$J,Capacity_By_SKU!$A:$A,$A7,Capacity_By_SKU!$C:$C,"DR",Capacity_By_SKU!$D:$D,Request!$B$14),1),0)),IF(OR(Request!$B$15="",Request!$C$15=""),1,IFERROR(SUMIFS(Capacity_By_SKU!$K:$K,Capacity_By_SKU!$A:$A,$A7,Capacity_By_SKU!$C:$C,"DR",Capacity_By_SKU!$D:$D,Request!$B$15)/MAX(SUMIFS(Capacity_By_SKU!$J:$J,Capacity_By_SKU!$A:$A,$A7,Capacity_By_SKU!$C:$C,"DR",Capacity_By_SKU!$D:$D,Request!$B$15),1),0)))),0)</f>
        <v/>
      </c>
      <c r="M7" s="22">
        <f>IF(I7=1,ROUND(Policy!$B$4*J7+Policy!$B$5*K7+Policy!$B$6*L7,4),"")</f>
        <v/>
      </c>
      <c r="N7" s="16">
        <f>IF(I7=1,SUMPRODUCT(($I$4:$I$11=1)*($M$4:$M$11&gt;M7))+1,"")</f>
        <v/>
      </c>
      <c r="O7" s="16">
        <f>IF(I7=0,"N/A",IF(MIN(IF(OR(Request!$B$8="",Request!$C$8=""),1,IFERROR(SUMIFS(Capacity_By_SKU!$K:$K,Capacity_By_SKU!$A:$A,$A7,Capacity_By_SKU!$C:$C,"DR",Capacity_By_SKU!$D:$D,Request!$B$8)/MAX(SUMIFS(Capacity_By_SKU!$J:$J,Capacity_By_SKU!$A:$A,$A7,Capacity_By_SKU!$C:$C,"DR",Capacity_By_SKU!$D:$D,Request!$B$8),1),0)),IF(OR(Request!$B$9="",Request!$C$9=""),1,IFERROR(SUMIFS(Capacity_By_SKU!$K:$K,Capacity_By_SKU!$A:$A,$A7,Capacity_By_SKU!$C:$C,"DR",Capacity_By_SKU!$D:$D,Request!$B$9)/MAX(SUMIFS(Capacity_By_SKU!$J:$J,Capacity_By_SKU!$A:$A,$A7,Capacity_By_SKU!$C:$C,"DR",Capacity_By_SKU!$D:$D,Request!$B$9),1),0)),IF(OR(Request!$B$10="",Request!$C$10=""),1,IFERROR(SUMIFS(Capacity_By_SKU!$K:$K,Capacity_By_SKU!$A:$A,$A7,Capacity_By_SKU!$C:$C,"DR",Capacity_By_SKU!$D:$D,Request!$B$10)/MAX(SUMIFS(Capacity_By_SKU!$J:$J,Capacity_By_SKU!$A:$A,$A7,Capacity_By_SKU!$C:$C,"DR",Capacity_By_SKU!$D:$D,Request!$B$10),1),0)),IF(OR(Request!$B$11="",Request!$C$11=""),1,IFERROR(SUMIFS(Capacity_By_SKU!$K:$K,Capacity_By_SKU!$A:$A,$A7,Capacity_By_SKU!$C:$C,"DR",Capacity_By_SKU!$D:$D,Request!$B$11)/MAX(SUMIFS(Capacity_By_SKU!$J:$J,Capacity_By_SKU!$A:$A,$A7,Capacity_By_SKU!$C:$C,"DR",Capacity_By_SKU!$D:$D,Request!$B$11),1),0)),IF(OR(Request!$B$12="",Request!$C$12=""),1,IFERROR(SUMIFS(Capacity_By_SKU!$K:$K,Capacity_By_SKU!$A:$A,$A7,Capacity_By_SKU!$C:$C,"DR",Capacity_By_SKU!$D:$D,Request!$B$12)/MAX(SUMIFS(Capacity_By_SKU!$J:$J,Capacity_By_SKU!$A:$A,$A7,Capacity_By_SKU!$C:$C,"DR",Capacity_By_SKU!$D:$D,Request!$B$12),1),0)),IF(OR(Request!$B$13="",Request!$C$13=""),1,IFERROR(SUMIFS(Capacity_By_SKU!$K:$K,Capacity_By_SKU!$A:$A,$A7,Capacity_By_SKU!$C:$C,"DR",Capacity_By_SKU!$D:$D,Request!$B$13)/MAX(SUMIFS(Capacity_By_SKU!$J:$J,Capacity_By_SKU!$A:$A,$A7,Capacity_By_SKU!$C:$C,"DR",Capacity_By_SKU!$D:$D,Request!$B$13),1),0)),IF(OR(Request!$B$14="",Request!$C$14=""),1,IFERROR(SUMIFS(Capacity_By_SKU!$K:$K,Capacity_By_SKU!$A:$A,$A7,Capacity_By_SKU!$C:$C,"DR",Capacity_By_SKU!$D:$D,Request!$B$14)/MAX(SUMIFS(Capacity_By_SKU!$J:$J,Capacity_By_SKU!$A:$A,$A7,Capacity_By_SKU!$C:$C,"DR",Capacity_By_SKU!$D:$D,Request!$B$14),1),0)),IF(OR(Request!$B$15="",Request!$C$15=""),1,IFERROR(SUMIFS(Capacity_By_SKU!$K:$K,Capacity_By_SKU!$A:$A,$A7,Capacity_By_SKU!$C:$C,"DR",Capacity_By_SKU!$D:$D,Request!$B$15)/MAX(SUMIFS(Capacity_By_SKU!$J:$J,Capacity_By_SKU!$A:$A,$A7,Capacity_By_SKU!$C:$C,"DR",Capacity_By_SKU!$D:$D,Request!$B$15),1),0)))&lt;=MIN(IF(OR(Request!$B$8="",Request!$C$8=""),1,IFERROR(SUMIFS(Quota_Groups!$G:$G,Quota_Groups!$B:$B,$A7,Quota_Groups!$D:$D,IFERROR(VLOOKUP(Request!$B$8,SKU_Family_Map!$A:$B,2,FALSE),""))/MAX(SUMIFS(Quota_Groups!$E:$E,Quota_Groups!$B:$B,$A7,Quota_Groups!$D:$D,IFERROR(VLOOKUP(Request!$B$8,SKU_Family_Map!$A:$B,2,FALSE),"")),1),0)),IF(OR(Request!$B$9="",Request!$C$9=""),1,IFERROR(SUMIFS(Quota_Groups!$G:$G,Quota_Groups!$B:$B,$A7,Quota_Groups!$D:$D,IFERROR(VLOOKUP(Request!$B$9,SKU_Family_Map!$A:$B,2,FALSE),""))/MAX(SUMIFS(Quota_Groups!$E:$E,Quota_Groups!$B:$B,$A7,Quota_Groups!$D:$D,IFERROR(VLOOKUP(Request!$B$9,SKU_Family_Map!$A:$B,2,FALSE),"")),1),0)),IF(OR(Request!$B$10="",Request!$C$10=""),1,IFERROR(SUMIFS(Quota_Groups!$G:$G,Quota_Groups!$B:$B,$A7,Quota_Groups!$D:$D,IFERROR(VLOOKUP(Request!$B$10,SKU_Family_Map!$A:$B,2,FALSE),""))/MAX(SUMIFS(Quota_Groups!$E:$E,Quota_Groups!$B:$B,$A7,Quota_Groups!$D:$D,IFERROR(VLOOKUP(Request!$B$10,SKU_Family_Map!$A:$B,2,FALSE),"")),1),0)),IF(OR(Request!$B$11="",Request!$C$11=""),1,IFERROR(SUMIFS(Quota_Groups!$G:$G,Quota_Groups!$B:$B,$A7,Quota_Groups!$D:$D,IFERROR(VLOOKUP(Request!$B$11,SKU_Family_Map!$A:$B,2,FALSE),""))/MAX(SUMIFS(Quota_Groups!$E:$E,Quota_Groups!$B:$B,$A7,Quota_Groups!$D:$D,IFERROR(VLOOKUP(Request!$B$11,SKU_Family_Map!$A:$B,2,FALSE),"")),1),0)),IF(OR(Request!$B$12="",Request!$C$12=""),1,IFERROR(SUMIFS(Quota_Groups!$G:$G,Quota_Groups!$B:$B,$A7,Quota_Groups!$D:$D,IFERROR(VLOOKUP(Request!$B$12,SKU_Family_Map!$A:$B,2,FALSE),""))/MAX(SUMIFS(Quota_Groups!$E:$E,Quota_Groups!$B:$B,$A7,Quota_Groups!$D:$D,IFERROR(VLOOKUP(Request!$B$12,SKU_Family_Map!$A:$B,2,FALSE),"")),1),0)),IF(OR(Request!$B$13="",Request!$C$13=""),1,IFERROR(SUMIFS(Quota_Groups!$G:$G,Quota_Groups!$B:$B,$A7,Quota_Groups!$D:$D,IFERROR(VLOOKUP(Request!$B$13,SKU_Family_Map!$A:$B,2,FALSE),""))/MAX(SUMIFS(Quota_Groups!$E:$E,Quota_Groups!$B:$B,$A7,Quota_Groups!$D:$D,IFERROR(VLOOKUP(Request!$B$13,SKU_Family_Map!$A:$B,2,FALSE),"")),1),0)),IF(OR(Request!$B$14="",Request!$C$14=""),1,IFERROR(SUMIFS(Quota_Groups!$G:$G,Quota_Groups!$B:$B,$A7,Quota_Groups!$D:$D,IFERROR(VLOOKUP(Request!$B$14,SKU_Family_Map!$A:$B,2,FALSE),""))/MAX(SUMIFS(Quota_Groups!$E:$E,Quota_Groups!$B:$B,$A7,Quota_Groups!$D:$D,IFERROR(VLOOKUP(Request!$B$14,SKU_Family_Map!$A:$B,2,FALSE),"")),1),0)),IF(OR(Request!$B$15="",Request!$C$15=""),1,IFERROR(SUMIFS(Quota_Groups!$G:$G,Quota_Groups!$B:$B,$A7,Quota_Groups!$D:$D,IFERROR(VLOOKUP(Request!$B$15,SKU_Family_Map!$A:$B,2,FALSE),""))/MAX(SUMIFS(Quota_Groups!$E:$E,Quota_Groups!$B:$B,$A7,Quota_Groups!$D:$D,IFERROR(VLOOKUP(Request!$B$15,SKU_Family_Map!$A:$B,2,FALSE),"")),1),0))),"CAPACITY","QUOTA"))</f>
        <v/>
      </c>
    </row>
    <row r="8">
      <c r="A8" s="12" t="inlineStr">
        <is>
          <t>Switzerland North</t>
        </is>
      </c>
      <c r="B8" s="16" t="inlineStr">
        <is>
          <t>EU</t>
        </is>
      </c>
      <c r="C8" s="16" t="inlineStr">
        <is>
          <t>DR</t>
        </is>
      </c>
      <c r="D8" s="16">
        <f>Request!$B$17</f>
        <v/>
      </c>
      <c r="E8" s="16">
        <f>Request!$B$18</f>
        <v/>
      </c>
      <c r="F8" s="16">
        <f>IF(B8=Request!$B$4,1,0)</f>
        <v/>
      </c>
      <c r="G8" s="18">
        <f>IF(Request!$B$17=0,0,MIN(IF(OR(Request!$B$8="",Request!$C$8=""),1,IF(MIN(SUMIFS(Capacity_By_SKU!$K:$K,Capacity_By_SKU!$A:$A,$A8,Capacity_By_SKU!$C:$C,"DR",Capacity_By_SKU!$D:$D,Request!$B$8),SUMIFS(Quota_Groups!$G:$G,Quota_Groups!$B:$B,$A8,Quota_Groups!$D:$D,IFERROR(VLOOKUP(Request!$B$8,SKU_Family_Map!$A:$B,2,FALSE),"")))&gt;=Request!$E$8,1,0)),IF(OR(Request!$B$9="",Request!$C$9=""),1,IF(MIN(SUMIFS(Capacity_By_SKU!$K:$K,Capacity_By_SKU!$A:$A,$A8,Capacity_By_SKU!$C:$C,"DR",Capacity_By_SKU!$D:$D,Request!$B$9),SUMIFS(Quota_Groups!$G:$G,Quota_Groups!$B:$B,$A8,Quota_Groups!$D:$D,IFERROR(VLOOKUP(Request!$B$9,SKU_Family_Map!$A:$B,2,FALSE),"")))&gt;=Request!$E$9,1,0)),IF(OR(Request!$B$10="",Request!$C$10=""),1,IF(MIN(SUMIFS(Capacity_By_SKU!$K:$K,Capacity_By_SKU!$A:$A,$A8,Capacity_By_SKU!$C:$C,"DR",Capacity_By_SKU!$D:$D,Request!$B$10),SUMIFS(Quota_Groups!$G:$G,Quota_Groups!$B:$B,$A8,Quota_Groups!$D:$D,IFERROR(VLOOKUP(Request!$B$10,SKU_Family_Map!$A:$B,2,FALSE),"")))&gt;=Request!$E$10,1,0)),IF(OR(Request!$B$11="",Request!$C$11=""),1,IF(MIN(SUMIFS(Capacity_By_SKU!$K:$K,Capacity_By_SKU!$A:$A,$A8,Capacity_By_SKU!$C:$C,"DR",Capacity_By_SKU!$D:$D,Request!$B$11),SUMIFS(Quota_Groups!$G:$G,Quota_Groups!$B:$B,$A8,Quota_Groups!$D:$D,IFERROR(VLOOKUP(Request!$B$11,SKU_Family_Map!$A:$B,2,FALSE),"")))&gt;=Request!$E$11,1,0)),IF(OR(Request!$B$12="",Request!$C$12=""),1,IF(MIN(SUMIFS(Capacity_By_SKU!$K:$K,Capacity_By_SKU!$A:$A,$A8,Capacity_By_SKU!$C:$C,"DR",Capacity_By_SKU!$D:$D,Request!$B$12),SUMIFS(Quota_Groups!$G:$G,Quota_Groups!$B:$B,$A8,Quota_Groups!$D:$D,IFERROR(VLOOKUP(Request!$B$12,SKU_Family_Map!$A:$B,2,FALSE),"")))&gt;=Request!$E$12,1,0)),IF(OR(Request!$B$13="",Request!$C$13=""),1,IF(MIN(SUMIFS(Capacity_By_SKU!$K:$K,Capacity_By_SKU!$A:$A,$A8,Capacity_By_SKU!$C:$C,"DR",Capacity_By_SKU!$D:$D,Request!$B$13),SUMIFS(Quota_Groups!$G:$G,Quota_Groups!$B:$B,$A8,Quota_Groups!$D:$D,IFERROR(VLOOKUP(Request!$B$13,SKU_Family_Map!$A:$B,2,FALSE),"")))&gt;=Request!$E$13,1,0)),IF(OR(Request!$B$14="",Request!$C$14=""),1,IF(MIN(SUMIFS(Capacity_By_SKU!$K:$K,Capacity_By_SKU!$A:$A,$A8,Capacity_By_SKU!$C:$C,"DR",Capacity_By_SKU!$D:$D,Request!$B$14),SUMIFS(Quota_Groups!$G:$G,Quota_Groups!$B:$B,$A8,Quota_Groups!$D:$D,IFERROR(VLOOKUP(Request!$B$14,SKU_Family_Map!$A:$B,2,FALSE),"")))&gt;=Request!$E$14,1,0)),IF(OR(Request!$B$15="",Request!$C$15=""),1,IF(MIN(SUMIFS(Capacity_By_SKU!$K:$K,Capacity_By_SKU!$A:$A,$A8,Capacity_By_SKU!$C:$C,"DR",Capacity_By_SKU!$D:$D,Request!$B$15),SUMIFS(Quota_Groups!$G:$G,Quota_Groups!$B:$B,$A8,Quota_Groups!$D:$D,IFERROR(VLOOKUP(Request!$B$15,SKU_Family_Map!$A:$B,2,FALSE),"")))&gt;=Request!$E$15,1,0))))</f>
        <v/>
      </c>
      <c r="H8" s="12">
        <f>IF(Request!$B$17=0,"NO_REQUEST",IF(SUM(IF(AND(Request!$B$8&lt;&gt;"",Request!$C$8&lt;&gt;"",SUMIFS(Capacity_By_SKU!$K:$K,Capacity_By_SKU!$A:$A,$A8,Capacity_By_SKU!$C:$C,"DR",Capacity_By_SKU!$D:$D,Request!$B$8)&lt;=0),1,0),IF(AND(Request!$B$9&lt;&gt;"",Request!$C$9&lt;&gt;"",SUMIFS(Capacity_By_SKU!$K:$K,Capacity_By_SKU!$A:$A,$A8,Capacity_By_SKU!$C:$C,"DR",Capacity_By_SKU!$D:$D,Request!$B$9)&lt;=0),1,0),IF(AND(Request!$B$10&lt;&gt;"",Request!$C$10&lt;&gt;"",SUMIFS(Capacity_By_SKU!$K:$K,Capacity_By_SKU!$A:$A,$A8,Capacity_By_SKU!$C:$C,"DR",Capacity_By_SKU!$D:$D,Request!$B$10)&lt;=0),1,0),IF(AND(Request!$B$11&lt;&gt;"",Request!$C$11&lt;&gt;"",SUMIFS(Capacity_By_SKU!$K:$K,Capacity_By_SKU!$A:$A,$A8,Capacity_By_SKU!$C:$C,"DR",Capacity_By_SKU!$D:$D,Request!$B$11)&lt;=0),1,0),IF(AND(Request!$B$12&lt;&gt;"",Request!$C$12&lt;&gt;"",SUMIFS(Capacity_By_SKU!$K:$K,Capacity_By_SKU!$A:$A,$A8,Capacity_By_SKU!$C:$C,"DR",Capacity_By_SKU!$D:$D,Request!$B$12)&lt;=0),1,0),IF(AND(Request!$B$13&lt;&gt;"",Request!$C$13&lt;&gt;"",SUMIFS(Capacity_By_SKU!$K:$K,Capacity_By_SKU!$A:$A,$A8,Capacity_By_SKU!$C:$C,"DR",Capacity_By_SKU!$D:$D,Request!$B$13)&lt;=0),1,0),IF(AND(Request!$B$14&lt;&gt;"",Request!$C$14&lt;&gt;"",SUMIFS(Capacity_By_SKU!$K:$K,Capacity_By_SKU!$A:$A,$A8,Capacity_By_SKU!$C:$C,"DR",Capacity_By_SKU!$D:$D,Request!$B$14)&lt;=0),1,0),IF(AND(Request!$B$15&lt;&gt;"",Request!$C$15&lt;&gt;"",SUMIFS(Capacity_By_SKU!$K:$K,Capacity_By_SKU!$A:$A,$A8,Capacity_By_SKU!$C:$C,"DR",Capacity_By_SKU!$D:$D,Request!$B$15)&lt;=0),1,0))&gt;0,"RESERVATION_DEFICIT",IF(SUM(IF(AND(Request!$B$8&lt;&gt;"",Request!$C$8&lt;&gt;"",SUMIFS(Quota_Groups!$G:$G,Quota_Groups!$B:$B,$A8,Quota_Groups!$D:$D,IFERROR(VLOOKUP(Request!$B$8,SKU_Family_Map!$A:$B,2,FALSE),""))&lt;=0),1,0),IF(AND(Request!$B$9&lt;&gt;"",Request!$C$9&lt;&gt;"",SUMIFS(Quota_Groups!$G:$G,Quota_Groups!$B:$B,$A8,Quota_Groups!$D:$D,IFERROR(VLOOKUP(Request!$B$9,SKU_Family_Map!$A:$B,2,FALSE),""))&lt;=0),1,0),IF(AND(Request!$B$10&lt;&gt;"",Request!$C$10&lt;&gt;"",SUMIFS(Quota_Groups!$G:$G,Quota_Groups!$B:$B,$A8,Quota_Groups!$D:$D,IFERROR(VLOOKUP(Request!$B$10,SKU_Family_Map!$A:$B,2,FALSE),""))&lt;=0),1,0),IF(AND(Request!$B$11&lt;&gt;"",Request!$C$11&lt;&gt;"",SUMIFS(Quota_Groups!$G:$G,Quota_Groups!$B:$B,$A8,Quota_Groups!$D:$D,IFERROR(VLOOKUP(Request!$B$11,SKU_Family_Map!$A:$B,2,FALSE),""))&lt;=0),1,0),IF(AND(Request!$B$12&lt;&gt;"",Request!$C$12&lt;&gt;"",SUMIFS(Quota_Groups!$G:$G,Quota_Groups!$B:$B,$A8,Quota_Groups!$D:$D,IFERROR(VLOOKUP(Request!$B$12,SKU_Family_Map!$A:$B,2,FALSE),""))&lt;=0),1,0),IF(AND(Request!$B$13&lt;&gt;"",Request!$C$13&lt;&gt;"",SUMIFS(Quota_Groups!$G:$G,Quota_Groups!$B:$B,$A8,Quota_Groups!$D:$D,IFERROR(VLOOKUP(Request!$B$13,SKU_Family_Map!$A:$B,2,FALSE),""))&lt;=0),1,0),IF(AND(Request!$B$14&lt;&gt;"",Request!$C$14&lt;&gt;"",SUMIFS(Quota_Groups!$G:$G,Quota_Groups!$B:$B,$A8,Quota_Groups!$D:$D,IFERROR(VLOOKUP(Request!$B$14,SKU_Family_Map!$A:$B,2,FALSE),""))&lt;=0),1,0),IF(AND(Request!$B$15&lt;&gt;"",Request!$C$15&lt;&gt;"",SUMIFS(Quota_Groups!$G:$G,Quota_Groups!$B:$B,$A8,Quota_Groups!$D:$D,IFERROR(VLOOKUP(Request!$B$15,SKU_Family_Map!$A:$B,2,FALSE),""))&lt;=0),1,0))&gt;0,"QUOTA_DEFICIT",IF(G8=0,"CAPACITY_DEFICIT",IF(MIN(IF(OR(Request!$B$8="",Request!$C$8=""),1,IFERROR(1-Request!$E$8/MIN(SUMIFS(Capacity_By_SKU!$K:$K,Capacity_By_SKU!$A:$A,$A8,Capacity_By_SKU!$C:$C,"DR",Capacity_By_SKU!$D:$D,Request!$B$8),SUMIFS(Quota_Groups!$G:$G,Quota_Groups!$B:$B,$A8,Quota_Groups!$D:$D,IFERROR(VLOOKUP(Request!$B$8,SKU_Family_Map!$A:$B,2,FALSE),""))),0)),IF(OR(Request!$B$9="",Request!$C$9=""),1,IFERROR(1-Request!$E$9/MIN(SUMIFS(Capacity_By_SKU!$K:$K,Capacity_By_SKU!$A:$A,$A8,Capacity_By_SKU!$C:$C,"DR",Capacity_By_SKU!$D:$D,Request!$B$9),SUMIFS(Quota_Groups!$G:$G,Quota_Groups!$B:$B,$A8,Quota_Groups!$D:$D,IFERROR(VLOOKUP(Request!$B$9,SKU_Family_Map!$A:$B,2,FALSE),""))),0)),IF(OR(Request!$B$10="",Request!$C$10=""),1,IFERROR(1-Request!$E$10/MIN(SUMIFS(Capacity_By_SKU!$K:$K,Capacity_By_SKU!$A:$A,$A8,Capacity_By_SKU!$C:$C,"DR",Capacity_By_SKU!$D:$D,Request!$B$10),SUMIFS(Quota_Groups!$G:$G,Quota_Groups!$B:$B,$A8,Quota_Groups!$D:$D,IFERROR(VLOOKUP(Request!$B$10,SKU_Family_Map!$A:$B,2,FALSE),""))),0)),IF(OR(Request!$B$11="",Request!$C$11=""),1,IFERROR(1-Request!$E$11/MIN(SUMIFS(Capacity_By_SKU!$K:$K,Capacity_By_SKU!$A:$A,$A8,Capacity_By_SKU!$C:$C,"DR",Capacity_By_SKU!$D:$D,Request!$B$11),SUMIFS(Quota_Groups!$G:$G,Quota_Groups!$B:$B,$A8,Quota_Groups!$D:$D,IFERROR(VLOOKUP(Request!$B$11,SKU_Family_Map!$A:$B,2,FALSE),""))),0)),IF(OR(Request!$B$12="",Request!$C$12=""),1,IFERROR(1-Request!$E$12/MIN(SUMIFS(Capacity_By_SKU!$K:$K,Capacity_By_SKU!$A:$A,$A8,Capacity_By_SKU!$C:$C,"DR",Capacity_By_SKU!$D:$D,Request!$B$12),SUMIFS(Quota_Groups!$G:$G,Quota_Groups!$B:$B,$A8,Quota_Groups!$D:$D,IFERROR(VLOOKUP(Request!$B$12,SKU_Family_Map!$A:$B,2,FALSE),""))),0)),IF(OR(Request!$B$13="",Request!$C$13=""),1,IFERROR(1-Request!$E$13/MIN(SUMIFS(Capacity_By_SKU!$K:$K,Capacity_By_SKU!$A:$A,$A8,Capacity_By_SKU!$C:$C,"DR",Capacity_By_SKU!$D:$D,Request!$B$13),SUMIFS(Quota_Groups!$G:$G,Quota_Groups!$B:$B,$A8,Quota_Groups!$D:$D,IFERROR(VLOOKUP(Request!$B$13,SKU_Family_Map!$A:$B,2,FALSE),""))),0)),IF(OR(Request!$B$14="",Request!$C$14=""),1,IFERROR(1-Request!$E$14/MIN(SUMIFS(Capacity_By_SKU!$K:$K,Capacity_By_SKU!$A:$A,$A8,Capacity_By_SKU!$C:$C,"DR",Capacity_By_SKU!$D:$D,Request!$B$14),SUMIFS(Quota_Groups!$G:$G,Quota_Groups!$B:$B,$A8,Quota_Groups!$D:$D,IFERROR(VLOOKUP(Request!$B$14,SKU_Family_Map!$A:$B,2,FALSE),""))),0)),IF(OR(Request!$B$15="",Request!$C$15=""),1,IFERROR(1-Request!$E$15/MIN(SUMIFS(Capacity_By_SKU!$K:$K,Capacity_By_SKU!$A:$A,$A8,Capacity_By_SKU!$C:$C,"DR",Capacity_By_SKU!$D:$D,Request!$B$15),SUMIFS(Quota_Groups!$G:$G,Quota_Groups!$B:$B,$A8,Quota_Groups!$D:$D,IFERROR(VLOOKUP(Request!$B$15,SKU_Family_Map!$A:$B,2,FALSE),""))),0)))&lt;Policy!$B$10,"READY_WITH_RISK","READY")))))</f>
        <v/>
      </c>
      <c r="I8" s="16">
        <f>IF(AND(F8=1,G8=1,OR(H8="READY",H8="READY_WITH_RISK")),1,0)</f>
        <v/>
      </c>
      <c r="J8" s="16">
        <f>IF(I8=1,MAX(0,MIN(IF(OR(Request!$B$8="",Request!$C$8=""),1,IFERROR(1-Request!$E$8/MIN(SUMIFS(Capacity_By_SKU!$K:$K,Capacity_By_SKU!$A:$A,$A8,Capacity_By_SKU!$C:$C,"DR",Capacity_By_SKU!$D:$D,Request!$B$8),SUMIFS(Quota_Groups!$G:$G,Quota_Groups!$B:$B,$A8,Quota_Groups!$D:$D,IFERROR(VLOOKUP(Request!$B$8,SKU_Family_Map!$A:$B,2,FALSE),""))),0)),IF(OR(Request!$B$9="",Request!$C$9=""),1,IFERROR(1-Request!$E$9/MIN(SUMIFS(Capacity_By_SKU!$K:$K,Capacity_By_SKU!$A:$A,$A8,Capacity_By_SKU!$C:$C,"DR",Capacity_By_SKU!$D:$D,Request!$B$9),SUMIFS(Quota_Groups!$G:$G,Quota_Groups!$B:$B,$A8,Quota_Groups!$D:$D,IFERROR(VLOOKUP(Request!$B$9,SKU_Family_Map!$A:$B,2,FALSE),""))),0)),IF(OR(Request!$B$10="",Request!$C$10=""),1,IFERROR(1-Request!$E$10/MIN(SUMIFS(Capacity_By_SKU!$K:$K,Capacity_By_SKU!$A:$A,$A8,Capacity_By_SKU!$C:$C,"DR",Capacity_By_SKU!$D:$D,Request!$B$10),SUMIFS(Quota_Groups!$G:$G,Quota_Groups!$B:$B,$A8,Quota_Groups!$D:$D,IFERROR(VLOOKUP(Request!$B$10,SKU_Family_Map!$A:$B,2,FALSE),""))),0)),IF(OR(Request!$B$11="",Request!$C$11=""),1,IFERROR(1-Request!$E$11/MIN(SUMIFS(Capacity_By_SKU!$K:$K,Capacity_By_SKU!$A:$A,$A8,Capacity_By_SKU!$C:$C,"DR",Capacity_By_SKU!$D:$D,Request!$B$11),SUMIFS(Quota_Groups!$G:$G,Quota_Groups!$B:$B,$A8,Quota_Groups!$D:$D,IFERROR(VLOOKUP(Request!$B$11,SKU_Family_Map!$A:$B,2,FALSE),""))),0)),IF(OR(Request!$B$12="",Request!$C$12=""),1,IFERROR(1-Request!$E$12/MIN(SUMIFS(Capacity_By_SKU!$K:$K,Capacity_By_SKU!$A:$A,$A8,Capacity_By_SKU!$C:$C,"DR",Capacity_By_SKU!$D:$D,Request!$B$12),SUMIFS(Quota_Groups!$G:$G,Quota_Groups!$B:$B,$A8,Quota_Groups!$D:$D,IFERROR(VLOOKUP(Request!$B$12,SKU_Family_Map!$A:$B,2,FALSE),""))),0)),IF(OR(Request!$B$13="",Request!$C$13=""),1,IFERROR(1-Request!$E$13/MIN(SUMIFS(Capacity_By_SKU!$K:$K,Capacity_By_SKU!$A:$A,$A8,Capacity_By_SKU!$C:$C,"DR",Capacity_By_SKU!$D:$D,Request!$B$13),SUMIFS(Quota_Groups!$G:$G,Quota_Groups!$B:$B,$A8,Quota_Groups!$D:$D,IFERROR(VLOOKUP(Request!$B$13,SKU_Family_Map!$A:$B,2,FALSE),""))),0)),IF(OR(Request!$B$14="",Request!$C$14=""),1,IFERROR(1-Request!$E$14/MIN(SUMIFS(Capacity_By_SKU!$K:$K,Capacity_By_SKU!$A:$A,$A8,Capacity_By_SKU!$C:$C,"DR",Capacity_By_SKU!$D:$D,Request!$B$14),SUMIFS(Quota_Groups!$G:$G,Quota_Groups!$B:$B,$A8,Quota_Groups!$D:$D,IFERROR(VLOOKUP(Request!$B$14,SKU_Family_Map!$A:$B,2,FALSE),""))),0)),IF(OR(Request!$B$15="",Request!$C$15=""),1,IFERROR(1-Request!$E$15/MIN(SUMIFS(Capacity_By_SKU!$K:$K,Capacity_By_SKU!$A:$A,$A8,Capacity_By_SKU!$C:$C,"DR",Capacity_By_SKU!$D:$D,Request!$B$15),SUMIFS(Quota_Groups!$G:$G,Quota_Groups!$B:$B,$A8,Quota_Groups!$D:$D,IFERROR(VLOOKUP(Request!$B$15,SKU_Family_Map!$A:$B,2,FALSE),""))),0)))),0)</f>
        <v/>
      </c>
      <c r="K8" s="16">
        <f>IF(I8=1,MAX(0,MIN(IF(OR(Request!$B$8="",Request!$C$8=""),1,IFERROR(SUMIFS(Quota_Groups!$G:$G,Quota_Groups!$B:$B,$A8,Quota_Groups!$D:$D,IFERROR(VLOOKUP(Request!$B$8,SKU_Family_Map!$A:$B,2,FALSE),""))/MAX(SUMIFS(Quota_Groups!$E:$E,Quota_Groups!$B:$B,$A8,Quota_Groups!$D:$D,IFERROR(VLOOKUP(Request!$B$8,SKU_Family_Map!$A:$B,2,FALSE),"")),1),0)),IF(OR(Request!$B$9="",Request!$C$9=""),1,IFERROR(SUMIFS(Quota_Groups!$G:$G,Quota_Groups!$B:$B,$A8,Quota_Groups!$D:$D,IFERROR(VLOOKUP(Request!$B$9,SKU_Family_Map!$A:$B,2,FALSE),""))/MAX(SUMIFS(Quota_Groups!$E:$E,Quota_Groups!$B:$B,$A8,Quota_Groups!$D:$D,IFERROR(VLOOKUP(Request!$B$9,SKU_Family_Map!$A:$B,2,FALSE),"")),1),0)),IF(OR(Request!$B$10="",Request!$C$10=""),1,IFERROR(SUMIFS(Quota_Groups!$G:$G,Quota_Groups!$B:$B,$A8,Quota_Groups!$D:$D,IFERROR(VLOOKUP(Request!$B$10,SKU_Family_Map!$A:$B,2,FALSE),""))/MAX(SUMIFS(Quota_Groups!$E:$E,Quota_Groups!$B:$B,$A8,Quota_Groups!$D:$D,IFERROR(VLOOKUP(Request!$B$10,SKU_Family_Map!$A:$B,2,FALSE),"")),1),0)),IF(OR(Request!$B$11="",Request!$C$11=""),1,IFERROR(SUMIFS(Quota_Groups!$G:$G,Quota_Groups!$B:$B,$A8,Quota_Groups!$D:$D,IFERROR(VLOOKUP(Request!$B$11,SKU_Family_Map!$A:$B,2,FALSE),""))/MAX(SUMIFS(Quota_Groups!$E:$E,Quota_Groups!$B:$B,$A8,Quota_Groups!$D:$D,IFERROR(VLOOKUP(Request!$B$11,SKU_Family_Map!$A:$B,2,FALSE),"")),1),0)),IF(OR(Request!$B$12="",Request!$C$12=""),1,IFERROR(SUMIFS(Quota_Groups!$G:$G,Quota_Groups!$B:$B,$A8,Quota_Groups!$D:$D,IFERROR(VLOOKUP(Request!$B$12,SKU_Family_Map!$A:$B,2,FALSE),""))/MAX(SUMIFS(Quota_Groups!$E:$E,Quota_Groups!$B:$B,$A8,Quota_Groups!$D:$D,IFERROR(VLOOKUP(Request!$B$12,SKU_Family_Map!$A:$B,2,FALSE),"")),1),0)),IF(OR(Request!$B$13="",Request!$C$13=""),1,IFERROR(SUMIFS(Quota_Groups!$G:$G,Quota_Groups!$B:$B,$A8,Quota_Groups!$D:$D,IFERROR(VLOOKUP(Request!$B$13,SKU_Family_Map!$A:$B,2,FALSE),""))/MAX(SUMIFS(Quota_Groups!$E:$E,Quota_Groups!$B:$B,$A8,Quota_Groups!$D:$D,IFERROR(VLOOKUP(Request!$B$13,SKU_Family_Map!$A:$B,2,FALSE),"")),1),0)),IF(OR(Request!$B$14="",Request!$C$14=""),1,IFERROR(SUMIFS(Quota_Groups!$G:$G,Quota_Groups!$B:$B,$A8,Quota_Groups!$D:$D,IFERROR(VLOOKUP(Request!$B$14,SKU_Family_Map!$A:$B,2,FALSE),""))/MAX(SUMIFS(Quota_Groups!$E:$E,Quota_Groups!$B:$B,$A8,Quota_Groups!$D:$D,IFERROR(VLOOKUP(Request!$B$14,SKU_Family_Map!$A:$B,2,FALSE),"")),1),0)),IF(OR(Request!$B$15="",Request!$C$15=""),1,IFERROR(SUMIFS(Quota_Groups!$G:$G,Quota_Groups!$B:$B,$A8,Quota_Groups!$D:$D,IFERROR(VLOOKUP(Request!$B$15,SKU_Family_Map!$A:$B,2,FALSE),""))/MAX(SUMIFS(Quota_Groups!$E:$E,Quota_Groups!$B:$B,$A8,Quota_Groups!$D:$D,IFERROR(VLOOKUP(Request!$B$15,SKU_Family_Map!$A:$B,2,FALSE),"")),1),0)))),0)</f>
        <v/>
      </c>
      <c r="L8" s="16">
        <f>IF(I8=1,MAX(0,MIN(IF(OR(Request!$B$8="",Request!$C$8=""),1,IFERROR(SUMIFS(Capacity_By_SKU!$K:$K,Capacity_By_SKU!$A:$A,$A8,Capacity_By_SKU!$C:$C,"DR",Capacity_By_SKU!$D:$D,Request!$B$8)/MAX(SUMIFS(Capacity_By_SKU!$J:$J,Capacity_By_SKU!$A:$A,$A8,Capacity_By_SKU!$C:$C,"DR",Capacity_By_SKU!$D:$D,Request!$B$8),1),0)),IF(OR(Request!$B$9="",Request!$C$9=""),1,IFERROR(SUMIFS(Capacity_By_SKU!$K:$K,Capacity_By_SKU!$A:$A,$A8,Capacity_By_SKU!$C:$C,"DR",Capacity_By_SKU!$D:$D,Request!$B$9)/MAX(SUMIFS(Capacity_By_SKU!$J:$J,Capacity_By_SKU!$A:$A,$A8,Capacity_By_SKU!$C:$C,"DR",Capacity_By_SKU!$D:$D,Request!$B$9),1),0)),IF(OR(Request!$B$10="",Request!$C$10=""),1,IFERROR(SUMIFS(Capacity_By_SKU!$K:$K,Capacity_By_SKU!$A:$A,$A8,Capacity_By_SKU!$C:$C,"DR",Capacity_By_SKU!$D:$D,Request!$B$10)/MAX(SUMIFS(Capacity_By_SKU!$J:$J,Capacity_By_SKU!$A:$A,$A8,Capacity_By_SKU!$C:$C,"DR",Capacity_By_SKU!$D:$D,Request!$B$10),1),0)),IF(OR(Request!$B$11="",Request!$C$11=""),1,IFERROR(SUMIFS(Capacity_By_SKU!$K:$K,Capacity_By_SKU!$A:$A,$A8,Capacity_By_SKU!$C:$C,"DR",Capacity_By_SKU!$D:$D,Request!$B$11)/MAX(SUMIFS(Capacity_By_SKU!$J:$J,Capacity_By_SKU!$A:$A,$A8,Capacity_By_SKU!$C:$C,"DR",Capacity_By_SKU!$D:$D,Request!$B$11),1),0)),IF(OR(Request!$B$12="",Request!$C$12=""),1,IFERROR(SUMIFS(Capacity_By_SKU!$K:$K,Capacity_By_SKU!$A:$A,$A8,Capacity_By_SKU!$C:$C,"DR",Capacity_By_SKU!$D:$D,Request!$B$12)/MAX(SUMIFS(Capacity_By_SKU!$J:$J,Capacity_By_SKU!$A:$A,$A8,Capacity_By_SKU!$C:$C,"DR",Capacity_By_SKU!$D:$D,Request!$B$12),1),0)),IF(OR(Request!$B$13="",Request!$C$13=""),1,IFERROR(SUMIFS(Capacity_By_SKU!$K:$K,Capacity_By_SKU!$A:$A,$A8,Capacity_By_SKU!$C:$C,"DR",Capacity_By_SKU!$D:$D,Request!$B$13)/MAX(SUMIFS(Capacity_By_SKU!$J:$J,Capacity_By_SKU!$A:$A,$A8,Capacity_By_SKU!$C:$C,"DR",Capacity_By_SKU!$D:$D,Request!$B$13),1),0)),IF(OR(Request!$B$14="",Request!$C$14=""),1,IFERROR(SUMIFS(Capacity_By_SKU!$K:$K,Capacity_By_SKU!$A:$A,$A8,Capacity_By_SKU!$C:$C,"DR",Capacity_By_SKU!$D:$D,Request!$B$14)/MAX(SUMIFS(Capacity_By_SKU!$J:$J,Capacity_By_SKU!$A:$A,$A8,Capacity_By_SKU!$C:$C,"DR",Capacity_By_SKU!$D:$D,Request!$B$14),1),0)),IF(OR(Request!$B$15="",Request!$C$15=""),1,IFERROR(SUMIFS(Capacity_By_SKU!$K:$K,Capacity_By_SKU!$A:$A,$A8,Capacity_By_SKU!$C:$C,"DR",Capacity_By_SKU!$D:$D,Request!$B$15)/MAX(SUMIFS(Capacity_By_SKU!$J:$J,Capacity_By_SKU!$A:$A,$A8,Capacity_By_SKU!$C:$C,"DR",Capacity_By_SKU!$D:$D,Request!$B$15),1),0)))),0)</f>
        <v/>
      </c>
      <c r="M8" s="22">
        <f>IF(I8=1,ROUND(Policy!$B$4*J8+Policy!$B$5*K8+Policy!$B$6*L8,4),"")</f>
        <v/>
      </c>
      <c r="N8" s="16">
        <f>IF(I8=1,SUMPRODUCT(($I$4:$I$11=1)*($M$4:$M$11&gt;M8))+1,"")</f>
        <v/>
      </c>
      <c r="O8" s="16">
        <f>IF(I8=0,"N/A",IF(MIN(IF(OR(Request!$B$8="",Request!$C$8=""),1,IFERROR(SUMIFS(Capacity_By_SKU!$K:$K,Capacity_By_SKU!$A:$A,$A8,Capacity_By_SKU!$C:$C,"DR",Capacity_By_SKU!$D:$D,Request!$B$8)/MAX(SUMIFS(Capacity_By_SKU!$J:$J,Capacity_By_SKU!$A:$A,$A8,Capacity_By_SKU!$C:$C,"DR",Capacity_By_SKU!$D:$D,Request!$B$8),1),0)),IF(OR(Request!$B$9="",Request!$C$9=""),1,IFERROR(SUMIFS(Capacity_By_SKU!$K:$K,Capacity_By_SKU!$A:$A,$A8,Capacity_By_SKU!$C:$C,"DR",Capacity_By_SKU!$D:$D,Request!$B$9)/MAX(SUMIFS(Capacity_By_SKU!$J:$J,Capacity_By_SKU!$A:$A,$A8,Capacity_By_SKU!$C:$C,"DR",Capacity_By_SKU!$D:$D,Request!$B$9),1),0)),IF(OR(Request!$B$10="",Request!$C$10=""),1,IFERROR(SUMIFS(Capacity_By_SKU!$K:$K,Capacity_By_SKU!$A:$A,$A8,Capacity_By_SKU!$C:$C,"DR",Capacity_By_SKU!$D:$D,Request!$B$10)/MAX(SUMIFS(Capacity_By_SKU!$J:$J,Capacity_By_SKU!$A:$A,$A8,Capacity_By_SKU!$C:$C,"DR",Capacity_By_SKU!$D:$D,Request!$B$10),1),0)),IF(OR(Request!$B$11="",Request!$C$11=""),1,IFERROR(SUMIFS(Capacity_By_SKU!$K:$K,Capacity_By_SKU!$A:$A,$A8,Capacity_By_SKU!$C:$C,"DR",Capacity_By_SKU!$D:$D,Request!$B$11)/MAX(SUMIFS(Capacity_By_SKU!$J:$J,Capacity_By_SKU!$A:$A,$A8,Capacity_By_SKU!$C:$C,"DR",Capacity_By_SKU!$D:$D,Request!$B$11),1),0)),IF(OR(Request!$B$12="",Request!$C$12=""),1,IFERROR(SUMIFS(Capacity_By_SKU!$K:$K,Capacity_By_SKU!$A:$A,$A8,Capacity_By_SKU!$C:$C,"DR",Capacity_By_SKU!$D:$D,Request!$B$12)/MAX(SUMIFS(Capacity_By_SKU!$J:$J,Capacity_By_SKU!$A:$A,$A8,Capacity_By_SKU!$C:$C,"DR",Capacity_By_SKU!$D:$D,Request!$B$12),1),0)),IF(OR(Request!$B$13="",Request!$C$13=""),1,IFERROR(SUMIFS(Capacity_By_SKU!$K:$K,Capacity_By_SKU!$A:$A,$A8,Capacity_By_SKU!$C:$C,"DR",Capacity_By_SKU!$D:$D,Request!$B$13)/MAX(SUMIFS(Capacity_By_SKU!$J:$J,Capacity_By_SKU!$A:$A,$A8,Capacity_By_SKU!$C:$C,"DR",Capacity_By_SKU!$D:$D,Request!$B$13),1),0)),IF(OR(Request!$B$14="",Request!$C$14=""),1,IFERROR(SUMIFS(Capacity_By_SKU!$K:$K,Capacity_By_SKU!$A:$A,$A8,Capacity_By_SKU!$C:$C,"DR",Capacity_By_SKU!$D:$D,Request!$B$14)/MAX(SUMIFS(Capacity_By_SKU!$J:$J,Capacity_By_SKU!$A:$A,$A8,Capacity_By_SKU!$C:$C,"DR",Capacity_By_SKU!$D:$D,Request!$B$14),1),0)),IF(OR(Request!$B$15="",Request!$C$15=""),1,IFERROR(SUMIFS(Capacity_By_SKU!$K:$K,Capacity_By_SKU!$A:$A,$A8,Capacity_By_SKU!$C:$C,"DR",Capacity_By_SKU!$D:$D,Request!$B$15)/MAX(SUMIFS(Capacity_By_SKU!$J:$J,Capacity_By_SKU!$A:$A,$A8,Capacity_By_SKU!$C:$C,"DR",Capacity_By_SKU!$D:$D,Request!$B$15),1),0)))&lt;=MIN(IF(OR(Request!$B$8="",Request!$C$8=""),1,IFERROR(SUMIFS(Quota_Groups!$G:$G,Quota_Groups!$B:$B,$A8,Quota_Groups!$D:$D,IFERROR(VLOOKUP(Request!$B$8,SKU_Family_Map!$A:$B,2,FALSE),""))/MAX(SUMIFS(Quota_Groups!$E:$E,Quota_Groups!$B:$B,$A8,Quota_Groups!$D:$D,IFERROR(VLOOKUP(Request!$B$8,SKU_Family_Map!$A:$B,2,FALSE),"")),1),0)),IF(OR(Request!$B$9="",Request!$C$9=""),1,IFERROR(SUMIFS(Quota_Groups!$G:$G,Quota_Groups!$B:$B,$A8,Quota_Groups!$D:$D,IFERROR(VLOOKUP(Request!$B$9,SKU_Family_Map!$A:$B,2,FALSE),""))/MAX(SUMIFS(Quota_Groups!$E:$E,Quota_Groups!$B:$B,$A8,Quota_Groups!$D:$D,IFERROR(VLOOKUP(Request!$B$9,SKU_Family_Map!$A:$B,2,FALSE),"")),1),0)),IF(OR(Request!$B$10="",Request!$C$10=""),1,IFERROR(SUMIFS(Quota_Groups!$G:$G,Quota_Groups!$B:$B,$A8,Quota_Groups!$D:$D,IFERROR(VLOOKUP(Request!$B$10,SKU_Family_Map!$A:$B,2,FALSE),""))/MAX(SUMIFS(Quota_Groups!$E:$E,Quota_Groups!$B:$B,$A8,Quota_Groups!$D:$D,IFERROR(VLOOKUP(Request!$B$10,SKU_Family_Map!$A:$B,2,FALSE),"")),1),0)),IF(OR(Request!$B$11="",Request!$C$11=""),1,IFERROR(SUMIFS(Quota_Groups!$G:$G,Quota_Groups!$B:$B,$A8,Quota_Groups!$D:$D,IFERROR(VLOOKUP(Request!$B$11,SKU_Family_Map!$A:$B,2,FALSE),""))/MAX(SUMIFS(Quota_Groups!$E:$E,Quota_Groups!$B:$B,$A8,Quota_Groups!$D:$D,IFERROR(VLOOKUP(Request!$B$11,SKU_Family_Map!$A:$B,2,FALSE),"")),1),0)),IF(OR(Request!$B$12="",Request!$C$12=""),1,IFERROR(SUMIFS(Quota_Groups!$G:$G,Quota_Groups!$B:$B,$A8,Quota_Groups!$D:$D,IFERROR(VLOOKUP(Request!$B$12,SKU_Family_Map!$A:$B,2,FALSE),""))/MAX(SUMIFS(Quota_Groups!$E:$E,Quota_Groups!$B:$B,$A8,Quota_Groups!$D:$D,IFERROR(VLOOKUP(Request!$B$12,SKU_Family_Map!$A:$B,2,FALSE),"")),1),0)),IF(OR(Request!$B$13="",Request!$C$13=""),1,IFERROR(SUMIFS(Quota_Groups!$G:$G,Quota_Groups!$B:$B,$A8,Quota_Groups!$D:$D,IFERROR(VLOOKUP(Request!$B$13,SKU_Family_Map!$A:$B,2,FALSE),""))/MAX(SUMIFS(Quota_Groups!$E:$E,Quota_Groups!$B:$B,$A8,Quota_Groups!$D:$D,IFERROR(VLOOKUP(Request!$B$13,SKU_Family_Map!$A:$B,2,FALSE),"")),1),0)),IF(OR(Request!$B$14="",Request!$C$14=""),1,IFERROR(SUMIFS(Quota_Groups!$G:$G,Quota_Groups!$B:$B,$A8,Quota_Groups!$D:$D,IFERROR(VLOOKUP(Request!$B$14,SKU_Family_Map!$A:$B,2,FALSE),""))/MAX(SUMIFS(Quota_Groups!$E:$E,Quota_Groups!$B:$B,$A8,Quota_Groups!$D:$D,IFERROR(VLOOKUP(Request!$B$14,SKU_Family_Map!$A:$B,2,FALSE),"")),1),0)),IF(OR(Request!$B$15="",Request!$C$15=""),1,IFERROR(SUMIFS(Quota_Groups!$G:$G,Quota_Groups!$B:$B,$A8,Quota_Groups!$D:$D,IFERROR(VLOOKUP(Request!$B$15,SKU_Family_Map!$A:$B,2,FALSE),""))/MAX(SUMIFS(Quota_Groups!$E:$E,Quota_Groups!$B:$B,$A8,Quota_Groups!$D:$D,IFERROR(VLOOKUP(Request!$B$15,SKU_Family_Map!$A:$B,2,FALSE),"")),1),0))),"CAPACITY","QUOTA"))</f>
        <v/>
      </c>
    </row>
    <row r="9">
      <c r="A9" s="12" t="inlineStr">
        <is>
          <t>Sweden Central</t>
        </is>
      </c>
      <c r="B9" s="16" t="inlineStr">
        <is>
          <t>EU</t>
        </is>
      </c>
      <c r="C9" s="16" t="inlineStr">
        <is>
          <t>DR</t>
        </is>
      </c>
      <c r="D9" s="16">
        <f>Request!$B$17</f>
        <v/>
      </c>
      <c r="E9" s="16">
        <f>Request!$B$18</f>
        <v/>
      </c>
      <c r="F9" s="16">
        <f>IF(B9=Request!$B$4,1,0)</f>
        <v/>
      </c>
      <c r="G9" s="18">
        <f>IF(Request!$B$17=0,0,MIN(IF(OR(Request!$B$8="",Request!$C$8=""),1,IF(MIN(SUMIFS(Capacity_By_SKU!$K:$K,Capacity_By_SKU!$A:$A,$A9,Capacity_By_SKU!$C:$C,"DR",Capacity_By_SKU!$D:$D,Request!$B$8),SUMIFS(Quota_Groups!$G:$G,Quota_Groups!$B:$B,$A9,Quota_Groups!$D:$D,IFERROR(VLOOKUP(Request!$B$8,SKU_Family_Map!$A:$B,2,FALSE),"")))&gt;=Request!$E$8,1,0)),IF(OR(Request!$B$9="",Request!$C$9=""),1,IF(MIN(SUMIFS(Capacity_By_SKU!$K:$K,Capacity_By_SKU!$A:$A,$A9,Capacity_By_SKU!$C:$C,"DR",Capacity_By_SKU!$D:$D,Request!$B$9),SUMIFS(Quota_Groups!$G:$G,Quota_Groups!$B:$B,$A9,Quota_Groups!$D:$D,IFERROR(VLOOKUP(Request!$B$9,SKU_Family_Map!$A:$B,2,FALSE),"")))&gt;=Request!$E$9,1,0)),IF(OR(Request!$B$10="",Request!$C$10=""),1,IF(MIN(SUMIFS(Capacity_By_SKU!$K:$K,Capacity_By_SKU!$A:$A,$A9,Capacity_By_SKU!$C:$C,"DR",Capacity_By_SKU!$D:$D,Request!$B$10),SUMIFS(Quota_Groups!$G:$G,Quota_Groups!$B:$B,$A9,Quota_Groups!$D:$D,IFERROR(VLOOKUP(Request!$B$10,SKU_Family_Map!$A:$B,2,FALSE),"")))&gt;=Request!$E$10,1,0)),IF(OR(Request!$B$11="",Request!$C$11=""),1,IF(MIN(SUMIFS(Capacity_By_SKU!$K:$K,Capacity_By_SKU!$A:$A,$A9,Capacity_By_SKU!$C:$C,"DR",Capacity_By_SKU!$D:$D,Request!$B$11),SUMIFS(Quota_Groups!$G:$G,Quota_Groups!$B:$B,$A9,Quota_Groups!$D:$D,IFERROR(VLOOKUP(Request!$B$11,SKU_Family_Map!$A:$B,2,FALSE),"")))&gt;=Request!$E$11,1,0)),IF(OR(Request!$B$12="",Request!$C$12=""),1,IF(MIN(SUMIFS(Capacity_By_SKU!$K:$K,Capacity_By_SKU!$A:$A,$A9,Capacity_By_SKU!$C:$C,"DR",Capacity_By_SKU!$D:$D,Request!$B$12),SUMIFS(Quota_Groups!$G:$G,Quota_Groups!$B:$B,$A9,Quota_Groups!$D:$D,IFERROR(VLOOKUP(Request!$B$12,SKU_Family_Map!$A:$B,2,FALSE),"")))&gt;=Request!$E$12,1,0)),IF(OR(Request!$B$13="",Request!$C$13=""),1,IF(MIN(SUMIFS(Capacity_By_SKU!$K:$K,Capacity_By_SKU!$A:$A,$A9,Capacity_By_SKU!$C:$C,"DR",Capacity_By_SKU!$D:$D,Request!$B$13),SUMIFS(Quota_Groups!$G:$G,Quota_Groups!$B:$B,$A9,Quota_Groups!$D:$D,IFERROR(VLOOKUP(Request!$B$13,SKU_Family_Map!$A:$B,2,FALSE),"")))&gt;=Request!$E$13,1,0)),IF(OR(Request!$B$14="",Request!$C$14=""),1,IF(MIN(SUMIFS(Capacity_By_SKU!$K:$K,Capacity_By_SKU!$A:$A,$A9,Capacity_By_SKU!$C:$C,"DR",Capacity_By_SKU!$D:$D,Request!$B$14),SUMIFS(Quota_Groups!$G:$G,Quota_Groups!$B:$B,$A9,Quota_Groups!$D:$D,IFERROR(VLOOKUP(Request!$B$14,SKU_Family_Map!$A:$B,2,FALSE),"")))&gt;=Request!$E$14,1,0)),IF(OR(Request!$B$15="",Request!$C$15=""),1,IF(MIN(SUMIFS(Capacity_By_SKU!$K:$K,Capacity_By_SKU!$A:$A,$A9,Capacity_By_SKU!$C:$C,"DR",Capacity_By_SKU!$D:$D,Request!$B$15),SUMIFS(Quota_Groups!$G:$G,Quota_Groups!$B:$B,$A9,Quota_Groups!$D:$D,IFERROR(VLOOKUP(Request!$B$15,SKU_Family_Map!$A:$B,2,FALSE),"")))&gt;=Request!$E$15,1,0))))</f>
        <v/>
      </c>
      <c r="H9" s="12">
        <f>IF(Request!$B$17=0,"NO_REQUEST",IF(SUM(IF(AND(Request!$B$8&lt;&gt;"",Request!$C$8&lt;&gt;"",SUMIFS(Capacity_By_SKU!$K:$K,Capacity_By_SKU!$A:$A,$A9,Capacity_By_SKU!$C:$C,"DR",Capacity_By_SKU!$D:$D,Request!$B$8)&lt;=0),1,0),IF(AND(Request!$B$9&lt;&gt;"",Request!$C$9&lt;&gt;"",SUMIFS(Capacity_By_SKU!$K:$K,Capacity_By_SKU!$A:$A,$A9,Capacity_By_SKU!$C:$C,"DR",Capacity_By_SKU!$D:$D,Request!$B$9)&lt;=0),1,0),IF(AND(Request!$B$10&lt;&gt;"",Request!$C$10&lt;&gt;"",SUMIFS(Capacity_By_SKU!$K:$K,Capacity_By_SKU!$A:$A,$A9,Capacity_By_SKU!$C:$C,"DR",Capacity_By_SKU!$D:$D,Request!$B$10)&lt;=0),1,0),IF(AND(Request!$B$11&lt;&gt;"",Request!$C$11&lt;&gt;"",SUMIFS(Capacity_By_SKU!$K:$K,Capacity_By_SKU!$A:$A,$A9,Capacity_By_SKU!$C:$C,"DR",Capacity_By_SKU!$D:$D,Request!$B$11)&lt;=0),1,0),IF(AND(Request!$B$12&lt;&gt;"",Request!$C$12&lt;&gt;"",SUMIFS(Capacity_By_SKU!$K:$K,Capacity_By_SKU!$A:$A,$A9,Capacity_By_SKU!$C:$C,"DR",Capacity_By_SKU!$D:$D,Request!$B$12)&lt;=0),1,0),IF(AND(Request!$B$13&lt;&gt;"",Request!$C$13&lt;&gt;"",SUMIFS(Capacity_By_SKU!$K:$K,Capacity_By_SKU!$A:$A,$A9,Capacity_By_SKU!$C:$C,"DR",Capacity_By_SKU!$D:$D,Request!$B$13)&lt;=0),1,0),IF(AND(Request!$B$14&lt;&gt;"",Request!$C$14&lt;&gt;"",SUMIFS(Capacity_By_SKU!$K:$K,Capacity_By_SKU!$A:$A,$A9,Capacity_By_SKU!$C:$C,"DR",Capacity_By_SKU!$D:$D,Request!$B$14)&lt;=0),1,0),IF(AND(Request!$B$15&lt;&gt;"",Request!$C$15&lt;&gt;"",SUMIFS(Capacity_By_SKU!$K:$K,Capacity_By_SKU!$A:$A,$A9,Capacity_By_SKU!$C:$C,"DR",Capacity_By_SKU!$D:$D,Request!$B$15)&lt;=0),1,0))&gt;0,"RESERVATION_DEFICIT",IF(SUM(IF(AND(Request!$B$8&lt;&gt;"",Request!$C$8&lt;&gt;"",SUMIFS(Quota_Groups!$G:$G,Quota_Groups!$B:$B,$A9,Quota_Groups!$D:$D,IFERROR(VLOOKUP(Request!$B$8,SKU_Family_Map!$A:$B,2,FALSE),""))&lt;=0),1,0),IF(AND(Request!$B$9&lt;&gt;"",Request!$C$9&lt;&gt;"",SUMIFS(Quota_Groups!$G:$G,Quota_Groups!$B:$B,$A9,Quota_Groups!$D:$D,IFERROR(VLOOKUP(Request!$B$9,SKU_Family_Map!$A:$B,2,FALSE),""))&lt;=0),1,0),IF(AND(Request!$B$10&lt;&gt;"",Request!$C$10&lt;&gt;"",SUMIFS(Quota_Groups!$G:$G,Quota_Groups!$B:$B,$A9,Quota_Groups!$D:$D,IFERROR(VLOOKUP(Request!$B$10,SKU_Family_Map!$A:$B,2,FALSE),""))&lt;=0),1,0),IF(AND(Request!$B$11&lt;&gt;"",Request!$C$11&lt;&gt;"",SUMIFS(Quota_Groups!$G:$G,Quota_Groups!$B:$B,$A9,Quota_Groups!$D:$D,IFERROR(VLOOKUP(Request!$B$11,SKU_Family_Map!$A:$B,2,FALSE),""))&lt;=0),1,0),IF(AND(Request!$B$12&lt;&gt;"",Request!$C$12&lt;&gt;"",SUMIFS(Quota_Groups!$G:$G,Quota_Groups!$B:$B,$A9,Quota_Groups!$D:$D,IFERROR(VLOOKUP(Request!$B$12,SKU_Family_Map!$A:$B,2,FALSE),""))&lt;=0),1,0),IF(AND(Request!$B$13&lt;&gt;"",Request!$C$13&lt;&gt;"",SUMIFS(Quota_Groups!$G:$G,Quota_Groups!$B:$B,$A9,Quota_Groups!$D:$D,IFERROR(VLOOKUP(Request!$B$13,SKU_Family_Map!$A:$B,2,FALSE),""))&lt;=0),1,0),IF(AND(Request!$B$14&lt;&gt;"",Request!$C$14&lt;&gt;"",SUMIFS(Quota_Groups!$G:$G,Quota_Groups!$B:$B,$A9,Quota_Groups!$D:$D,IFERROR(VLOOKUP(Request!$B$14,SKU_Family_Map!$A:$B,2,FALSE),""))&lt;=0),1,0),IF(AND(Request!$B$15&lt;&gt;"",Request!$C$15&lt;&gt;"",SUMIFS(Quota_Groups!$G:$G,Quota_Groups!$B:$B,$A9,Quota_Groups!$D:$D,IFERROR(VLOOKUP(Request!$B$15,SKU_Family_Map!$A:$B,2,FALSE),""))&lt;=0),1,0))&gt;0,"QUOTA_DEFICIT",IF(G9=0,"CAPACITY_DEFICIT",IF(MIN(IF(OR(Request!$B$8="",Request!$C$8=""),1,IFERROR(1-Request!$E$8/MIN(SUMIFS(Capacity_By_SKU!$K:$K,Capacity_By_SKU!$A:$A,$A9,Capacity_By_SKU!$C:$C,"DR",Capacity_By_SKU!$D:$D,Request!$B$8),SUMIFS(Quota_Groups!$G:$G,Quota_Groups!$B:$B,$A9,Quota_Groups!$D:$D,IFERROR(VLOOKUP(Request!$B$8,SKU_Family_Map!$A:$B,2,FALSE),""))),0)),IF(OR(Request!$B$9="",Request!$C$9=""),1,IFERROR(1-Request!$E$9/MIN(SUMIFS(Capacity_By_SKU!$K:$K,Capacity_By_SKU!$A:$A,$A9,Capacity_By_SKU!$C:$C,"DR",Capacity_By_SKU!$D:$D,Request!$B$9),SUMIFS(Quota_Groups!$G:$G,Quota_Groups!$B:$B,$A9,Quota_Groups!$D:$D,IFERROR(VLOOKUP(Request!$B$9,SKU_Family_Map!$A:$B,2,FALSE),""))),0)),IF(OR(Request!$B$10="",Request!$C$10=""),1,IFERROR(1-Request!$E$10/MIN(SUMIFS(Capacity_By_SKU!$K:$K,Capacity_By_SKU!$A:$A,$A9,Capacity_By_SKU!$C:$C,"DR",Capacity_By_SKU!$D:$D,Request!$B$10),SUMIFS(Quota_Groups!$G:$G,Quota_Groups!$B:$B,$A9,Quota_Groups!$D:$D,IFERROR(VLOOKUP(Request!$B$10,SKU_Family_Map!$A:$B,2,FALSE),""))),0)),IF(OR(Request!$B$11="",Request!$C$11=""),1,IFERROR(1-Request!$E$11/MIN(SUMIFS(Capacity_By_SKU!$K:$K,Capacity_By_SKU!$A:$A,$A9,Capacity_By_SKU!$C:$C,"DR",Capacity_By_SKU!$D:$D,Request!$B$11),SUMIFS(Quota_Groups!$G:$G,Quota_Groups!$B:$B,$A9,Quota_Groups!$D:$D,IFERROR(VLOOKUP(Request!$B$11,SKU_Family_Map!$A:$B,2,FALSE),""))),0)),IF(OR(Request!$B$12="",Request!$C$12=""),1,IFERROR(1-Request!$E$12/MIN(SUMIFS(Capacity_By_SKU!$K:$K,Capacity_By_SKU!$A:$A,$A9,Capacity_By_SKU!$C:$C,"DR",Capacity_By_SKU!$D:$D,Request!$B$12),SUMIFS(Quota_Groups!$G:$G,Quota_Groups!$B:$B,$A9,Quota_Groups!$D:$D,IFERROR(VLOOKUP(Request!$B$12,SKU_Family_Map!$A:$B,2,FALSE),""))),0)),IF(OR(Request!$B$13="",Request!$C$13=""),1,IFERROR(1-Request!$E$13/MIN(SUMIFS(Capacity_By_SKU!$K:$K,Capacity_By_SKU!$A:$A,$A9,Capacity_By_SKU!$C:$C,"DR",Capacity_By_SKU!$D:$D,Request!$B$13),SUMIFS(Quota_Groups!$G:$G,Quota_Groups!$B:$B,$A9,Quota_Groups!$D:$D,IFERROR(VLOOKUP(Request!$B$13,SKU_Family_Map!$A:$B,2,FALSE),""))),0)),IF(OR(Request!$B$14="",Request!$C$14=""),1,IFERROR(1-Request!$E$14/MIN(SUMIFS(Capacity_By_SKU!$K:$K,Capacity_By_SKU!$A:$A,$A9,Capacity_By_SKU!$C:$C,"DR",Capacity_By_SKU!$D:$D,Request!$B$14),SUMIFS(Quota_Groups!$G:$G,Quota_Groups!$B:$B,$A9,Quota_Groups!$D:$D,IFERROR(VLOOKUP(Request!$B$14,SKU_Family_Map!$A:$B,2,FALSE),""))),0)),IF(OR(Request!$B$15="",Request!$C$15=""),1,IFERROR(1-Request!$E$15/MIN(SUMIFS(Capacity_By_SKU!$K:$K,Capacity_By_SKU!$A:$A,$A9,Capacity_By_SKU!$C:$C,"DR",Capacity_By_SKU!$D:$D,Request!$B$15),SUMIFS(Quota_Groups!$G:$G,Quota_Groups!$B:$B,$A9,Quota_Groups!$D:$D,IFERROR(VLOOKUP(Request!$B$15,SKU_Family_Map!$A:$B,2,FALSE),""))),0)))&lt;Policy!$B$10,"READY_WITH_RISK","READY")))))</f>
        <v/>
      </c>
      <c r="I9" s="16">
        <f>IF(AND(F9=1,G9=1,OR(H9="READY",H9="READY_WITH_RISK")),1,0)</f>
        <v/>
      </c>
      <c r="J9" s="16">
        <f>IF(I9=1,MAX(0,MIN(IF(OR(Request!$B$8="",Request!$C$8=""),1,IFERROR(1-Request!$E$8/MIN(SUMIFS(Capacity_By_SKU!$K:$K,Capacity_By_SKU!$A:$A,$A9,Capacity_By_SKU!$C:$C,"DR",Capacity_By_SKU!$D:$D,Request!$B$8),SUMIFS(Quota_Groups!$G:$G,Quota_Groups!$B:$B,$A9,Quota_Groups!$D:$D,IFERROR(VLOOKUP(Request!$B$8,SKU_Family_Map!$A:$B,2,FALSE),""))),0)),IF(OR(Request!$B$9="",Request!$C$9=""),1,IFERROR(1-Request!$E$9/MIN(SUMIFS(Capacity_By_SKU!$K:$K,Capacity_By_SKU!$A:$A,$A9,Capacity_By_SKU!$C:$C,"DR",Capacity_By_SKU!$D:$D,Request!$B$9),SUMIFS(Quota_Groups!$G:$G,Quota_Groups!$B:$B,$A9,Quota_Groups!$D:$D,IFERROR(VLOOKUP(Request!$B$9,SKU_Family_Map!$A:$B,2,FALSE),""))),0)),IF(OR(Request!$B$10="",Request!$C$10=""),1,IFERROR(1-Request!$E$10/MIN(SUMIFS(Capacity_By_SKU!$K:$K,Capacity_By_SKU!$A:$A,$A9,Capacity_By_SKU!$C:$C,"DR",Capacity_By_SKU!$D:$D,Request!$B$10),SUMIFS(Quota_Groups!$G:$G,Quota_Groups!$B:$B,$A9,Quota_Groups!$D:$D,IFERROR(VLOOKUP(Request!$B$10,SKU_Family_Map!$A:$B,2,FALSE),""))),0)),IF(OR(Request!$B$11="",Request!$C$11=""),1,IFERROR(1-Request!$E$11/MIN(SUMIFS(Capacity_By_SKU!$K:$K,Capacity_By_SKU!$A:$A,$A9,Capacity_By_SKU!$C:$C,"DR",Capacity_By_SKU!$D:$D,Request!$B$11),SUMIFS(Quota_Groups!$G:$G,Quota_Groups!$B:$B,$A9,Quota_Groups!$D:$D,IFERROR(VLOOKUP(Request!$B$11,SKU_Family_Map!$A:$B,2,FALSE),""))),0)),IF(OR(Request!$B$12="",Request!$C$12=""),1,IFERROR(1-Request!$E$12/MIN(SUMIFS(Capacity_By_SKU!$K:$K,Capacity_By_SKU!$A:$A,$A9,Capacity_By_SKU!$C:$C,"DR",Capacity_By_SKU!$D:$D,Request!$B$12),SUMIFS(Quota_Groups!$G:$G,Quota_Groups!$B:$B,$A9,Quota_Groups!$D:$D,IFERROR(VLOOKUP(Request!$B$12,SKU_Family_Map!$A:$B,2,FALSE),""))),0)),IF(OR(Request!$B$13="",Request!$C$13=""),1,IFERROR(1-Request!$E$13/MIN(SUMIFS(Capacity_By_SKU!$K:$K,Capacity_By_SKU!$A:$A,$A9,Capacity_By_SKU!$C:$C,"DR",Capacity_By_SKU!$D:$D,Request!$B$13),SUMIFS(Quota_Groups!$G:$G,Quota_Groups!$B:$B,$A9,Quota_Groups!$D:$D,IFERROR(VLOOKUP(Request!$B$13,SKU_Family_Map!$A:$B,2,FALSE),""))),0)),IF(OR(Request!$B$14="",Request!$C$14=""),1,IFERROR(1-Request!$E$14/MIN(SUMIFS(Capacity_By_SKU!$K:$K,Capacity_By_SKU!$A:$A,$A9,Capacity_By_SKU!$C:$C,"DR",Capacity_By_SKU!$D:$D,Request!$B$14),SUMIFS(Quota_Groups!$G:$G,Quota_Groups!$B:$B,$A9,Quota_Groups!$D:$D,IFERROR(VLOOKUP(Request!$B$14,SKU_Family_Map!$A:$B,2,FALSE),""))),0)),IF(OR(Request!$B$15="",Request!$C$15=""),1,IFERROR(1-Request!$E$15/MIN(SUMIFS(Capacity_By_SKU!$K:$K,Capacity_By_SKU!$A:$A,$A9,Capacity_By_SKU!$C:$C,"DR",Capacity_By_SKU!$D:$D,Request!$B$15),SUMIFS(Quota_Groups!$G:$G,Quota_Groups!$B:$B,$A9,Quota_Groups!$D:$D,IFERROR(VLOOKUP(Request!$B$15,SKU_Family_Map!$A:$B,2,FALSE),""))),0)))),0)</f>
        <v/>
      </c>
      <c r="K9" s="16">
        <f>IF(I9=1,MAX(0,MIN(IF(OR(Request!$B$8="",Request!$C$8=""),1,IFERROR(SUMIFS(Quota_Groups!$G:$G,Quota_Groups!$B:$B,$A9,Quota_Groups!$D:$D,IFERROR(VLOOKUP(Request!$B$8,SKU_Family_Map!$A:$B,2,FALSE),""))/MAX(SUMIFS(Quota_Groups!$E:$E,Quota_Groups!$B:$B,$A9,Quota_Groups!$D:$D,IFERROR(VLOOKUP(Request!$B$8,SKU_Family_Map!$A:$B,2,FALSE),"")),1),0)),IF(OR(Request!$B$9="",Request!$C$9=""),1,IFERROR(SUMIFS(Quota_Groups!$G:$G,Quota_Groups!$B:$B,$A9,Quota_Groups!$D:$D,IFERROR(VLOOKUP(Request!$B$9,SKU_Family_Map!$A:$B,2,FALSE),""))/MAX(SUMIFS(Quota_Groups!$E:$E,Quota_Groups!$B:$B,$A9,Quota_Groups!$D:$D,IFERROR(VLOOKUP(Request!$B$9,SKU_Family_Map!$A:$B,2,FALSE),"")),1),0)),IF(OR(Request!$B$10="",Request!$C$10=""),1,IFERROR(SUMIFS(Quota_Groups!$G:$G,Quota_Groups!$B:$B,$A9,Quota_Groups!$D:$D,IFERROR(VLOOKUP(Request!$B$10,SKU_Family_Map!$A:$B,2,FALSE),""))/MAX(SUMIFS(Quota_Groups!$E:$E,Quota_Groups!$B:$B,$A9,Quota_Groups!$D:$D,IFERROR(VLOOKUP(Request!$B$10,SKU_Family_Map!$A:$B,2,FALSE),"")),1),0)),IF(OR(Request!$B$11="",Request!$C$11=""),1,IFERROR(SUMIFS(Quota_Groups!$G:$G,Quota_Groups!$B:$B,$A9,Quota_Groups!$D:$D,IFERROR(VLOOKUP(Request!$B$11,SKU_Family_Map!$A:$B,2,FALSE),""))/MAX(SUMIFS(Quota_Groups!$E:$E,Quota_Groups!$B:$B,$A9,Quota_Groups!$D:$D,IFERROR(VLOOKUP(Request!$B$11,SKU_Family_Map!$A:$B,2,FALSE),"")),1),0)),IF(OR(Request!$B$12="",Request!$C$12=""),1,IFERROR(SUMIFS(Quota_Groups!$G:$G,Quota_Groups!$B:$B,$A9,Quota_Groups!$D:$D,IFERROR(VLOOKUP(Request!$B$12,SKU_Family_Map!$A:$B,2,FALSE),""))/MAX(SUMIFS(Quota_Groups!$E:$E,Quota_Groups!$B:$B,$A9,Quota_Groups!$D:$D,IFERROR(VLOOKUP(Request!$B$12,SKU_Family_Map!$A:$B,2,FALSE),"")),1),0)),IF(OR(Request!$B$13="",Request!$C$13=""),1,IFERROR(SUMIFS(Quota_Groups!$G:$G,Quota_Groups!$B:$B,$A9,Quota_Groups!$D:$D,IFERROR(VLOOKUP(Request!$B$13,SKU_Family_Map!$A:$B,2,FALSE),""))/MAX(SUMIFS(Quota_Groups!$E:$E,Quota_Groups!$B:$B,$A9,Quota_Groups!$D:$D,IFERROR(VLOOKUP(Request!$B$13,SKU_Family_Map!$A:$B,2,FALSE),"")),1),0)),IF(OR(Request!$B$14="",Request!$C$14=""),1,IFERROR(SUMIFS(Quota_Groups!$G:$G,Quota_Groups!$B:$B,$A9,Quota_Groups!$D:$D,IFERROR(VLOOKUP(Request!$B$14,SKU_Family_Map!$A:$B,2,FALSE),""))/MAX(SUMIFS(Quota_Groups!$E:$E,Quota_Groups!$B:$B,$A9,Quota_Groups!$D:$D,IFERROR(VLOOKUP(Request!$B$14,SKU_Family_Map!$A:$B,2,FALSE),"")),1),0)),IF(OR(Request!$B$15="",Request!$C$15=""),1,IFERROR(SUMIFS(Quota_Groups!$G:$G,Quota_Groups!$B:$B,$A9,Quota_Groups!$D:$D,IFERROR(VLOOKUP(Request!$B$15,SKU_Family_Map!$A:$B,2,FALSE),""))/MAX(SUMIFS(Quota_Groups!$E:$E,Quota_Groups!$B:$B,$A9,Quota_Groups!$D:$D,IFERROR(VLOOKUP(Request!$B$15,SKU_Family_Map!$A:$B,2,FALSE),"")),1),0)))),0)</f>
        <v/>
      </c>
      <c r="L9" s="16">
        <f>IF(I9=1,MAX(0,MIN(IF(OR(Request!$B$8="",Request!$C$8=""),1,IFERROR(SUMIFS(Capacity_By_SKU!$K:$K,Capacity_By_SKU!$A:$A,$A9,Capacity_By_SKU!$C:$C,"DR",Capacity_By_SKU!$D:$D,Request!$B$8)/MAX(SUMIFS(Capacity_By_SKU!$J:$J,Capacity_By_SKU!$A:$A,$A9,Capacity_By_SKU!$C:$C,"DR",Capacity_By_SKU!$D:$D,Request!$B$8),1),0)),IF(OR(Request!$B$9="",Request!$C$9=""),1,IFERROR(SUMIFS(Capacity_By_SKU!$K:$K,Capacity_By_SKU!$A:$A,$A9,Capacity_By_SKU!$C:$C,"DR",Capacity_By_SKU!$D:$D,Request!$B$9)/MAX(SUMIFS(Capacity_By_SKU!$J:$J,Capacity_By_SKU!$A:$A,$A9,Capacity_By_SKU!$C:$C,"DR",Capacity_By_SKU!$D:$D,Request!$B$9),1),0)),IF(OR(Request!$B$10="",Request!$C$10=""),1,IFERROR(SUMIFS(Capacity_By_SKU!$K:$K,Capacity_By_SKU!$A:$A,$A9,Capacity_By_SKU!$C:$C,"DR",Capacity_By_SKU!$D:$D,Request!$B$10)/MAX(SUMIFS(Capacity_By_SKU!$J:$J,Capacity_By_SKU!$A:$A,$A9,Capacity_By_SKU!$C:$C,"DR",Capacity_By_SKU!$D:$D,Request!$B$10),1),0)),IF(OR(Request!$B$11="",Request!$C$11=""),1,IFERROR(SUMIFS(Capacity_By_SKU!$K:$K,Capacity_By_SKU!$A:$A,$A9,Capacity_By_SKU!$C:$C,"DR",Capacity_By_SKU!$D:$D,Request!$B$11)/MAX(SUMIFS(Capacity_By_SKU!$J:$J,Capacity_By_SKU!$A:$A,$A9,Capacity_By_SKU!$C:$C,"DR",Capacity_By_SKU!$D:$D,Request!$B$11),1),0)),IF(OR(Request!$B$12="",Request!$C$12=""),1,IFERROR(SUMIFS(Capacity_By_SKU!$K:$K,Capacity_By_SKU!$A:$A,$A9,Capacity_By_SKU!$C:$C,"DR",Capacity_By_SKU!$D:$D,Request!$B$12)/MAX(SUMIFS(Capacity_By_SKU!$J:$J,Capacity_By_SKU!$A:$A,$A9,Capacity_By_SKU!$C:$C,"DR",Capacity_By_SKU!$D:$D,Request!$B$12),1),0)),IF(OR(Request!$B$13="",Request!$C$13=""),1,IFERROR(SUMIFS(Capacity_By_SKU!$K:$K,Capacity_By_SKU!$A:$A,$A9,Capacity_By_SKU!$C:$C,"DR",Capacity_By_SKU!$D:$D,Request!$B$13)/MAX(SUMIFS(Capacity_By_SKU!$J:$J,Capacity_By_SKU!$A:$A,$A9,Capacity_By_SKU!$C:$C,"DR",Capacity_By_SKU!$D:$D,Request!$B$13),1),0)),IF(OR(Request!$B$14="",Request!$C$14=""),1,IFERROR(SUMIFS(Capacity_By_SKU!$K:$K,Capacity_By_SKU!$A:$A,$A9,Capacity_By_SKU!$C:$C,"DR",Capacity_By_SKU!$D:$D,Request!$B$14)/MAX(SUMIFS(Capacity_By_SKU!$J:$J,Capacity_By_SKU!$A:$A,$A9,Capacity_By_SKU!$C:$C,"DR",Capacity_By_SKU!$D:$D,Request!$B$14),1),0)),IF(OR(Request!$B$15="",Request!$C$15=""),1,IFERROR(SUMIFS(Capacity_By_SKU!$K:$K,Capacity_By_SKU!$A:$A,$A9,Capacity_By_SKU!$C:$C,"DR",Capacity_By_SKU!$D:$D,Request!$B$15)/MAX(SUMIFS(Capacity_By_SKU!$J:$J,Capacity_By_SKU!$A:$A,$A9,Capacity_By_SKU!$C:$C,"DR",Capacity_By_SKU!$D:$D,Request!$B$15),1),0)))),0)</f>
        <v/>
      </c>
      <c r="M9" s="22">
        <f>IF(I9=1,ROUND(Policy!$B$4*J9+Policy!$B$5*K9+Policy!$B$6*L9,4),"")</f>
        <v/>
      </c>
      <c r="N9" s="16">
        <f>IF(I9=1,SUMPRODUCT(($I$4:$I$11=1)*($M$4:$M$11&gt;M9))+1,"")</f>
        <v/>
      </c>
      <c r="O9" s="16">
        <f>IF(I9=0,"N/A",IF(MIN(IF(OR(Request!$B$8="",Request!$C$8=""),1,IFERROR(SUMIFS(Capacity_By_SKU!$K:$K,Capacity_By_SKU!$A:$A,$A9,Capacity_By_SKU!$C:$C,"DR",Capacity_By_SKU!$D:$D,Request!$B$8)/MAX(SUMIFS(Capacity_By_SKU!$J:$J,Capacity_By_SKU!$A:$A,$A9,Capacity_By_SKU!$C:$C,"DR",Capacity_By_SKU!$D:$D,Request!$B$8),1),0)),IF(OR(Request!$B$9="",Request!$C$9=""),1,IFERROR(SUMIFS(Capacity_By_SKU!$K:$K,Capacity_By_SKU!$A:$A,$A9,Capacity_By_SKU!$C:$C,"DR",Capacity_By_SKU!$D:$D,Request!$B$9)/MAX(SUMIFS(Capacity_By_SKU!$J:$J,Capacity_By_SKU!$A:$A,$A9,Capacity_By_SKU!$C:$C,"DR",Capacity_By_SKU!$D:$D,Request!$B$9),1),0)),IF(OR(Request!$B$10="",Request!$C$10=""),1,IFERROR(SUMIFS(Capacity_By_SKU!$K:$K,Capacity_By_SKU!$A:$A,$A9,Capacity_By_SKU!$C:$C,"DR",Capacity_By_SKU!$D:$D,Request!$B$10)/MAX(SUMIFS(Capacity_By_SKU!$J:$J,Capacity_By_SKU!$A:$A,$A9,Capacity_By_SKU!$C:$C,"DR",Capacity_By_SKU!$D:$D,Request!$B$10),1),0)),IF(OR(Request!$B$11="",Request!$C$11=""),1,IFERROR(SUMIFS(Capacity_By_SKU!$K:$K,Capacity_By_SKU!$A:$A,$A9,Capacity_By_SKU!$C:$C,"DR",Capacity_By_SKU!$D:$D,Request!$B$11)/MAX(SUMIFS(Capacity_By_SKU!$J:$J,Capacity_By_SKU!$A:$A,$A9,Capacity_By_SKU!$C:$C,"DR",Capacity_By_SKU!$D:$D,Request!$B$11),1),0)),IF(OR(Request!$B$12="",Request!$C$12=""),1,IFERROR(SUMIFS(Capacity_By_SKU!$K:$K,Capacity_By_SKU!$A:$A,$A9,Capacity_By_SKU!$C:$C,"DR",Capacity_By_SKU!$D:$D,Request!$B$12)/MAX(SUMIFS(Capacity_By_SKU!$J:$J,Capacity_By_SKU!$A:$A,$A9,Capacity_By_SKU!$C:$C,"DR",Capacity_By_SKU!$D:$D,Request!$B$12),1),0)),IF(OR(Request!$B$13="",Request!$C$13=""),1,IFERROR(SUMIFS(Capacity_By_SKU!$K:$K,Capacity_By_SKU!$A:$A,$A9,Capacity_By_SKU!$C:$C,"DR",Capacity_By_SKU!$D:$D,Request!$B$13)/MAX(SUMIFS(Capacity_By_SKU!$J:$J,Capacity_By_SKU!$A:$A,$A9,Capacity_By_SKU!$C:$C,"DR",Capacity_By_SKU!$D:$D,Request!$B$13),1),0)),IF(OR(Request!$B$14="",Request!$C$14=""),1,IFERROR(SUMIFS(Capacity_By_SKU!$K:$K,Capacity_By_SKU!$A:$A,$A9,Capacity_By_SKU!$C:$C,"DR",Capacity_By_SKU!$D:$D,Request!$B$14)/MAX(SUMIFS(Capacity_By_SKU!$J:$J,Capacity_By_SKU!$A:$A,$A9,Capacity_By_SKU!$C:$C,"DR",Capacity_By_SKU!$D:$D,Request!$B$14),1),0)),IF(OR(Request!$B$15="",Request!$C$15=""),1,IFERROR(SUMIFS(Capacity_By_SKU!$K:$K,Capacity_By_SKU!$A:$A,$A9,Capacity_By_SKU!$C:$C,"DR",Capacity_By_SKU!$D:$D,Request!$B$15)/MAX(SUMIFS(Capacity_By_SKU!$J:$J,Capacity_By_SKU!$A:$A,$A9,Capacity_By_SKU!$C:$C,"DR",Capacity_By_SKU!$D:$D,Request!$B$15),1),0)))&lt;=MIN(IF(OR(Request!$B$8="",Request!$C$8=""),1,IFERROR(SUMIFS(Quota_Groups!$G:$G,Quota_Groups!$B:$B,$A9,Quota_Groups!$D:$D,IFERROR(VLOOKUP(Request!$B$8,SKU_Family_Map!$A:$B,2,FALSE),""))/MAX(SUMIFS(Quota_Groups!$E:$E,Quota_Groups!$B:$B,$A9,Quota_Groups!$D:$D,IFERROR(VLOOKUP(Request!$B$8,SKU_Family_Map!$A:$B,2,FALSE),"")),1),0)),IF(OR(Request!$B$9="",Request!$C$9=""),1,IFERROR(SUMIFS(Quota_Groups!$G:$G,Quota_Groups!$B:$B,$A9,Quota_Groups!$D:$D,IFERROR(VLOOKUP(Request!$B$9,SKU_Family_Map!$A:$B,2,FALSE),""))/MAX(SUMIFS(Quota_Groups!$E:$E,Quota_Groups!$B:$B,$A9,Quota_Groups!$D:$D,IFERROR(VLOOKUP(Request!$B$9,SKU_Family_Map!$A:$B,2,FALSE),"")),1),0)),IF(OR(Request!$B$10="",Request!$C$10=""),1,IFERROR(SUMIFS(Quota_Groups!$G:$G,Quota_Groups!$B:$B,$A9,Quota_Groups!$D:$D,IFERROR(VLOOKUP(Request!$B$10,SKU_Family_Map!$A:$B,2,FALSE),""))/MAX(SUMIFS(Quota_Groups!$E:$E,Quota_Groups!$B:$B,$A9,Quota_Groups!$D:$D,IFERROR(VLOOKUP(Request!$B$10,SKU_Family_Map!$A:$B,2,FALSE),"")),1),0)),IF(OR(Request!$B$11="",Request!$C$11=""),1,IFERROR(SUMIFS(Quota_Groups!$G:$G,Quota_Groups!$B:$B,$A9,Quota_Groups!$D:$D,IFERROR(VLOOKUP(Request!$B$11,SKU_Family_Map!$A:$B,2,FALSE),""))/MAX(SUMIFS(Quota_Groups!$E:$E,Quota_Groups!$B:$B,$A9,Quota_Groups!$D:$D,IFERROR(VLOOKUP(Request!$B$11,SKU_Family_Map!$A:$B,2,FALSE),"")),1),0)),IF(OR(Request!$B$12="",Request!$C$12=""),1,IFERROR(SUMIFS(Quota_Groups!$G:$G,Quota_Groups!$B:$B,$A9,Quota_Groups!$D:$D,IFERROR(VLOOKUP(Request!$B$12,SKU_Family_Map!$A:$B,2,FALSE),""))/MAX(SUMIFS(Quota_Groups!$E:$E,Quota_Groups!$B:$B,$A9,Quota_Groups!$D:$D,IFERROR(VLOOKUP(Request!$B$12,SKU_Family_Map!$A:$B,2,FALSE),"")),1),0)),IF(OR(Request!$B$13="",Request!$C$13=""),1,IFERROR(SUMIFS(Quota_Groups!$G:$G,Quota_Groups!$B:$B,$A9,Quota_Groups!$D:$D,IFERROR(VLOOKUP(Request!$B$13,SKU_Family_Map!$A:$B,2,FALSE),""))/MAX(SUMIFS(Quota_Groups!$E:$E,Quota_Groups!$B:$B,$A9,Quota_Groups!$D:$D,IFERROR(VLOOKUP(Request!$B$13,SKU_Family_Map!$A:$B,2,FALSE),"")),1),0)),IF(OR(Request!$B$14="",Request!$C$14=""),1,IFERROR(SUMIFS(Quota_Groups!$G:$G,Quota_Groups!$B:$B,$A9,Quota_Groups!$D:$D,IFERROR(VLOOKUP(Request!$B$14,SKU_Family_Map!$A:$B,2,FALSE),""))/MAX(SUMIFS(Quota_Groups!$E:$E,Quota_Groups!$B:$B,$A9,Quota_Groups!$D:$D,IFERROR(VLOOKUP(Request!$B$14,SKU_Family_Map!$A:$B,2,FALSE),"")),1),0)),IF(OR(Request!$B$15="",Request!$C$15=""),1,IFERROR(SUMIFS(Quota_Groups!$G:$G,Quota_Groups!$B:$B,$A9,Quota_Groups!$D:$D,IFERROR(VLOOKUP(Request!$B$15,SKU_Family_Map!$A:$B,2,FALSE),""))/MAX(SUMIFS(Quota_Groups!$E:$E,Quota_Groups!$B:$B,$A9,Quota_Groups!$D:$D,IFERROR(VLOOKUP(Request!$B$15,SKU_Family_Map!$A:$B,2,FALSE),"")),1),0))),"CAPACITY","QUOTA"))</f>
        <v/>
      </c>
    </row>
    <row r="10">
      <c r="A10" s="12" t="inlineStr">
        <is>
          <t>North Europe</t>
        </is>
      </c>
      <c r="B10" s="16" t="inlineStr">
        <is>
          <t>EU</t>
        </is>
      </c>
      <c r="C10" s="16" t="inlineStr">
        <is>
          <t>DR</t>
        </is>
      </c>
      <c r="D10" s="16">
        <f>Request!$B$17</f>
        <v/>
      </c>
      <c r="E10" s="16">
        <f>Request!$B$18</f>
        <v/>
      </c>
      <c r="F10" s="16">
        <f>IF(B10=Request!$B$4,1,0)</f>
        <v/>
      </c>
      <c r="G10" s="18">
        <f>IF(Request!$B$17=0,0,MIN(IF(OR(Request!$B$8="",Request!$C$8=""),1,IF(MIN(SUMIFS(Capacity_By_SKU!$K:$K,Capacity_By_SKU!$A:$A,$A10,Capacity_By_SKU!$C:$C,"DR",Capacity_By_SKU!$D:$D,Request!$B$8),SUMIFS(Quota_Groups!$G:$G,Quota_Groups!$B:$B,$A10,Quota_Groups!$D:$D,IFERROR(VLOOKUP(Request!$B$8,SKU_Family_Map!$A:$B,2,FALSE),"")))&gt;=Request!$E$8,1,0)),IF(OR(Request!$B$9="",Request!$C$9=""),1,IF(MIN(SUMIFS(Capacity_By_SKU!$K:$K,Capacity_By_SKU!$A:$A,$A10,Capacity_By_SKU!$C:$C,"DR",Capacity_By_SKU!$D:$D,Request!$B$9),SUMIFS(Quota_Groups!$G:$G,Quota_Groups!$B:$B,$A10,Quota_Groups!$D:$D,IFERROR(VLOOKUP(Request!$B$9,SKU_Family_Map!$A:$B,2,FALSE),"")))&gt;=Request!$E$9,1,0)),IF(OR(Request!$B$10="",Request!$C$10=""),1,IF(MIN(SUMIFS(Capacity_By_SKU!$K:$K,Capacity_By_SKU!$A:$A,$A10,Capacity_By_SKU!$C:$C,"DR",Capacity_By_SKU!$D:$D,Request!$B$10),SUMIFS(Quota_Groups!$G:$G,Quota_Groups!$B:$B,$A10,Quota_Groups!$D:$D,IFERROR(VLOOKUP(Request!$B$10,SKU_Family_Map!$A:$B,2,FALSE),"")))&gt;=Request!$E$10,1,0)),IF(OR(Request!$B$11="",Request!$C$11=""),1,IF(MIN(SUMIFS(Capacity_By_SKU!$K:$K,Capacity_By_SKU!$A:$A,$A10,Capacity_By_SKU!$C:$C,"DR",Capacity_By_SKU!$D:$D,Request!$B$11),SUMIFS(Quota_Groups!$G:$G,Quota_Groups!$B:$B,$A10,Quota_Groups!$D:$D,IFERROR(VLOOKUP(Request!$B$11,SKU_Family_Map!$A:$B,2,FALSE),"")))&gt;=Request!$E$11,1,0)),IF(OR(Request!$B$12="",Request!$C$12=""),1,IF(MIN(SUMIFS(Capacity_By_SKU!$K:$K,Capacity_By_SKU!$A:$A,$A10,Capacity_By_SKU!$C:$C,"DR",Capacity_By_SKU!$D:$D,Request!$B$12),SUMIFS(Quota_Groups!$G:$G,Quota_Groups!$B:$B,$A10,Quota_Groups!$D:$D,IFERROR(VLOOKUP(Request!$B$12,SKU_Family_Map!$A:$B,2,FALSE),"")))&gt;=Request!$E$12,1,0)),IF(OR(Request!$B$13="",Request!$C$13=""),1,IF(MIN(SUMIFS(Capacity_By_SKU!$K:$K,Capacity_By_SKU!$A:$A,$A10,Capacity_By_SKU!$C:$C,"DR",Capacity_By_SKU!$D:$D,Request!$B$13),SUMIFS(Quota_Groups!$G:$G,Quota_Groups!$B:$B,$A10,Quota_Groups!$D:$D,IFERROR(VLOOKUP(Request!$B$13,SKU_Family_Map!$A:$B,2,FALSE),"")))&gt;=Request!$E$13,1,0)),IF(OR(Request!$B$14="",Request!$C$14=""),1,IF(MIN(SUMIFS(Capacity_By_SKU!$K:$K,Capacity_By_SKU!$A:$A,$A10,Capacity_By_SKU!$C:$C,"DR",Capacity_By_SKU!$D:$D,Request!$B$14),SUMIFS(Quota_Groups!$G:$G,Quota_Groups!$B:$B,$A10,Quota_Groups!$D:$D,IFERROR(VLOOKUP(Request!$B$14,SKU_Family_Map!$A:$B,2,FALSE),"")))&gt;=Request!$E$14,1,0)),IF(OR(Request!$B$15="",Request!$C$15=""),1,IF(MIN(SUMIFS(Capacity_By_SKU!$K:$K,Capacity_By_SKU!$A:$A,$A10,Capacity_By_SKU!$C:$C,"DR",Capacity_By_SKU!$D:$D,Request!$B$15),SUMIFS(Quota_Groups!$G:$G,Quota_Groups!$B:$B,$A10,Quota_Groups!$D:$D,IFERROR(VLOOKUP(Request!$B$15,SKU_Family_Map!$A:$B,2,FALSE),"")))&gt;=Request!$E$15,1,0))))</f>
        <v/>
      </c>
      <c r="H10" s="12">
        <f>IF(Request!$B$17=0,"NO_REQUEST",IF(SUM(IF(AND(Request!$B$8&lt;&gt;"",Request!$C$8&lt;&gt;"",SUMIFS(Capacity_By_SKU!$K:$K,Capacity_By_SKU!$A:$A,$A10,Capacity_By_SKU!$C:$C,"DR",Capacity_By_SKU!$D:$D,Request!$B$8)&lt;=0),1,0),IF(AND(Request!$B$9&lt;&gt;"",Request!$C$9&lt;&gt;"",SUMIFS(Capacity_By_SKU!$K:$K,Capacity_By_SKU!$A:$A,$A10,Capacity_By_SKU!$C:$C,"DR",Capacity_By_SKU!$D:$D,Request!$B$9)&lt;=0),1,0),IF(AND(Request!$B$10&lt;&gt;"",Request!$C$10&lt;&gt;"",SUMIFS(Capacity_By_SKU!$K:$K,Capacity_By_SKU!$A:$A,$A10,Capacity_By_SKU!$C:$C,"DR",Capacity_By_SKU!$D:$D,Request!$B$10)&lt;=0),1,0),IF(AND(Request!$B$11&lt;&gt;"",Request!$C$11&lt;&gt;"",SUMIFS(Capacity_By_SKU!$K:$K,Capacity_By_SKU!$A:$A,$A10,Capacity_By_SKU!$C:$C,"DR",Capacity_By_SKU!$D:$D,Request!$B$11)&lt;=0),1,0),IF(AND(Request!$B$12&lt;&gt;"",Request!$C$12&lt;&gt;"",SUMIFS(Capacity_By_SKU!$K:$K,Capacity_By_SKU!$A:$A,$A10,Capacity_By_SKU!$C:$C,"DR",Capacity_By_SKU!$D:$D,Request!$B$12)&lt;=0),1,0),IF(AND(Request!$B$13&lt;&gt;"",Request!$C$13&lt;&gt;"",SUMIFS(Capacity_By_SKU!$K:$K,Capacity_By_SKU!$A:$A,$A10,Capacity_By_SKU!$C:$C,"DR",Capacity_By_SKU!$D:$D,Request!$B$13)&lt;=0),1,0),IF(AND(Request!$B$14&lt;&gt;"",Request!$C$14&lt;&gt;"",SUMIFS(Capacity_By_SKU!$K:$K,Capacity_By_SKU!$A:$A,$A10,Capacity_By_SKU!$C:$C,"DR",Capacity_By_SKU!$D:$D,Request!$B$14)&lt;=0),1,0),IF(AND(Request!$B$15&lt;&gt;"",Request!$C$15&lt;&gt;"",SUMIFS(Capacity_By_SKU!$K:$K,Capacity_By_SKU!$A:$A,$A10,Capacity_By_SKU!$C:$C,"DR",Capacity_By_SKU!$D:$D,Request!$B$15)&lt;=0),1,0))&gt;0,"RESERVATION_DEFICIT",IF(SUM(IF(AND(Request!$B$8&lt;&gt;"",Request!$C$8&lt;&gt;"",SUMIFS(Quota_Groups!$G:$G,Quota_Groups!$B:$B,$A10,Quota_Groups!$D:$D,IFERROR(VLOOKUP(Request!$B$8,SKU_Family_Map!$A:$B,2,FALSE),""))&lt;=0),1,0),IF(AND(Request!$B$9&lt;&gt;"",Request!$C$9&lt;&gt;"",SUMIFS(Quota_Groups!$G:$G,Quota_Groups!$B:$B,$A10,Quota_Groups!$D:$D,IFERROR(VLOOKUP(Request!$B$9,SKU_Family_Map!$A:$B,2,FALSE),""))&lt;=0),1,0),IF(AND(Request!$B$10&lt;&gt;"",Request!$C$10&lt;&gt;"",SUMIFS(Quota_Groups!$G:$G,Quota_Groups!$B:$B,$A10,Quota_Groups!$D:$D,IFERROR(VLOOKUP(Request!$B$10,SKU_Family_Map!$A:$B,2,FALSE),""))&lt;=0),1,0),IF(AND(Request!$B$11&lt;&gt;"",Request!$C$11&lt;&gt;"",SUMIFS(Quota_Groups!$G:$G,Quota_Groups!$B:$B,$A10,Quota_Groups!$D:$D,IFERROR(VLOOKUP(Request!$B$11,SKU_Family_Map!$A:$B,2,FALSE),""))&lt;=0),1,0),IF(AND(Request!$B$12&lt;&gt;"",Request!$C$12&lt;&gt;"",SUMIFS(Quota_Groups!$G:$G,Quota_Groups!$B:$B,$A10,Quota_Groups!$D:$D,IFERROR(VLOOKUP(Request!$B$12,SKU_Family_Map!$A:$B,2,FALSE),""))&lt;=0),1,0),IF(AND(Request!$B$13&lt;&gt;"",Request!$C$13&lt;&gt;"",SUMIFS(Quota_Groups!$G:$G,Quota_Groups!$B:$B,$A10,Quota_Groups!$D:$D,IFERROR(VLOOKUP(Request!$B$13,SKU_Family_Map!$A:$B,2,FALSE),""))&lt;=0),1,0),IF(AND(Request!$B$14&lt;&gt;"",Request!$C$14&lt;&gt;"",SUMIFS(Quota_Groups!$G:$G,Quota_Groups!$B:$B,$A10,Quota_Groups!$D:$D,IFERROR(VLOOKUP(Request!$B$14,SKU_Family_Map!$A:$B,2,FALSE),""))&lt;=0),1,0),IF(AND(Request!$B$15&lt;&gt;"",Request!$C$15&lt;&gt;"",SUMIFS(Quota_Groups!$G:$G,Quota_Groups!$B:$B,$A10,Quota_Groups!$D:$D,IFERROR(VLOOKUP(Request!$B$15,SKU_Family_Map!$A:$B,2,FALSE),""))&lt;=0),1,0))&gt;0,"QUOTA_DEFICIT",IF(G10=0,"CAPACITY_DEFICIT",IF(MIN(IF(OR(Request!$B$8="",Request!$C$8=""),1,IFERROR(1-Request!$E$8/MIN(SUMIFS(Capacity_By_SKU!$K:$K,Capacity_By_SKU!$A:$A,$A10,Capacity_By_SKU!$C:$C,"DR",Capacity_By_SKU!$D:$D,Request!$B$8),SUMIFS(Quota_Groups!$G:$G,Quota_Groups!$B:$B,$A10,Quota_Groups!$D:$D,IFERROR(VLOOKUP(Request!$B$8,SKU_Family_Map!$A:$B,2,FALSE),""))),0)),IF(OR(Request!$B$9="",Request!$C$9=""),1,IFERROR(1-Request!$E$9/MIN(SUMIFS(Capacity_By_SKU!$K:$K,Capacity_By_SKU!$A:$A,$A10,Capacity_By_SKU!$C:$C,"DR",Capacity_By_SKU!$D:$D,Request!$B$9),SUMIFS(Quota_Groups!$G:$G,Quota_Groups!$B:$B,$A10,Quota_Groups!$D:$D,IFERROR(VLOOKUP(Request!$B$9,SKU_Family_Map!$A:$B,2,FALSE),""))),0)),IF(OR(Request!$B$10="",Request!$C$10=""),1,IFERROR(1-Request!$E$10/MIN(SUMIFS(Capacity_By_SKU!$K:$K,Capacity_By_SKU!$A:$A,$A10,Capacity_By_SKU!$C:$C,"DR",Capacity_By_SKU!$D:$D,Request!$B$10),SUMIFS(Quota_Groups!$G:$G,Quota_Groups!$B:$B,$A10,Quota_Groups!$D:$D,IFERROR(VLOOKUP(Request!$B$10,SKU_Family_Map!$A:$B,2,FALSE),""))),0)),IF(OR(Request!$B$11="",Request!$C$11=""),1,IFERROR(1-Request!$E$11/MIN(SUMIFS(Capacity_By_SKU!$K:$K,Capacity_By_SKU!$A:$A,$A10,Capacity_By_SKU!$C:$C,"DR",Capacity_By_SKU!$D:$D,Request!$B$11),SUMIFS(Quota_Groups!$G:$G,Quota_Groups!$B:$B,$A10,Quota_Groups!$D:$D,IFERROR(VLOOKUP(Request!$B$11,SKU_Family_Map!$A:$B,2,FALSE),""))),0)),IF(OR(Request!$B$12="",Request!$C$12=""),1,IFERROR(1-Request!$E$12/MIN(SUMIFS(Capacity_By_SKU!$K:$K,Capacity_By_SKU!$A:$A,$A10,Capacity_By_SKU!$C:$C,"DR",Capacity_By_SKU!$D:$D,Request!$B$12),SUMIFS(Quota_Groups!$G:$G,Quota_Groups!$B:$B,$A10,Quota_Groups!$D:$D,IFERROR(VLOOKUP(Request!$B$12,SKU_Family_Map!$A:$B,2,FALSE),""))),0)),IF(OR(Request!$B$13="",Request!$C$13=""),1,IFERROR(1-Request!$E$13/MIN(SUMIFS(Capacity_By_SKU!$K:$K,Capacity_By_SKU!$A:$A,$A10,Capacity_By_SKU!$C:$C,"DR",Capacity_By_SKU!$D:$D,Request!$B$13),SUMIFS(Quota_Groups!$G:$G,Quota_Groups!$B:$B,$A10,Quota_Groups!$D:$D,IFERROR(VLOOKUP(Request!$B$13,SKU_Family_Map!$A:$B,2,FALSE),""))),0)),IF(OR(Request!$B$14="",Request!$C$14=""),1,IFERROR(1-Request!$E$14/MIN(SUMIFS(Capacity_By_SKU!$K:$K,Capacity_By_SKU!$A:$A,$A10,Capacity_By_SKU!$C:$C,"DR",Capacity_By_SKU!$D:$D,Request!$B$14),SUMIFS(Quota_Groups!$G:$G,Quota_Groups!$B:$B,$A10,Quota_Groups!$D:$D,IFERROR(VLOOKUP(Request!$B$14,SKU_Family_Map!$A:$B,2,FALSE),""))),0)),IF(OR(Request!$B$15="",Request!$C$15=""),1,IFERROR(1-Request!$E$15/MIN(SUMIFS(Capacity_By_SKU!$K:$K,Capacity_By_SKU!$A:$A,$A10,Capacity_By_SKU!$C:$C,"DR",Capacity_By_SKU!$D:$D,Request!$B$15),SUMIFS(Quota_Groups!$G:$G,Quota_Groups!$B:$B,$A10,Quota_Groups!$D:$D,IFERROR(VLOOKUP(Request!$B$15,SKU_Family_Map!$A:$B,2,FALSE),""))),0)))&lt;Policy!$B$10,"READY_WITH_RISK","READY")))))</f>
        <v/>
      </c>
      <c r="I10" s="16">
        <f>IF(AND(F10=1,G10=1,OR(H10="READY",H10="READY_WITH_RISK")),1,0)</f>
        <v/>
      </c>
      <c r="J10" s="16">
        <f>IF(I10=1,MAX(0,MIN(IF(OR(Request!$B$8="",Request!$C$8=""),1,IFERROR(1-Request!$E$8/MIN(SUMIFS(Capacity_By_SKU!$K:$K,Capacity_By_SKU!$A:$A,$A10,Capacity_By_SKU!$C:$C,"DR",Capacity_By_SKU!$D:$D,Request!$B$8),SUMIFS(Quota_Groups!$G:$G,Quota_Groups!$B:$B,$A10,Quota_Groups!$D:$D,IFERROR(VLOOKUP(Request!$B$8,SKU_Family_Map!$A:$B,2,FALSE),""))),0)),IF(OR(Request!$B$9="",Request!$C$9=""),1,IFERROR(1-Request!$E$9/MIN(SUMIFS(Capacity_By_SKU!$K:$K,Capacity_By_SKU!$A:$A,$A10,Capacity_By_SKU!$C:$C,"DR",Capacity_By_SKU!$D:$D,Request!$B$9),SUMIFS(Quota_Groups!$G:$G,Quota_Groups!$B:$B,$A10,Quota_Groups!$D:$D,IFERROR(VLOOKUP(Request!$B$9,SKU_Family_Map!$A:$B,2,FALSE),""))),0)),IF(OR(Request!$B$10="",Request!$C$10=""),1,IFERROR(1-Request!$E$10/MIN(SUMIFS(Capacity_By_SKU!$K:$K,Capacity_By_SKU!$A:$A,$A10,Capacity_By_SKU!$C:$C,"DR",Capacity_By_SKU!$D:$D,Request!$B$10),SUMIFS(Quota_Groups!$G:$G,Quota_Groups!$B:$B,$A10,Quota_Groups!$D:$D,IFERROR(VLOOKUP(Request!$B$10,SKU_Family_Map!$A:$B,2,FALSE),""))),0)),IF(OR(Request!$B$11="",Request!$C$11=""),1,IFERROR(1-Request!$E$11/MIN(SUMIFS(Capacity_By_SKU!$K:$K,Capacity_By_SKU!$A:$A,$A10,Capacity_By_SKU!$C:$C,"DR",Capacity_By_SKU!$D:$D,Request!$B$11),SUMIFS(Quota_Groups!$G:$G,Quota_Groups!$B:$B,$A10,Quota_Groups!$D:$D,IFERROR(VLOOKUP(Request!$B$11,SKU_Family_Map!$A:$B,2,FALSE),""))),0)),IF(OR(Request!$B$12="",Request!$C$12=""),1,IFERROR(1-Request!$E$12/MIN(SUMIFS(Capacity_By_SKU!$K:$K,Capacity_By_SKU!$A:$A,$A10,Capacity_By_SKU!$C:$C,"DR",Capacity_By_SKU!$D:$D,Request!$B$12),SUMIFS(Quota_Groups!$G:$G,Quota_Groups!$B:$B,$A10,Quota_Groups!$D:$D,IFERROR(VLOOKUP(Request!$B$12,SKU_Family_Map!$A:$B,2,FALSE),""))),0)),IF(OR(Request!$B$13="",Request!$C$13=""),1,IFERROR(1-Request!$E$13/MIN(SUMIFS(Capacity_By_SKU!$K:$K,Capacity_By_SKU!$A:$A,$A10,Capacity_By_SKU!$C:$C,"DR",Capacity_By_SKU!$D:$D,Request!$B$13),SUMIFS(Quota_Groups!$G:$G,Quota_Groups!$B:$B,$A10,Quota_Groups!$D:$D,IFERROR(VLOOKUP(Request!$B$13,SKU_Family_Map!$A:$B,2,FALSE),""))),0)),IF(OR(Request!$B$14="",Request!$C$14=""),1,IFERROR(1-Request!$E$14/MIN(SUMIFS(Capacity_By_SKU!$K:$K,Capacity_By_SKU!$A:$A,$A10,Capacity_By_SKU!$C:$C,"DR",Capacity_By_SKU!$D:$D,Request!$B$14),SUMIFS(Quota_Groups!$G:$G,Quota_Groups!$B:$B,$A10,Quota_Groups!$D:$D,IFERROR(VLOOKUP(Request!$B$14,SKU_Family_Map!$A:$B,2,FALSE),""))),0)),IF(OR(Request!$B$15="",Request!$C$15=""),1,IFERROR(1-Request!$E$15/MIN(SUMIFS(Capacity_By_SKU!$K:$K,Capacity_By_SKU!$A:$A,$A10,Capacity_By_SKU!$C:$C,"DR",Capacity_By_SKU!$D:$D,Request!$B$15),SUMIFS(Quota_Groups!$G:$G,Quota_Groups!$B:$B,$A10,Quota_Groups!$D:$D,IFERROR(VLOOKUP(Request!$B$15,SKU_Family_Map!$A:$B,2,FALSE),""))),0)))),0)</f>
        <v/>
      </c>
      <c r="K10" s="16">
        <f>IF(I10=1,MAX(0,MIN(IF(OR(Request!$B$8="",Request!$C$8=""),1,IFERROR(SUMIFS(Quota_Groups!$G:$G,Quota_Groups!$B:$B,$A10,Quota_Groups!$D:$D,IFERROR(VLOOKUP(Request!$B$8,SKU_Family_Map!$A:$B,2,FALSE),""))/MAX(SUMIFS(Quota_Groups!$E:$E,Quota_Groups!$B:$B,$A10,Quota_Groups!$D:$D,IFERROR(VLOOKUP(Request!$B$8,SKU_Family_Map!$A:$B,2,FALSE),"")),1),0)),IF(OR(Request!$B$9="",Request!$C$9=""),1,IFERROR(SUMIFS(Quota_Groups!$G:$G,Quota_Groups!$B:$B,$A10,Quota_Groups!$D:$D,IFERROR(VLOOKUP(Request!$B$9,SKU_Family_Map!$A:$B,2,FALSE),""))/MAX(SUMIFS(Quota_Groups!$E:$E,Quota_Groups!$B:$B,$A10,Quota_Groups!$D:$D,IFERROR(VLOOKUP(Request!$B$9,SKU_Family_Map!$A:$B,2,FALSE),"")),1),0)),IF(OR(Request!$B$10="",Request!$C$10=""),1,IFERROR(SUMIFS(Quota_Groups!$G:$G,Quota_Groups!$B:$B,$A10,Quota_Groups!$D:$D,IFERROR(VLOOKUP(Request!$B$10,SKU_Family_Map!$A:$B,2,FALSE),""))/MAX(SUMIFS(Quota_Groups!$E:$E,Quota_Groups!$B:$B,$A10,Quota_Groups!$D:$D,IFERROR(VLOOKUP(Request!$B$10,SKU_Family_Map!$A:$B,2,FALSE),"")),1),0)),IF(OR(Request!$B$11="",Request!$C$11=""),1,IFERROR(SUMIFS(Quota_Groups!$G:$G,Quota_Groups!$B:$B,$A10,Quota_Groups!$D:$D,IFERROR(VLOOKUP(Request!$B$11,SKU_Family_Map!$A:$B,2,FALSE),""))/MAX(SUMIFS(Quota_Groups!$E:$E,Quota_Groups!$B:$B,$A10,Quota_Groups!$D:$D,IFERROR(VLOOKUP(Request!$B$11,SKU_Family_Map!$A:$B,2,FALSE),"")),1),0)),IF(OR(Request!$B$12="",Request!$C$12=""),1,IFERROR(SUMIFS(Quota_Groups!$G:$G,Quota_Groups!$B:$B,$A10,Quota_Groups!$D:$D,IFERROR(VLOOKUP(Request!$B$12,SKU_Family_Map!$A:$B,2,FALSE),""))/MAX(SUMIFS(Quota_Groups!$E:$E,Quota_Groups!$B:$B,$A10,Quota_Groups!$D:$D,IFERROR(VLOOKUP(Request!$B$12,SKU_Family_Map!$A:$B,2,FALSE),"")),1),0)),IF(OR(Request!$B$13="",Request!$C$13=""),1,IFERROR(SUMIFS(Quota_Groups!$G:$G,Quota_Groups!$B:$B,$A10,Quota_Groups!$D:$D,IFERROR(VLOOKUP(Request!$B$13,SKU_Family_Map!$A:$B,2,FALSE),""))/MAX(SUMIFS(Quota_Groups!$E:$E,Quota_Groups!$B:$B,$A10,Quota_Groups!$D:$D,IFERROR(VLOOKUP(Request!$B$13,SKU_Family_Map!$A:$B,2,FALSE),"")),1),0)),IF(OR(Request!$B$14="",Request!$C$14=""),1,IFERROR(SUMIFS(Quota_Groups!$G:$G,Quota_Groups!$B:$B,$A10,Quota_Groups!$D:$D,IFERROR(VLOOKUP(Request!$B$14,SKU_Family_Map!$A:$B,2,FALSE),""))/MAX(SUMIFS(Quota_Groups!$E:$E,Quota_Groups!$B:$B,$A10,Quota_Groups!$D:$D,IFERROR(VLOOKUP(Request!$B$14,SKU_Family_Map!$A:$B,2,FALSE),"")),1),0)),IF(OR(Request!$B$15="",Request!$C$15=""),1,IFERROR(SUMIFS(Quota_Groups!$G:$G,Quota_Groups!$B:$B,$A10,Quota_Groups!$D:$D,IFERROR(VLOOKUP(Request!$B$15,SKU_Family_Map!$A:$B,2,FALSE),""))/MAX(SUMIFS(Quota_Groups!$E:$E,Quota_Groups!$B:$B,$A10,Quota_Groups!$D:$D,IFERROR(VLOOKUP(Request!$B$15,SKU_Family_Map!$A:$B,2,FALSE),"")),1),0)))),0)</f>
        <v/>
      </c>
      <c r="L10" s="16">
        <f>IF(I10=1,MAX(0,MIN(IF(OR(Request!$B$8="",Request!$C$8=""),1,IFERROR(SUMIFS(Capacity_By_SKU!$K:$K,Capacity_By_SKU!$A:$A,$A10,Capacity_By_SKU!$C:$C,"DR",Capacity_By_SKU!$D:$D,Request!$B$8)/MAX(SUMIFS(Capacity_By_SKU!$J:$J,Capacity_By_SKU!$A:$A,$A10,Capacity_By_SKU!$C:$C,"DR",Capacity_By_SKU!$D:$D,Request!$B$8),1),0)),IF(OR(Request!$B$9="",Request!$C$9=""),1,IFERROR(SUMIFS(Capacity_By_SKU!$K:$K,Capacity_By_SKU!$A:$A,$A10,Capacity_By_SKU!$C:$C,"DR",Capacity_By_SKU!$D:$D,Request!$B$9)/MAX(SUMIFS(Capacity_By_SKU!$J:$J,Capacity_By_SKU!$A:$A,$A10,Capacity_By_SKU!$C:$C,"DR",Capacity_By_SKU!$D:$D,Request!$B$9),1),0)),IF(OR(Request!$B$10="",Request!$C$10=""),1,IFERROR(SUMIFS(Capacity_By_SKU!$K:$K,Capacity_By_SKU!$A:$A,$A10,Capacity_By_SKU!$C:$C,"DR",Capacity_By_SKU!$D:$D,Request!$B$10)/MAX(SUMIFS(Capacity_By_SKU!$J:$J,Capacity_By_SKU!$A:$A,$A10,Capacity_By_SKU!$C:$C,"DR",Capacity_By_SKU!$D:$D,Request!$B$10),1),0)),IF(OR(Request!$B$11="",Request!$C$11=""),1,IFERROR(SUMIFS(Capacity_By_SKU!$K:$K,Capacity_By_SKU!$A:$A,$A10,Capacity_By_SKU!$C:$C,"DR",Capacity_By_SKU!$D:$D,Request!$B$11)/MAX(SUMIFS(Capacity_By_SKU!$J:$J,Capacity_By_SKU!$A:$A,$A10,Capacity_By_SKU!$C:$C,"DR",Capacity_By_SKU!$D:$D,Request!$B$11),1),0)),IF(OR(Request!$B$12="",Request!$C$12=""),1,IFERROR(SUMIFS(Capacity_By_SKU!$K:$K,Capacity_By_SKU!$A:$A,$A10,Capacity_By_SKU!$C:$C,"DR",Capacity_By_SKU!$D:$D,Request!$B$12)/MAX(SUMIFS(Capacity_By_SKU!$J:$J,Capacity_By_SKU!$A:$A,$A10,Capacity_By_SKU!$C:$C,"DR",Capacity_By_SKU!$D:$D,Request!$B$12),1),0)),IF(OR(Request!$B$13="",Request!$C$13=""),1,IFERROR(SUMIFS(Capacity_By_SKU!$K:$K,Capacity_By_SKU!$A:$A,$A10,Capacity_By_SKU!$C:$C,"DR",Capacity_By_SKU!$D:$D,Request!$B$13)/MAX(SUMIFS(Capacity_By_SKU!$J:$J,Capacity_By_SKU!$A:$A,$A10,Capacity_By_SKU!$C:$C,"DR",Capacity_By_SKU!$D:$D,Request!$B$13),1),0)),IF(OR(Request!$B$14="",Request!$C$14=""),1,IFERROR(SUMIFS(Capacity_By_SKU!$K:$K,Capacity_By_SKU!$A:$A,$A10,Capacity_By_SKU!$C:$C,"DR",Capacity_By_SKU!$D:$D,Request!$B$14)/MAX(SUMIFS(Capacity_By_SKU!$J:$J,Capacity_By_SKU!$A:$A,$A10,Capacity_By_SKU!$C:$C,"DR",Capacity_By_SKU!$D:$D,Request!$B$14),1),0)),IF(OR(Request!$B$15="",Request!$C$15=""),1,IFERROR(SUMIFS(Capacity_By_SKU!$K:$K,Capacity_By_SKU!$A:$A,$A10,Capacity_By_SKU!$C:$C,"DR",Capacity_By_SKU!$D:$D,Request!$B$15)/MAX(SUMIFS(Capacity_By_SKU!$J:$J,Capacity_By_SKU!$A:$A,$A10,Capacity_By_SKU!$C:$C,"DR",Capacity_By_SKU!$D:$D,Request!$B$15),1),0)))),0)</f>
        <v/>
      </c>
      <c r="M10" s="22">
        <f>IF(I10=1,ROUND(Policy!$B$4*J10+Policy!$B$5*K10+Policy!$B$6*L10,4),"")</f>
        <v/>
      </c>
      <c r="N10" s="16">
        <f>IF(I10=1,SUMPRODUCT(($I$4:$I$11=1)*($M$4:$M$11&gt;M10))+1,"")</f>
        <v/>
      </c>
      <c r="O10" s="16">
        <f>IF(I10=0,"N/A",IF(MIN(IF(OR(Request!$B$8="",Request!$C$8=""),1,IFERROR(SUMIFS(Capacity_By_SKU!$K:$K,Capacity_By_SKU!$A:$A,$A10,Capacity_By_SKU!$C:$C,"DR",Capacity_By_SKU!$D:$D,Request!$B$8)/MAX(SUMIFS(Capacity_By_SKU!$J:$J,Capacity_By_SKU!$A:$A,$A10,Capacity_By_SKU!$C:$C,"DR",Capacity_By_SKU!$D:$D,Request!$B$8),1),0)),IF(OR(Request!$B$9="",Request!$C$9=""),1,IFERROR(SUMIFS(Capacity_By_SKU!$K:$K,Capacity_By_SKU!$A:$A,$A10,Capacity_By_SKU!$C:$C,"DR",Capacity_By_SKU!$D:$D,Request!$B$9)/MAX(SUMIFS(Capacity_By_SKU!$J:$J,Capacity_By_SKU!$A:$A,$A10,Capacity_By_SKU!$C:$C,"DR",Capacity_By_SKU!$D:$D,Request!$B$9),1),0)),IF(OR(Request!$B$10="",Request!$C$10=""),1,IFERROR(SUMIFS(Capacity_By_SKU!$K:$K,Capacity_By_SKU!$A:$A,$A10,Capacity_By_SKU!$C:$C,"DR",Capacity_By_SKU!$D:$D,Request!$B$10)/MAX(SUMIFS(Capacity_By_SKU!$J:$J,Capacity_By_SKU!$A:$A,$A10,Capacity_By_SKU!$C:$C,"DR",Capacity_By_SKU!$D:$D,Request!$B$10),1),0)),IF(OR(Request!$B$11="",Request!$C$11=""),1,IFERROR(SUMIFS(Capacity_By_SKU!$K:$K,Capacity_By_SKU!$A:$A,$A10,Capacity_By_SKU!$C:$C,"DR",Capacity_By_SKU!$D:$D,Request!$B$11)/MAX(SUMIFS(Capacity_By_SKU!$J:$J,Capacity_By_SKU!$A:$A,$A10,Capacity_By_SKU!$C:$C,"DR",Capacity_By_SKU!$D:$D,Request!$B$11),1),0)),IF(OR(Request!$B$12="",Request!$C$12=""),1,IFERROR(SUMIFS(Capacity_By_SKU!$K:$K,Capacity_By_SKU!$A:$A,$A10,Capacity_By_SKU!$C:$C,"DR",Capacity_By_SKU!$D:$D,Request!$B$12)/MAX(SUMIFS(Capacity_By_SKU!$J:$J,Capacity_By_SKU!$A:$A,$A10,Capacity_By_SKU!$C:$C,"DR",Capacity_By_SKU!$D:$D,Request!$B$12),1),0)),IF(OR(Request!$B$13="",Request!$C$13=""),1,IFERROR(SUMIFS(Capacity_By_SKU!$K:$K,Capacity_By_SKU!$A:$A,$A10,Capacity_By_SKU!$C:$C,"DR",Capacity_By_SKU!$D:$D,Request!$B$13)/MAX(SUMIFS(Capacity_By_SKU!$J:$J,Capacity_By_SKU!$A:$A,$A10,Capacity_By_SKU!$C:$C,"DR",Capacity_By_SKU!$D:$D,Request!$B$13),1),0)),IF(OR(Request!$B$14="",Request!$C$14=""),1,IFERROR(SUMIFS(Capacity_By_SKU!$K:$K,Capacity_By_SKU!$A:$A,$A10,Capacity_By_SKU!$C:$C,"DR",Capacity_By_SKU!$D:$D,Request!$B$14)/MAX(SUMIFS(Capacity_By_SKU!$J:$J,Capacity_By_SKU!$A:$A,$A10,Capacity_By_SKU!$C:$C,"DR",Capacity_By_SKU!$D:$D,Request!$B$14),1),0)),IF(OR(Request!$B$15="",Request!$C$15=""),1,IFERROR(SUMIFS(Capacity_By_SKU!$K:$K,Capacity_By_SKU!$A:$A,$A10,Capacity_By_SKU!$C:$C,"DR",Capacity_By_SKU!$D:$D,Request!$B$15)/MAX(SUMIFS(Capacity_By_SKU!$J:$J,Capacity_By_SKU!$A:$A,$A10,Capacity_By_SKU!$C:$C,"DR",Capacity_By_SKU!$D:$D,Request!$B$15),1),0)))&lt;=MIN(IF(OR(Request!$B$8="",Request!$C$8=""),1,IFERROR(SUMIFS(Quota_Groups!$G:$G,Quota_Groups!$B:$B,$A10,Quota_Groups!$D:$D,IFERROR(VLOOKUP(Request!$B$8,SKU_Family_Map!$A:$B,2,FALSE),""))/MAX(SUMIFS(Quota_Groups!$E:$E,Quota_Groups!$B:$B,$A10,Quota_Groups!$D:$D,IFERROR(VLOOKUP(Request!$B$8,SKU_Family_Map!$A:$B,2,FALSE),"")),1),0)),IF(OR(Request!$B$9="",Request!$C$9=""),1,IFERROR(SUMIFS(Quota_Groups!$G:$G,Quota_Groups!$B:$B,$A10,Quota_Groups!$D:$D,IFERROR(VLOOKUP(Request!$B$9,SKU_Family_Map!$A:$B,2,FALSE),""))/MAX(SUMIFS(Quota_Groups!$E:$E,Quota_Groups!$B:$B,$A10,Quota_Groups!$D:$D,IFERROR(VLOOKUP(Request!$B$9,SKU_Family_Map!$A:$B,2,FALSE),"")),1),0)),IF(OR(Request!$B$10="",Request!$C$10=""),1,IFERROR(SUMIFS(Quota_Groups!$G:$G,Quota_Groups!$B:$B,$A10,Quota_Groups!$D:$D,IFERROR(VLOOKUP(Request!$B$10,SKU_Family_Map!$A:$B,2,FALSE),""))/MAX(SUMIFS(Quota_Groups!$E:$E,Quota_Groups!$B:$B,$A10,Quota_Groups!$D:$D,IFERROR(VLOOKUP(Request!$B$10,SKU_Family_Map!$A:$B,2,FALSE),"")),1),0)),IF(OR(Request!$B$11="",Request!$C$11=""),1,IFERROR(SUMIFS(Quota_Groups!$G:$G,Quota_Groups!$B:$B,$A10,Quota_Groups!$D:$D,IFERROR(VLOOKUP(Request!$B$11,SKU_Family_Map!$A:$B,2,FALSE),""))/MAX(SUMIFS(Quota_Groups!$E:$E,Quota_Groups!$B:$B,$A10,Quota_Groups!$D:$D,IFERROR(VLOOKUP(Request!$B$11,SKU_Family_Map!$A:$B,2,FALSE),"")),1),0)),IF(OR(Request!$B$12="",Request!$C$12=""),1,IFERROR(SUMIFS(Quota_Groups!$G:$G,Quota_Groups!$B:$B,$A10,Quota_Groups!$D:$D,IFERROR(VLOOKUP(Request!$B$12,SKU_Family_Map!$A:$B,2,FALSE),""))/MAX(SUMIFS(Quota_Groups!$E:$E,Quota_Groups!$B:$B,$A10,Quota_Groups!$D:$D,IFERROR(VLOOKUP(Request!$B$12,SKU_Family_Map!$A:$B,2,FALSE),"")),1),0)),IF(OR(Request!$B$13="",Request!$C$13=""),1,IFERROR(SUMIFS(Quota_Groups!$G:$G,Quota_Groups!$B:$B,$A10,Quota_Groups!$D:$D,IFERROR(VLOOKUP(Request!$B$13,SKU_Family_Map!$A:$B,2,FALSE),""))/MAX(SUMIFS(Quota_Groups!$E:$E,Quota_Groups!$B:$B,$A10,Quota_Groups!$D:$D,IFERROR(VLOOKUP(Request!$B$13,SKU_Family_Map!$A:$B,2,FALSE),"")),1),0)),IF(OR(Request!$B$14="",Request!$C$14=""),1,IFERROR(SUMIFS(Quota_Groups!$G:$G,Quota_Groups!$B:$B,$A10,Quota_Groups!$D:$D,IFERROR(VLOOKUP(Request!$B$14,SKU_Family_Map!$A:$B,2,FALSE),""))/MAX(SUMIFS(Quota_Groups!$E:$E,Quota_Groups!$B:$B,$A10,Quota_Groups!$D:$D,IFERROR(VLOOKUP(Request!$B$14,SKU_Family_Map!$A:$B,2,FALSE),"")),1),0)),IF(OR(Request!$B$15="",Request!$C$15=""),1,IFERROR(SUMIFS(Quota_Groups!$G:$G,Quota_Groups!$B:$B,$A10,Quota_Groups!$D:$D,IFERROR(VLOOKUP(Request!$B$15,SKU_Family_Map!$A:$B,2,FALSE),""))/MAX(SUMIFS(Quota_Groups!$E:$E,Quota_Groups!$B:$B,$A10,Quota_Groups!$D:$D,IFERROR(VLOOKUP(Request!$B$15,SKU_Family_Map!$A:$B,2,FALSE),"")),1),0))),"CAPACITY","QUOTA"))</f>
        <v/>
      </c>
    </row>
    <row r="11">
      <c r="A11" s="12" t="inlineStr">
        <is>
          <t>West Europe</t>
        </is>
      </c>
      <c r="B11" s="16" t="inlineStr">
        <is>
          <t>EU</t>
        </is>
      </c>
      <c r="C11" s="16" t="inlineStr">
        <is>
          <t>DR</t>
        </is>
      </c>
      <c r="D11" s="16">
        <f>Request!$B$17</f>
        <v/>
      </c>
      <c r="E11" s="16">
        <f>Request!$B$18</f>
        <v/>
      </c>
      <c r="F11" s="16">
        <f>IF(B11=Request!$B$4,1,0)</f>
        <v/>
      </c>
      <c r="G11" s="18">
        <f>IF(Request!$B$17=0,0,MIN(IF(OR(Request!$B$8="",Request!$C$8=""),1,IF(MIN(SUMIFS(Capacity_By_SKU!$K:$K,Capacity_By_SKU!$A:$A,$A11,Capacity_By_SKU!$C:$C,"DR",Capacity_By_SKU!$D:$D,Request!$B$8),SUMIFS(Quota_Groups!$G:$G,Quota_Groups!$B:$B,$A11,Quota_Groups!$D:$D,IFERROR(VLOOKUP(Request!$B$8,SKU_Family_Map!$A:$B,2,FALSE),"")))&gt;=Request!$E$8,1,0)),IF(OR(Request!$B$9="",Request!$C$9=""),1,IF(MIN(SUMIFS(Capacity_By_SKU!$K:$K,Capacity_By_SKU!$A:$A,$A11,Capacity_By_SKU!$C:$C,"DR",Capacity_By_SKU!$D:$D,Request!$B$9),SUMIFS(Quota_Groups!$G:$G,Quota_Groups!$B:$B,$A11,Quota_Groups!$D:$D,IFERROR(VLOOKUP(Request!$B$9,SKU_Family_Map!$A:$B,2,FALSE),"")))&gt;=Request!$E$9,1,0)),IF(OR(Request!$B$10="",Request!$C$10=""),1,IF(MIN(SUMIFS(Capacity_By_SKU!$K:$K,Capacity_By_SKU!$A:$A,$A11,Capacity_By_SKU!$C:$C,"DR",Capacity_By_SKU!$D:$D,Request!$B$10),SUMIFS(Quota_Groups!$G:$G,Quota_Groups!$B:$B,$A11,Quota_Groups!$D:$D,IFERROR(VLOOKUP(Request!$B$10,SKU_Family_Map!$A:$B,2,FALSE),"")))&gt;=Request!$E$10,1,0)),IF(OR(Request!$B$11="",Request!$C$11=""),1,IF(MIN(SUMIFS(Capacity_By_SKU!$K:$K,Capacity_By_SKU!$A:$A,$A11,Capacity_By_SKU!$C:$C,"DR",Capacity_By_SKU!$D:$D,Request!$B$11),SUMIFS(Quota_Groups!$G:$G,Quota_Groups!$B:$B,$A11,Quota_Groups!$D:$D,IFERROR(VLOOKUP(Request!$B$11,SKU_Family_Map!$A:$B,2,FALSE),"")))&gt;=Request!$E$11,1,0)),IF(OR(Request!$B$12="",Request!$C$12=""),1,IF(MIN(SUMIFS(Capacity_By_SKU!$K:$K,Capacity_By_SKU!$A:$A,$A11,Capacity_By_SKU!$C:$C,"DR",Capacity_By_SKU!$D:$D,Request!$B$12),SUMIFS(Quota_Groups!$G:$G,Quota_Groups!$B:$B,$A11,Quota_Groups!$D:$D,IFERROR(VLOOKUP(Request!$B$12,SKU_Family_Map!$A:$B,2,FALSE),"")))&gt;=Request!$E$12,1,0)),IF(OR(Request!$B$13="",Request!$C$13=""),1,IF(MIN(SUMIFS(Capacity_By_SKU!$K:$K,Capacity_By_SKU!$A:$A,$A11,Capacity_By_SKU!$C:$C,"DR",Capacity_By_SKU!$D:$D,Request!$B$13),SUMIFS(Quota_Groups!$G:$G,Quota_Groups!$B:$B,$A11,Quota_Groups!$D:$D,IFERROR(VLOOKUP(Request!$B$13,SKU_Family_Map!$A:$B,2,FALSE),"")))&gt;=Request!$E$13,1,0)),IF(OR(Request!$B$14="",Request!$C$14=""),1,IF(MIN(SUMIFS(Capacity_By_SKU!$K:$K,Capacity_By_SKU!$A:$A,$A11,Capacity_By_SKU!$C:$C,"DR",Capacity_By_SKU!$D:$D,Request!$B$14),SUMIFS(Quota_Groups!$G:$G,Quota_Groups!$B:$B,$A11,Quota_Groups!$D:$D,IFERROR(VLOOKUP(Request!$B$14,SKU_Family_Map!$A:$B,2,FALSE),"")))&gt;=Request!$E$14,1,0)),IF(OR(Request!$B$15="",Request!$C$15=""),1,IF(MIN(SUMIFS(Capacity_By_SKU!$K:$K,Capacity_By_SKU!$A:$A,$A11,Capacity_By_SKU!$C:$C,"DR",Capacity_By_SKU!$D:$D,Request!$B$15),SUMIFS(Quota_Groups!$G:$G,Quota_Groups!$B:$B,$A11,Quota_Groups!$D:$D,IFERROR(VLOOKUP(Request!$B$15,SKU_Family_Map!$A:$B,2,FALSE),"")))&gt;=Request!$E$15,1,0))))</f>
        <v/>
      </c>
      <c r="H11" s="12">
        <f>IF(Request!$B$17=0,"NO_REQUEST",IF(SUM(IF(AND(Request!$B$8&lt;&gt;"",Request!$C$8&lt;&gt;"",SUMIFS(Capacity_By_SKU!$K:$K,Capacity_By_SKU!$A:$A,$A11,Capacity_By_SKU!$C:$C,"DR",Capacity_By_SKU!$D:$D,Request!$B$8)&lt;=0),1,0),IF(AND(Request!$B$9&lt;&gt;"",Request!$C$9&lt;&gt;"",SUMIFS(Capacity_By_SKU!$K:$K,Capacity_By_SKU!$A:$A,$A11,Capacity_By_SKU!$C:$C,"DR",Capacity_By_SKU!$D:$D,Request!$B$9)&lt;=0),1,0),IF(AND(Request!$B$10&lt;&gt;"",Request!$C$10&lt;&gt;"",SUMIFS(Capacity_By_SKU!$K:$K,Capacity_By_SKU!$A:$A,$A11,Capacity_By_SKU!$C:$C,"DR",Capacity_By_SKU!$D:$D,Request!$B$10)&lt;=0),1,0),IF(AND(Request!$B$11&lt;&gt;"",Request!$C$11&lt;&gt;"",SUMIFS(Capacity_By_SKU!$K:$K,Capacity_By_SKU!$A:$A,$A11,Capacity_By_SKU!$C:$C,"DR",Capacity_By_SKU!$D:$D,Request!$B$11)&lt;=0),1,0),IF(AND(Request!$B$12&lt;&gt;"",Request!$C$12&lt;&gt;"",SUMIFS(Capacity_By_SKU!$K:$K,Capacity_By_SKU!$A:$A,$A11,Capacity_By_SKU!$C:$C,"DR",Capacity_By_SKU!$D:$D,Request!$B$12)&lt;=0),1,0),IF(AND(Request!$B$13&lt;&gt;"",Request!$C$13&lt;&gt;"",SUMIFS(Capacity_By_SKU!$K:$K,Capacity_By_SKU!$A:$A,$A11,Capacity_By_SKU!$C:$C,"DR",Capacity_By_SKU!$D:$D,Request!$B$13)&lt;=0),1,0),IF(AND(Request!$B$14&lt;&gt;"",Request!$C$14&lt;&gt;"",SUMIFS(Capacity_By_SKU!$K:$K,Capacity_By_SKU!$A:$A,$A11,Capacity_By_SKU!$C:$C,"DR",Capacity_By_SKU!$D:$D,Request!$B$14)&lt;=0),1,0),IF(AND(Request!$B$15&lt;&gt;"",Request!$C$15&lt;&gt;"",SUMIFS(Capacity_By_SKU!$K:$K,Capacity_By_SKU!$A:$A,$A11,Capacity_By_SKU!$C:$C,"DR",Capacity_By_SKU!$D:$D,Request!$B$15)&lt;=0),1,0))&gt;0,"RESERVATION_DEFICIT",IF(SUM(IF(AND(Request!$B$8&lt;&gt;"",Request!$C$8&lt;&gt;"",SUMIFS(Quota_Groups!$G:$G,Quota_Groups!$B:$B,$A11,Quota_Groups!$D:$D,IFERROR(VLOOKUP(Request!$B$8,SKU_Family_Map!$A:$B,2,FALSE),""))&lt;=0),1,0),IF(AND(Request!$B$9&lt;&gt;"",Request!$C$9&lt;&gt;"",SUMIFS(Quota_Groups!$G:$G,Quota_Groups!$B:$B,$A11,Quota_Groups!$D:$D,IFERROR(VLOOKUP(Request!$B$9,SKU_Family_Map!$A:$B,2,FALSE),""))&lt;=0),1,0),IF(AND(Request!$B$10&lt;&gt;"",Request!$C$10&lt;&gt;"",SUMIFS(Quota_Groups!$G:$G,Quota_Groups!$B:$B,$A11,Quota_Groups!$D:$D,IFERROR(VLOOKUP(Request!$B$10,SKU_Family_Map!$A:$B,2,FALSE),""))&lt;=0),1,0),IF(AND(Request!$B$11&lt;&gt;"",Request!$C$11&lt;&gt;"",SUMIFS(Quota_Groups!$G:$G,Quota_Groups!$B:$B,$A11,Quota_Groups!$D:$D,IFERROR(VLOOKUP(Request!$B$11,SKU_Family_Map!$A:$B,2,FALSE),""))&lt;=0),1,0),IF(AND(Request!$B$12&lt;&gt;"",Request!$C$12&lt;&gt;"",SUMIFS(Quota_Groups!$G:$G,Quota_Groups!$B:$B,$A11,Quota_Groups!$D:$D,IFERROR(VLOOKUP(Request!$B$12,SKU_Family_Map!$A:$B,2,FALSE),""))&lt;=0),1,0),IF(AND(Request!$B$13&lt;&gt;"",Request!$C$13&lt;&gt;"",SUMIFS(Quota_Groups!$G:$G,Quota_Groups!$B:$B,$A11,Quota_Groups!$D:$D,IFERROR(VLOOKUP(Request!$B$13,SKU_Family_Map!$A:$B,2,FALSE),""))&lt;=0),1,0),IF(AND(Request!$B$14&lt;&gt;"",Request!$C$14&lt;&gt;"",SUMIFS(Quota_Groups!$G:$G,Quota_Groups!$B:$B,$A11,Quota_Groups!$D:$D,IFERROR(VLOOKUP(Request!$B$14,SKU_Family_Map!$A:$B,2,FALSE),""))&lt;=0),1,0),IF(AND(Request!$B$15&lt;&gt;"",Request!$C$15&lt;&gt;"",SUMIFS(Quota_Groups!$G:$G,Quota_Groups!$B:$B,$A11,Quota_Groups!$D:$D,IFERROR(VLOOKUP(Request!$B$15,SKU_Family_Map!$A:$B,2,FALSE),""))&lt;=0),1,0))&gt;0,"QUOTA_DEFICIT",IF(G11=0,"CAPACITY_DEFICIT",IF(MIN(IF(OR(Request!$B$8="",Request!$C$8=""),1,IFERROR(1-Request!$E$8/MIN(SUMIFS(Capacity_By_SKU!$K:$K,Capacity_By_SKU!$A:$A,$A11,Capacity_By_SKU!$C:$C,"DR",Capacity_By_SKU!$D:$D,Request!$B$8),SUMIFS(Quota_Groups!$G:$G,Quota_Groups!$B:$B,$A11,Quota_Groups!$D:$D,IFERROR(VLOOKUP(Request!$B$8,SKU_Family_Map!$A:$B,2,FALSE),""))),0)),IF(OR(Request!$B$9="",Request!$C$9=""),1,IFERROR(1-Request!$E$9/MIN(SUMIFS(Capacity_By_SKU!$K:$K,Capacity_By_SKU!$A:$A,$A11,Capacity_By_SKU!$C:$C,"DR",Capacity_By_SKU!$D:$D,Request!$B$9),SUMIFS(Quota_Groups!$G:$G,Quota_Groups!$B:$B,$A11,Quota_Groups!$D:$D,IFERROR(VLOOKUP(Request!$B$9,SKU_Family_Map!$A:$B,2,FALSE),""))),0)),IF(OR(Request!$B$10="",Request!$C$10=""),1,IFERROR(1-Request!$E$10/MIN(SUMIFS(Capacity_By_SKU!$K:$K,Capacity_By_SKU!$A:$A,$A11,Capacity_By_SKU!$C:$C,"DR",Capacity_By_SKU!$D:$D,Request!$B$10),SUMIFS(Quota_Groups!$G:$G,Quota_Groups!$B:$B,$A11,Quota_Groups!$D:$D,IFERROR(VLOOKUP(Request!$B$10,SKU_Family_Map!$A:$B,2,FALSE),""))),0)),IF(OR(Request!$B$11="",Request!$C$11=""),1,IFERROR(1-Request!$E$11/MIN(SUMIFS(Capacity_By_SKU!$K:$K,Capacity_By_SKU!$A:$A,$A11,Capacity_By_SKU!$C:$C,"DR",Capacity_By_SKU!$D:$D,Request!$B$11),SUMIFS(Quota_Groups!$G:$G,Quota_Groups!$B:$B,$A11,Quota_Groups!$D:$D,IFERROR(VLOOKUP(Request!$B$11,SKU_Family_Map!$A:$B,2,FALSE),""))),0)),IF(OR(Request!$B$12="",Request!$C$12=""),1,IFERROR(1-Request!$E$12/MIN(SUMIFS(Capacity_By_SKU!$K:$K,Capacity_By_SKU!$A:$A,$A11,Capacity_By_SKU!$C:$C,"DR",Capacity_By_SKU!$D:$D,Request!$B$12),SUMIFS(Quota_Groups!$G:$G,Quota_Groups!$B:$B,$A11,Quota_Groups!$D:$D,IFERROR(VLOOKUP(Request!$B$12,SKU_Family_Map!$A:$B,2,FALSE),""))),0)),IF(OR(Request!$B$13="",Request!$C$13=""),1,IFERROR(1-Request!$E$13/MIN(SUMIFS(Capacity_By_SKU!$K:$K,Capacity_By_SKU!$A:$A,$A11,Capacity_By_SKU!$C:$C,"DR",Capacity_By_SKU!$D:$D,Request!$B$13),SUMIFS(Quota_Groups!$G:$G,Quota_Groups!$B:$B,$A11,Quota_Groups!$D:$D,IFERROR(VLOOKUP(Request!$B$13,SKU_Family_Map!$A:$B,2,FALSE),""))),0)),IF(OR(Request!$B$14="",Request!$C$14=""),1,IFERROR(1-Request!$E$14/MIN(SUMIFS(Capacity_By_SKU!$K:$K,Capacity_By_SKU!$A:$A,$A11,Capacity_By_SKU!$C:$C,"DR",Capacity_By_SKU!$D:$D,Request!$B$14),SUMIFS(Quota_Groups!$G:$G,Quota_Groups!$B:$B,$A11,Quota_Groups!$D:$D,IFERROR(VLOOKUP(Request!$B$14,SKU_Family_Map!$A:$B,2,FALSE),""))),0)),IF(OR(Request!$B$15="",Request!$C$15=""),1,IFERROR(1-Request!$E$15/MIN(SUMIFS(Capacity_By_SKU!$K:$K,Capacity_By_SKU!$A:$A,$A11,Capacity_By_SKU!$C:$C,"DR",Capacity_By_SKU!$D:$D,Request!$B$15),SUMIFS(Quota_Groups!$G:$G,Quota_Groups!$B:$B,$A11,Quota_Groups!$D:$D,IFERROR(VLOOKUP(Request!$B$15,SKU_Family_Map!$A:$B,2,FALSE),""))),0)))&lt;Policy!$B$10,"READY_WITH_RISK","READY")))))</f>
        <v/>
      </c>
      <c r="I11" s="16">
        <f>IF(AND(F11=1,G11=1,OR(H11="READY",H11="READY_WITH_RISK")),1,0)</f>
        <v/>
      </c>
      <c r="J11" s="16">
        <f>IF(I11=1,MAX(0,MIN(IF(OR(Request!$B$8="",Request!$C$8=""),1,IFERROR(1-Request!$E$8/MIN(SUMIFS(Capacity_By_SKU!$K:$K,Capacity_By_SKU!$A:$A,$A11,Capacity_By_SKU!$C:$C,"DR",Capacity_By_SKU!$D:$D,Request!$B$8),SUMIFS(Quota_Groups!$G:$G,Quota_Groups!$B:$B,$A11,Quota_Groups!$D:$D,IFERROR(VLOOKUP(Request!$B$8,SKU_Family_Map!$A:$B,2,FALSE),""))),0)),IF(OR(Request!$B$9="",Request!$C$9=""),1,IFERROR(1-Request!$E$9/MIN(SUMIFS(Capacity_By_SKU!$K:$K,Capacity_By_SKU!$A:$A,$A11,Capacity_By_SKU!$C:$C,"DR",Capacity_By_SKU!$D:$D,Request!$B$9),SUMIFS(Quota_Groups!$G:$G,Quota_Groups!$B:$B,$A11,Quota_Groups!$D:$D,IFERROR(VLOOKUP(Request!$B$9,SKU_Family_Map!$A:$B,2,FALSE),""))),0)),IF(OR(Request!$B$10="",Request!$C$10=""),1,IFERROR(1-Request!$E$10/MIN(SUMIFS(Capacity_By_SKU!$K:$K,Capacity_By_SKU!$A:$A,$A11,Capacity_By_SKU!$C:$C,"DR",Capacity_By_SKU!$D:$D,Request!$B$10),SUMIFS(Quota_Groups!$G:$G,Quota_Groups!$B:$B,$A11,Quota_Groups!$D:$D,IFERROR(VLOOKUP(Request!$B$10,SKU_Family_Map!$A:$B,2,FALSE),""))),0)),IF(OR(Request!$B$11="",Request!$C$11=""),1,IFERROR(1-Request!$E$11/MIN(SUMIFS(Capacity_By_SKU!$K:$K,Capacity_By_SKU!$A:$A,$A11,Capacity_By_SKU!$C:$C,"DR",Capacity_By_SKU!$D:$D,Request!$B$11),SUMIFS(Quota_Groups!$G:$G,Quota_Groups!$B:$B,$A11,Quota_Groups!$D:$D,IFERROR(VLOOKUP(Request!$B$11,SKU_Family_Map!$A:$B,2,FALSE),""))),0)),IF(OR(Request!$B$12="",Request!$C$12=""),1,IFERROR(1-Request!$E$12/MIN(SUMIFS(Capacity_By_SKU!$K:$K,Capacity_By_SKU!$A:$A,$A11,Capacity_By_SKU!$C:$C,"DR",Capacity_By_SKU!$D:$D,Request!$B$12),SUMIFS(Quota_Groups!$G:$G,Quota_Groups!$B:$B,$A11,Quota_Groups!$D:$D,IFERROR(VLOOKUP(Request!$B$12,SKU_Family_Map!$A:$B,2,FALSE),""))),0)),IF(OR(Request!$B$13="",Request!$C$13=""),1,IFERROR(1-Request!$E$13/MIN(SUMIFS(Capacity_By_SKU!$K:$K,Capacity_By_SKU!$A:$A,$A11,Capacity_By_SKU!$C:$C,"DR",Capacity_By_SKU!$D:$D,Request!$B$13),SUMIFS(Quota_Groups!$G:$G,Quota_Groups!$B:$B,$A11,Quota_Groups!$D:$D,IFERROR(VLOOKUP(Request!$B$13,SKU_Family_Map!$A:$B,2,FALSE),""))),0)),IF(OR(Request!$B$14="",Request!$C$14=""),1,IFERROR(1-Request!$E$14/MIN(SUMIFS(Capacity_By_SKU!$K:$K,Capacity_By_SKU!$A:$A,$A11,Capacity_By_SKU!$C:$C,"DR",Capacity_By_SKU!$D:$D,Request!$B$14),SUMIFS(Quota_Groups!$G:$G,Quota_Groups!$B:$B,$A11,Quota_Groups!$D:$D,IFERROR(VLOOKUP(Request!$B$14,SKU_Family_Map!$A:$B,2,FALSE),""))),0)),IF(OR(Request!$B$15="",Request!$C$15=""),1,IFERROR(1-Request!$E$15/MIN(SUMIFS(Capacity_By_SKU!$K:$K,Capacity_By_SKU!$A:$A,$A11,Capacity_By_SKU!$C:$C,"DR",Capacity_By_SKU!$D:$D,Request!$B$15),SUMIFS(Quota_Groups!$G:$G,Quota_Groups!$B:$B,$A11,Quota_Groups!$D:$D,IFERROR(VLOOKUP(Request!$B$15,SKU_Family_Map!$A:$B,2,FALSE),""))),0)))),0)</f>
        <v/>
      </c>
      <c r="K11" s="16">
        <f>IF(I11=1,MAX(0,MIN(IF(OR(Request!$B$8="",Request!$C$8=""),1,IFERROR(SUMIFS(Quota_Groups!$G:$G,Quota_Groups!$B:$B,$A11,Quota_Groups!$D:$D,IFERROR(VLOOKUP(Request!$B$8,SKU_Family_Map!$A:$B,2,FALSE),""))/MAX(SUMIFS(Quota_Groups!$E:$E,Quota_Groups!$B:$B,$A11,Quota_Groups!$D:$D,IFERROR(VLOOKUP(Request!$B$8,SKU_Family_Map!$A:$B,2,FALSE),"")),1),0)),IF(OR(Request!$B$9="",Request!$C$9=""),1,IFERROR(SUMIFS(Quota_Groups!$G:$G,Quota_Groups!$B:$B,$A11,Quota_Groups!$D:$D,IFERROR(VLOOKUP(Request!$B$9,SKU_Family_Map!$A:$B,2,FALSE),""))/MAX(SUMIFS(Quota_Groups!$E:$E,Quota_Groups!$B:$B,$A11,Quota_Groups!$D:$D,IFERROR(VLOOKUP(Request!$B$9,SKU_Family_Map!$A:$B,2,FALSE),"")),1),0)),IF(OR(Request!$B$10="",Request!$C$10=""),1,IFERROR(SUMIFS(Quota_Groups!$G:$G,Quota_Groups!$B:$B,$A11,Quota_Groups!$D:$D,IFERROR(VLOOKUP(Request!$B$10,SKU_Family_Map!$A:$B,2,FALSE),""))/MAX(SUMIFS(Quota_Groups!$E:$E,Quota_Groups!$B:$B,$A11,Quota_Groups!$D:$D,IFERROR(VLOOKUP(Request!$B$10,SKU_Family_Map!$A:$B,2,FALSE),"")),1),0)),IF(OR(Request!$B$11="",Request!$C$11=""),1,IFERROR(SUMIFS(Quota_Groups!$G:$G,Quota_Groups!$B:$B,$A11,Quota_Groups!$D:$D,IFERROR(VLOOKUP(Request!$B$11,SKU_Family_Map!$A:$B,2,FALSE),""))/MAX(SUMIFS(Quota_Groups!$E:$E,Quota_Groups!$B:$B,$A11,Quota_Groups!$D:$D,IFERROR(VLOOKUP(Request!$B$11,SKU_Family_Map!$A:$B,2,FALSE),"")),1),0)),IF(OR(Request!$B$12="",Request!$C$12=""),1,IFERROR(SUMIFS(Quota_Groups!$G:$G,Quota_Groups!$B:$B,$A11,Quota_Groups!$D:$D,IFERROR(VLOOKUP(Request!$B$12,SKU_Family_Map!$A:$B,2,FALSE),""))/MAX(SUMIFS(Quota_Groups!$E:$E,Quota_Groups!$B:$B,$A11,Quota_Groups!$D:$D,IFERROR(VLOOKUP(Request!$B$12,SKU_Family_Map!$A:$B,2,FALSE),"")),1),0)),IF(OR(Request!$B$13="",Request!$C$13=""),1,IFERROR(SUMIFS(Quota_Groups!$G:$G,Quota_Groups!$B:$B,$A11,Quota_Groups!$D:$D,IFERROR(VLOOKUP(Request!$B$13,SKU_Family_Map!$A:$B,2,FALSE),""))/MAX(SUMIFS(Quota_Groups!$E:$E,Quota_Groups!$B:$B,$A11,Quota_Groups!$D:$D,IFERROR(VLOOKUP(Request!$B$13,SKU_Family_Map!$A:$B,2,FALSE),"")),1),0)),IF(OR(Request!$B$14="",Request!$C$14=""),1,IFERROR(SUMIFS(Quota_Groups!$G:$G,Quota_Groups!$B:$B,$A11,Quota_Groups!$D:$D,IFERROR(VLOOKUP(Request!$B$14,SKU_Family_Map!$A:$B,2,FALSE),""))/MAX(SUMIFS(Quota_Groups!$E:$E,Quota_Groups!$B:$B,$A11,Quota_Groups!$D:$D,IFERROR(VLOOKUP(Request!$B$14,SKU_Family_Map!$A:$B,2,FALSE),"")),1),0)),IF(OR(Request!$B$15="",Request!$C$15=""),1,IFERROR(SUMIFS(Quota_Groups!$G:$G,Quota_Groups!$B:$B,$A11,Quota_Groups!$D:$D,IFERROR(VLOOKUP(Request!$B$15,SKU_Family_Map!$A:$B,2,FALSE),""))/MAX(SUMIFS(Quota_Groups!$E:$E,Quota_Groups!$B:$B,$A11,Quota_Groups!$D:$D,IFERROR(VLOOKUP(Request!$B$15,SKU_Family_Map!$A:$B,2,FALSE),"")),1),0)))),0)</f>
        <v/>
      </c>
      <c r="L11" s="16">
        <f>IF(I11=1,MAX(0,MIN(IF(OR(Request!$B$8="",Request!$C$8=""),1,IFERROR(SUMIFS(Capacity_By_SKU!$K:$K,Capacity_By_SKU!$A:$A,$A11,Capacity_By_SKU!$C:$C,"DR",Capacity_By_SKU!$D:$D,Request!$B$8)/MAX(SUMIFS(Capacity_By_SKU!$J:$J,Capacity_By_SKU!$A:$A,$A11,Capacity_By_SKU!$C:$C,"DR",Capacity_By_SKU!$D:$D,Request!$B$8),1),0)),IF(OR(Request!$B$9="",Request!$C$9=""),1,IFERROR(SUMIFS(Capacity_By_SKU!$K:$K,Capacity_By_SKU!$A:$A,$A11,Capacity_By_SKU!$C:$C,"DR",Capacity_By_SKU!$D:$D,Request!$B$9)/MAX(SUMIFS(Capacity_By_SKU!$J:$J,Capacity_By_SKU!$A:$A,$A11,Capacity_By_SKU!$C:$C,"DR",Capacity_By_SKU!$D:$D,Request!$B$9),1),0)),IF(OR(Request!$B$10="",Request!$C$10=""),1,IFERROR(SUMIFS(Capacity_By_SKU!$K:$K,Capacity_By_SKU!$A:$A,$A11,Capacity_By_SKU!$C:$C,"DR",Capacity_By_SKU!$D:$D,Request!$B$10)/MAX(SUMIFS(Capacity_By_SKU!$J:$J,Capacity_By_SKU!$A:$A,$A11,Capacity_By_SKU!$C:$C,"DR",Capacity_By_SKU!$D:$D,Request!$B$10),1),0)),IF(OR(Request!$B$11="",Request!$C$11=""),1,IFERROR(SUMIFS(Capacity_By_SKU!$K:$K,Capacity_By_SKU!$A:$A,$A11,Capacity_By_SKU!$C:$C,"DR",Capacity_By_SKU!$D:$D,Request!$B$11)/MAX(SUMIFS(Capacity_By_SKU!$J:$J,Capacity_By_SKU!$A:$A,$A11,Capacity_By_SKU!$C:$C,"DR",Capacity_By_SKU!$D:$D,Request!$B$11),1),0)),IF(OR(Request!$B$12="",Request!$C$12=""),1,IFERROR(SUMIFS(Capacity_By_SKU!$K:$K,Capacity_By_SKU!$A:$A,$A11,Capacity_By_SKU!$C:$C,"DR",Capacity_By_SKU!$D:$D,Request!$B$12)/MAX(SUMIFS(Capacity_By_SKU!$J:$J,Capacity_By_SKU!$A:$A,$A11,Capacity_By_SKU!$C:$C,"DR",Capacity_By_SKU!$D:$D,Request!$B$12),1),0)),IF(OR(Request!$B$13="",Request!$C$13=""),1,IFERROR(SUMIFS(Capacity_By_SKU!$K:$K,Capacity_By_SKU!$A:$A,$A11,Capacity_By_SKU!$C:$C,"DR",Capacity_By_SKU!$D:$D,Request!$B$13)/MAX(SUMIFS(Capacity_By_SKU!$J:$J,Capacity_By_SKU!$A:$A,$A11,Capacity_By_SKU!$C:$C,"DR",Capacity_By_SKU!$D:$D,Request!$B$13),1),0)),IF(OR(Request!$B$14="",Request!$C$14=""),1,IFERROR(SUMIFS(Capacity_By_SKU!$K:$K,Capacity_By_SKU!$A:$A,$A11,Capacity_By_SKU!$C:$C,"DR",Capacity_By_SKU!$D:$D,Request!$B$14)/MAX(SUMIFS(Capacity_By_SKU!$J:$J,Capacity_By_SKU!$A:$A,$A11,Capacity_By_SKU!$C:$C,"DR",Capacity_By_SKU!$D:$D,Request!$B$14),1),0)),IF(OR(Request!$B$15="",Request!$C$15=""),1,IFERROR(SUMIFS(Capacity_By_SKU!$K:$K,Capacity_By_SKU!$A:$A,$A11,Capacity_By_SKU!$C:$C,"DR",Capacity_By_SKU!$D:$D,Request!$B$15)/MAX(SUMIFS(Capacity_By_SKU!$J:$J,Capacity_By_SKU!$A:$A,$A11,Capacity_By_SKU!$C:$C,"DR",Capacity_By_SKU!$D:$D,Request!$B$15),1),0)))),0)</f>
        <v/>
      </c>
      <c r="M11" s="22">
        <f>IF(I11=1,ROUND(Policy!$B$4*J11+Policy!$B$5*K11+Policy!$B$6*L11,4),"")</f>
        <v/>
      </c>
      <c r="N11" s="16">
        <f>IF(I11=1,SUMPRODUCT(($I$4:$I$11=1)*($M$4:$M$11&gt;M11))+1,"")</f>
        <v/>
      </c>
      <c r="O11" s="16">
        <f>IF(I11=0,"N/A",IF(MIN(IF(OR(Request!$B$8="",Request!$C$8=""),1,IFERROR(SUMIFS(Capacity_By_SKU!$K:$K,Capacity_By_SKU!$A:$A,$A11,Capacity_By_SKU!$C:$C,"DR",Capacity_By_SKU!$D:$D,Request!$B$8)/MAX(SUMIFS(Capacity_By_SKU!$J:$J,Capacity_By_SKU!$A:$A,$A11,Capacity_By_SKU!$C:$C,"DR",Capacity_By_SKU!$D:$D,Request!$B$8),1),0)),IF(OR(Request!$B$9="",Request!$C$9=""),1,IFERROR(SUMIFS(Capacity_By_SKU!$K:$K,Capacity_By_SKU!$A:$A,$A11,Capacity_By_SKU!$C:$C,"DR",Capacity_By_SKU!$D:$D,Request!$B$9)/MAX(SUMIFS(Capacity_By_SKU!$J:$J,Capacity_By_SKU!$A:$A,$A11,Capacity_By_SKU!$C:$C,"DR",Capacity_By_SKU!$D:$D,Request!$B$9),1),0)),IF(OR(Request!$B$10="",Request!$C$10=""),1,IFERROR(SUMIFS(Capacity_By_SKU!$K:$K,Capacity_By_SKU!$A:$A,$A11,Capacity_By_SKU!$C:$C,"DR",Capacity_By_SKU!$D:$D,Request!$B$10)/MAX(SUMIFS(Capacity_By_SKU!$J:$J,Capacity_By_SKU!$A:$A,$A11,Capacity_By_SKU!$C:$C,"DR",Capacity_By_SKU!$D:$D,Request!$B$10),1),0)),IF(OR(Request!$B$11="",Request!$C$11=""),1,IFERROR(SUMIFS(Capacity_By_SKU!$K:$K,Capacity_By_SKU!$A:$A,$A11,Capacity_By_SKU!$C:$C,"DR",Capacity_By_SKU!$D:$D,Request!$B$11)/MAX(SUMIFS(Capacity_By_SKU!$J:$J,Capacity_By_SKU!$A:$A,$A11,Capacity_By_SKU!$C:$C,"DR",Capacity_By_SKU!$D:$D,Request!$B$11),1),0)),IF(OR(Request!$B$12="",Request!$C$12=""),1,IFERROR(SUMIFS(Capacity_By_SKU!$K:$K,Capacity_By_SKU!$A:$A,$A11,Capacity_By_SKU!$C:$C,"DR",Capacity_By_SKU!$D:$D,Request!$B$12)/MAX(SUMIFS(Capacity_By_SKU!$J:$J,Capacity_By_SKU!$A:$A,$A11,Capacity_By_SKU!$C:$C,"DR",Capacity_By_SKU!$D:$D,Request!$B$12),1),0)),IF(OR(Request!$B$13="",Request!$C$13=""),1,IFERROR(SUMIFS(Capacity_By_SKU!$K:$K,Capacity_By_SKU!$A:$A,$A11,Capacity_By_SKU!$C:$C,"DR",Capacity_By_SKU!$D:$D,Request!$B$13)/MAX(SUMIFS(Capacity_By_SKU!$J:$J,Capacity_By_SKU!$A:$A,$A11,Capacity_By_SKU!$C:$C,"DR",Capacity_By_SKU!$D:$D,Request!$B$13),1),0)),IF(OR(Request!$B$14="",Request!$C$14=""),1,IFERROR(SUMIFS(Capacity_By_SKU!$K:$K,Capacity_By_SKU!$A:$A,$A11,Capacity_By_SKU!$C:$C,"DR",Capacity_By_SKU!$D:$D,Request!$B$14)/MAX(SUMIFS(Capacity_By_SKU!$J:$J,Capacity_By_SKU!$A:$A,$A11,Capacity_By_SKU!$C:$C,"DR",Capacity_By_SKU!$D:$D,Request!$B$14),1),0)),IF(OR(Request!$B$15="",Request!$C$15=""),1,IFERROR(SUMIFS(Capacity_By_SKU!$K:$K,Capacity_By_SKU!$A:$A,$A11,Capacity_By_SKU!$C:$C,"DR",Capacity_By_SKU!$D:$D,Request!$B$15)/MAX(SUMIFS(Capacity_By_SKU!$J:$J,Capacity_By_SKU!$A:$A,$A11,Capacity_By_SKU!$C:$C,"DR",Capacity_By_SKU!$D:$D,Request!$B$15),1),0)))&lt;=MIN(IF(OR(Request!$B$8="",Request!$C$8=""),1,IFERROR(SUMIFS(Quota_Groups!$G:$G,Quota_Groups!$B:$B,$A11,Quota_Groups!$D:$D,IFERROR(VLOOKUP(Request!$B$8,SKU_Family_Map!$A:$B,2,FALSE),""))/MAX(SUMIFS(Quota_Groups!$E:$E,Quota_Groups!$B:$B,$A11,Quota_Groups!$D:$D,IFERROR(VLOOKUP(Request!$B$8,SKU_Family_Map!$A:$B,2,FALSE),"")),1),0)),IF(OR(Request!$B$9="",Request!$C$9=""),1,IFERROR(SUMIFS(Quota_Groups!$G:$G,Quota_Groups!$B:$B,$A11,Quota_Groups!$D:$D,IFERROR(VLOOKUP(Request!$B$9,SKU_Family_Map!$A:$B,2,FALSE),""))/MAX(SUMIFS(Quota_Groups!$E:$E,Quota_Groups!$B:$B,$A11,Quota_Groups!$D:$D,IFERROR(VLOOKUP(Request!$B$9,SKU_Family_Map!$A:$B,2,FALSE),"")),1),0)),IF(OR(Request!$B$10="",Request!$C$10=""),1,IFERROR(SUMIFS(Quota_Groups!$G:$G,Quota_Groups!$B:$B,$A11,Quota_Groups!$D:$D,IFERROR(VLOOKUP(Request!$B$10,SKU_Family_Map!$A:$B,2,FALSE),""))/MAX(SUMIFS(Quota_Groups!$E:$E,Quota_Groups!$B:$B,$A11,Quota_Groups!$D:$D,IFERROR(VLOOKUP(Request!$B$10,SKU_Family_Map!$A:$B,2,FALSE),"")),1),0)),IF(OR(Request!$B$11="",Request!$C$11=""),1,IFERROR(SUMIFS(Quota_Groups!$G:$G,Quota_Groups!$B:$B,$A11,Quota_Groups!$D:$D,IFERROR(VLOOKUP(Request!$B$11,SKU_Family_Map!$A:$B,2,FALSE),""))/MAX(SUMIFS(Quota_Groups!$E:$E,Quota_Groups!$B:$B,$A11,Quota_Groups!$D:$D,IFERROR(VLOOKUP(Request!$B$11,SKU_Family_Map!$A:$B,2,FALSE),"")),1),0)),IF(OR(Request!$B$12="",Request!$C$12=""),1,IFERROR(SUMIFS(Quota_Groups!$G:$G,Quota_Groups!$B:$B,$A11,Quota_Groups!$D:$D,IFERROR(VLOOKUP(Request!$B$12,SKU_Family_Map!$A:$B,2,FALSE),""))/MAX(SUMIFS(Quota_Groups!$E:$E,Quota_Groups!$B:$B,$A11,Quota_Groups!$D:$D,IFERROR(VLOOKUP(Request!$B$12,SKU_Family_Map!$A:$B,2,FALSE),"")),1),0)),IF(OR(Request!$B$13="",Request!$C$13=""),1,IFERROR(SUMIFS(Quota_Groups!$G:$G,Quota_Groups!$B:$B,$A11,Quota_Groups!$D:$D,IFERROR(VLOOKUP(Request!$B$13,SKU_Family_Map!$A:$B,2,FALSE),""))/MAX(SUMIFS(Quota_Groups!$E:$E,Quota_Groups!$B:$B,$A11,Quota_Groups!$D:$D,IFERROR(VLOOKUP(Request!$B$13,SKU_Family_Map!$A:$B,2,FALSE),"")),1),0)),IF(OR(Request!$B$14="",Request!$C$14=""),1,IFERROR(SUMIFS(Quota_Groups!$G:$G,Quota_Groups!$B:$B,$A11,Quota_Groups!$D:$D,IFERROR(VLOOKUP(Request!$B$14,SKU_Family_Map!$A:$B,2,FALSE),""))/MAX(SUMIFS(Quota_Groups!$E:$E,Quota_Groups!$B:$B,$A11,Quota_Groups!$D:$D,IFERROR(VLOOKUP(Request!$B$14,SKU_Family_Map!$A:$B,2,FALSE),"")),1),0)),IF(OR(Request!$B$15="",Request!$C$15=""),1,IFERROR(SUMIFS(Quota_Groups!$G:$G,Quota_Groups!$B:$B,$A11,Quota_Groups!$D:$D,IFERROR(VLOOKUP(Request!$B$15,SKU_Family_Map!$A:$B,2,FALSE),""))/MAX(SUMIFS(Quota_Groups!$E:$E,Quota_Groups!$B:$B,$A11,Quota_Groups!$D:$D,IFERROR(VLOOKUP(Request!$B$15,SKU_Family_Map!$A:$B,2,FALSE),"")),1),0))),"CAPACITY","QUOTA")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24" customWidth="1" min="4" max="4"/>
    <col width="3" customWidth="1" min="5" max="5"/>
    <col width="6" customWidth="1" min="6" max="6"/>
    <col width="20" customWidth="1" min="7" max="7"/>
    <col width="10" customWidth="1" min="8" max="8"/>
    <col width="22" customWidth="1" min="9" max="9"/>
  </cols>
  <sheetData>
    <row r="1">
      <c r="A1" s="5" t="inlineStr">
        <is>
          <t>RESULT  —  Multi-SKU placement recommendation (What-If, Phase 2)</t>
        </is>
      </c>
    </row>
    <row r="3">
      <c r="A3" s="7" t="inlineStr">
        <is>
          <t>Customer ID</t>
        </is>
      </c>
      <c r="B3" s="16">
        <f>Request!B5</f>
        <v/>
      </c>
    </row>
    <row r="4">
      <c r="A4" s="7" t="inlineStr">
        <is>
          <t>Geography</t>
        </is>
      </c>
      <c r="B4" s="16">
        <f>Request!B4</f>
        <v/>
      </c>
    </row>
    <row r="5">
      <c r="A5" s="7" t="inlineStr">
        <is>
          <t>Active SKU lines</t>
        </is>
      </c>
      <c r="B5" s="16">
        <f>Request!B17</f>
        <v/>
      </c>
    </row>
    <row r="6">
      <c r="A6" s="7" t="inlineStr">
        <is>
          <t>Total requested cores</t>
        </is>
      </c>
      <c r="B6" s="16">
        <f>Request!B18</f>
        <v/>
      </c>
    </row>
    <row r="7">
      <c r="A7" s="7" t="inlineStr"/>
      <c r="B7" s="16" t="inlineStr"/>
    </row>
    <row r="9">
      <c r="A9" s="13" t="inlineStr">
        <is>
          <t>RECOMMENDED PLACEMENT (per environment — region satisfies ALL active SKU lines)</t>
        </is>
      </c>
      <c r="F9" s="13" t="inlineStr">
        <is>
          <t>RANKED PROD CANDIDATES (all active SKU lines satisfiable)</t>
        </is>
      </c>
    </row>
    <row r="10">
      <c r="A10" s="15" t="inlineStr">
        <is>
          <t>Environment</t>
        </is>
      </c>
      <c r="B10" s="15" t="inlineStr">
        <is>
          <t>Region</t>
        </is>
      </c>
      <c r="C10" s="15" t="inlineStr">
        <is>
          <t>PS</t>
        </is>
      </c>
      <c r="D10" s="15" t="inlineStr">
        <is>
          <t>Readiness (RDY-002)</t>
        </is>
      </c>
      <c r="F10" s="15" t="inlineStr">
        <is>
          <t>Rank</t>
        </is>
      </c>
      <c r="G10" s="15" t="inlineStr">
        <is>
          <t>Region</t>
        </is>
      </c>
      <c r="H10" s="15" t="inlineStr">
        <is>
          <t>PS</t>
        </is>
      </c>
      <c r="I10" s="15" t="inlineStr">
        <is>
          <t>Readiness</t>
        </is>
      </c>
    </row>
    <row r="11">
      <c r="A11" s="7" t="inlineStr">
        <is>
          <t>Prod</t>
        </is>
      </c>
      <c r="B11" s="16">
        <f>'Score_Prod'!R2</f>
        <v/>
      </c>
      <c r="C11" s="16">
        <f>'Score_Prod'!R3</f>
        <v/>
      </c>
      <c r="D11" s="19">
        <f>'Score_Prod'!R4</f>
        <v/>
      </c>
      <c r="F11" s="16" t="n">
        <v>1</v>
      </c>
      <c r="G11" s="16">
        <f>IFERROR(INDEX(Score_Prod!$A$4:$A$11,MATCH(1,Score_Prod!$N$4:$N$11,0)),"")</f>
        <v/>
      </c>
      <c r="H11" s="16">
        <f>IFERROR(INDEX(Score_Prod!$M$4:$M$11,MATCH(1,Score_Prod!$N$4:$N$11,0)),"")</f>
        <v/>
      </c>
      <c r="I11" s="16">
        <f>IFERROR(INDEX(Score_Prod!$H$4:$H$11,MATCH(1,Score_Prod!$N$4:$N$11,0)),"")</f>
        <v/>
      </c>
    </row>
    <row r="12">
      <c r="A12" s="7" t="inlineStr">
        <is>
          <t>CVAL</t>
        </is>
      </c>
      <c r="B12" s="16">
        <f>'Score_CVAL'!R2</f>
        <v/>
      </c>
      <c r="C12" s="16">
        <f>'Score_CVAL'!R3</f>
        <v/>
      </c>
      <c r="D12" s="19">
        <f>'Score_CVAL'!R4</f>
        <v/>
      </c>
      <c r="F12" s="16" t="n">
        <v>2</v>
      </c>
      <c r="G12" s="16">
        <f>IFERROR(INDEX(Score_Prod!$A$4:$A$11,MATCH(2,Score_Prod!$N$4:$N$11,0)),"")</f>
        <v/>
      </c>
      <c r="H12" s="16">
        <f>IFERROR(INDEX(Score_Prod!$M$4:$M$11,MATCH(2,Score_Prod!$N$4:$N$11,0)),"")</f>
        <v/>
      </c>
      <c r="I12" s="16">
        <f>IFERROR(INDEX(Score_Prod!$H$4:$H$11,MATCH(2,Score_Prod!$N$4:$N$11,0)),"")</f>
        <v/>
      </c>
    </row>
    <row r="13">
      <c r="A13" s="7" t="inlineStr">
        <is>
          <t>DR</t>
        </is>
      </c>
      <c r="B13" s="16">
        <f>'Score_DR'!R2</f>
        <v/>
      </c>
      <c r="C13" s="16">
        <f>'Score_DR'!R3</f>
        <v/>
      </c>
      <c r="D13" s="19">
        <f>'Score_DR'!R4</f>
        <v/>
      </c>
      <c r="F13" s="16" t="n">
        <v>3</v>
      </c>
      <c r="G13" s="16">
        <f>IFERROR(INDEX(Score_Prod!$A$4:$A$11,MATCH(3,Score_Prod!$N$4:$N$11,0)),"")</f>
        <v/>
      </c>
      <c r="H13" s="16">
        <f>IFERROR(INDEX(Score_Prod!$M$4:$M$11,MATCH(3,Score_Prod!$N$4:$N$11,0)),"")</f>
        <v/>
      </c>
      <c r="I13" s="16">
        <f>IFERROR(INDEX(Score_Prod!$H$4:$H$11,MATCH(3,Score_Prod!$N$4:$N$11,0)),"")</f>
        <v/>
      </c>
    </row>
    <row r="14">
      <c r="F14" s="16" t="n">
        <v>4</v>
      </c>
      <c r="G14" s="16">
        <f>IFERROR(INDEX(Score_Prod!$A$4:$A$11,MATCH(4,Score_Prod!$N$4:$N$11,0)),"")</f>
        <v/>
      </c>
      <c r="H14" s="16">
        <f>IFERROR(INDEX(Score_Prod!$M$4:$M$11,MATCH(4,Score_Prod!$N$4:$N$11,0)),"")</f>
        <v/>
      </c>
      <c r="I14" s="16">
        <f>IFERROR(INDEX(Score_Prod!$H$4:$H$11,MATCH(4,Score_Prod!$N$4:$N$11,0)),"")</f>
        <v/>
      </c>
    </row>
    <row r="15">
      <c r="A15" s="7" t="inlineStr">
        <is>
          <t>Overall Readiness</t>
        </is>
      </c>
      <c r="B15" s="23">
        <f>IF(B11="NONE ELIGIBLE","QUOTA_DEFICIT / NEEDS ATTENTION (Prod)",IF(B12="NONE ELIGIBLE","CAPACITY_UNAVAILABLE (CVAL)",IF(B13="NONE ELIGIBLE","READY_WITH_RISK (no DR region)","READY")))</f>
        <v/>
      </c>
      <c r="C15" s="24" t="n"/>
      <c r="D15" s="25" t="n"/>
      <c r="F15" s="16" t="n">
        <v>5</v>
      </c>
      <c r="G15" s="16">
        <f>IFERROR(INDEX(Score_Prod!$A$4:$A$11,MATCH(5,Score_Prod!$N$4:$N$11,0)),"")</f>
        <v/>
      </c>
      <c r="H15" s="16">
        <f>IFERROR(INDEX(Score_Prod!$M$4:$M$11,MATCH(5,Score_Prod!$N$4:$N$11,0)),"")</f>
        <v/>
      </c>
      <c r="I15" s="16">
        <f>IFERROR(INDEX(Score_Prod!$H$4:$H$11,MATCH(5,Score_Prod!$N$4:$N$11,0)),"")</f>
        <v/>
      </c>
    </row>
    <row r="16">
      <c r="F16" s="16" t="n">
        <v>6</v>
      </c>
      <c r="G16" s="16">
        <f>IFERROR(INDEX(Score_Prod!$A$4:$A$11,MATCH(6,Score_Prod!$N$4:$N$11,0)),"")</f>
        <v/>
      </c>
      <c r="H16" s="16">
        <f>IFERROR(INDEX(Score_Prod!$M$4:$M$11,MATCH(6,Score_Prod!$N$4:$N$11,0)),"")</f>
        <v/>
      </c>
      <c r="I16" s="16">
        <f>IFERROR(INDEX(Score_Prod!$H$4:$H$11,MATCH(6,Score_Prod!$N$4:$N$11,0)),"")</f>
        <v/>
      </c>
    </row>
    <row r="17">
      <c r="F17" s="16" t="n">
        <v>7</v>
      </c>
      <c r="G17" s="16">
        <f>IFERROR(INDEX(Score_Prod!$A$4:$A$11,MATCH(7,Score_Prod!$N$4:$N$11,0)),"")</f>
        <v/>
      </c>
      <c r="H17" s="16">
        <f>IFERROR(INDEX(Score_Prod!$M$4:$M$11,MATCH(7,Score_Prod!$N$4:$N$11,0)),"")</f>
        <v/>
      </c>
      <c r="I17" s="16">
        <f>IFERROR(INDEX(Score_Prod!$H$4:$H$11,MATCH(7,Score_Prod!$N$4:$N$11,0)),"")</f>
        <v/>
      </c>
    </row>
    <row r="18">
      <c r="F18" s="16" t="n">
        <v>8</v>
      </c>
      <c r="G18" s="16">
        <f>IFERROR(INDEX(Score_Prod!$A$4:$A$11,MATCH(8,Score_Prod!$N$4:$N$11,0)),"")</f>
        <v/>
      </c>
      <c r="H18" s="16">
        <f>IFERROR(INDEX(Score_Prod!$M$4:$M$11,MATCH(8,Score_Prod!$N$4:$N$11,0)),"")</f>
        <v/>
      </c>
      <c r="I18" s="16">
        <f>IFERROR(INDEX(Score_Prod!$H$4:$H$11,MATCH(8,Score_Prod!$N$4:$N$11,0)),"")</f>
        <v/>
      </c>
    </row>
  </sheetData>
  <mergeCells count="4">
    <mergeCell ref="A1:I1"/>
    <mergeCell ref="F9:I9"/>
    <mergeCell ref="A9:D9"/>
    <mergeCell ref="B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2026-09-24T08:02:36Z</dcterms:created>
  <dcterms:modified xmlns:dcterms="http://purl.org/dc/terms/" xmlns:xsi="http://www.w3.org/2001/XMLSchema-instance" xsi:type="dcterms:W3CDTF">2026-09-24T08:02:36Z</dcterms:modified>
</cp:coreProperties>
</file>