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2.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3.xml" ContentType="application/vnd.openxmlformats-officedocument.drawing+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_To_Use" sheetId="1" state="visible" r:id="rId1"/>
    <sheet xmlns:r="http://schemas.openxmlformats.org/officeDocument/2006/relationships" name="Usage_Source" sheetId="2" state="visible" r:id="rId2"/>
    <sheet xmlns:r="http://schemas.openxmlformats.org/officeDocument/2006/relationships" name="Setup" sheetId="3" state="visible" r:id="rId3"/>
    <sheet xmlns:r="http://schemas.openxmlformats.org/officeDocument/2006/relationships" name="Policy" sheetId="4" state="visible" r:id="rId4"/>
    <sheet xmlns:r="http://schemas.openxmlformats.org/officeDocument/2006/relationships" name="Capacity_Usage" sheetId="5" state="visible" r:id="rId5"/>
    <sheet xmlns:r="http://schemas.openxmlformats.org/officeDocument/2006/relationships" name="HC_Gate" sheetId="6" state="visible" r:id="rId6"/>
    <sheet xmlns:r="http://schemas.openxmlformats.org/officeDocument/2006/relationships" name="Scoring_Prod" sheetId="7" state="visible" r:id="rId7"/>
    <sheet xmlns:r="http://schemas.openxmlformats.org/officeDocument/2006/relationships" name="Scoring_CVAL" sheetId="8" state="visible" r:id="rId8"/>
    <sheet xmlns:r="http://schemas.openxmlformats.org/officeDocument/2006/relationships" name="Scoring_DR" sheetId="9" state="visible" r:id="rId9"/>
    <sheet xmlns:r="http://schemas.openxmlformats.org/officeDocument/2006/relationships" name="Result" sheetId="10" state="visible" r:id="rId10"/>
    <sheet xmlns:r="http://schemas.openxmlformats.org/officeDocument/2006/relationships" name="Formula_Reference" sheetId="11" state="visible" r:id="rId11"/>
    <sheet xmlns:r="http://schemas.openxmlformats.org/officeDocument/2006/relationships" name="SKU_Family_Map" sheetId="12" state="visible" r:id="rId12"/>
    <sheet xmlns:r="http://schemas.openxmlformats.org/officeDocument/2006/relationships" name="SKU_Catalogue" sheetId="13" state="visible" r:id="rId13"/>
    <sheet xmlns:r="http://schemas.openxmlformats.org/officeDocument/2006/relationships" name="Capacity_By_SKU" sheetId="14" state="visible" r:id="rId14"/>
    <sheet xmlns:r="http://schemas.openxmlformats.org/officeDocument/2006/relationships" name="Quota_Groups" sheetId="15" state="visible" r:id="rId15"/>
    <sheet xmlns:r="http://schemas.openxmlformats.org/officeDocument/2006/relationships" name="SKU_Grain_ReadMe" sheetId="16" state="visible" r:id="rId16"/>
  </sheets>
  <definedNames/>
  <calcPr calcId="124519" fullCalcOnLoad="1"/>
</workbook>
</file>

<file path=xl/styles.xml><?xml version="1.0" encoding="utf-8"?>
<styleSheet xmlns="http://schemas.openxmlformats.org/spreadsheetml/2006/main">
  <numFmts count="1">
    <numFmt numFmtId="164" formatCode="0.000"/>
  </numFmts>
  <fonts count="15">
    <font>
      <name val="Calibri"/>
      <family val="2"/>
      <color theme="1"/>
      <sz val="11"/>
      <scheme val="minor"/>
    </font>
    <font>
      <b val="1"/>
      <color rgb="001F3864"/>
      <sz val="16"/>
    </font>
    <font>
      <i val="1"/>
      <color rgb="00808080"/>
    </font>
    <font>
      <b val="1"/>
      <color rgb="001F3864"/>
      <sz val="12"/>
    </font>
    <font>
      <b val="1"/>
      <color rgb="00FFFFFF"/>
    </font>
    <font>
      <b val="1"/>
    </font>
    <font>
      <b val="1"/>
      <color rgb="00C00000"/>
    </font>
    <font>
      <i val="1"/>
      <color rgb="00C00000"/>
    </font>
    <font>
      <i val="1"/>
      <color rgb="00808080"/>
      <sz val="9"/>
    </font>
    <font>
      <i val="1"/>
    </font>
    <font>
      <name val="Courier New"/>
      <sz val="9"/>
    </font>
    <font>
      <name val="Courier New"/>
      <sz val="8"/>
    </font>
    <font>
      <name val="Courier New"/>
      <b val="1"/>
      <sz val="10"/>
    </font>
    <font>
      <b val="1"/>
      <sz val="11"/>
    </font>
    <font>
      <name val="Courier New"/>
      <b val="1"/>
    </font>
  </fonts>
  <fills count="12">
    <fill>
      <patternFill/>
    </fill>
    <fill>
      <patternFill patternType="gray125"/>
    </fill>
    <fill>
      <patternFill patternType="solid">
        <fgColor rgb="00D9E1F2"/>
      </patternFill>
    </fill>
    <fill>
      <patternFill patternType="solid">
        <fgColor rgb="00E2EFDA"/>
      </patternFill>
    </fill>
    <fill>
      <patternFill patternType="solid">
        <fgColor rgb="00FCE4D6"/>
      </patternFill>
    </fill>
    <fill>
      <patternFill patternType="solid">
        <fgColor rgb="00FDE9D9"/>
      </patternFill>
    </fill>
    <fill>
      <patternFill patternType="solid">
        <fgColor rgb="001F3864"/>
      </patternFill>
    </fill>
    <fill>
      <patternFill patternType="solid">
        <fgColor rgb="00FFF2CC"/>
      </patternFill>
    </fill>
    <fill>
      <patternFill patternType="solid">
        <fgColor rgb="00F2F2F2"/>
      </patternFill>
    </fill>
    <fill>
      <patternFill patternType="solid">
        <fgColor rgb="00D9EAD3"/>
      </patternFill>
    </fill>
    <fill>
      <patternFill patternType="solid">
        <fgColor rgb="00F4B183"/>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5">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0" fillId="0" borderId="0" applyAlignment="1" pivotButton="0" quotePrefix="0" xfId="0">
      <alignment vertical="top" wrapText="1"/>
    </xf>
    <xf numFmtId="0" fontId="3" fillId="2"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1" fillId="0" borderId="0" pivotButton="0" quotePrefix="0" xfId="0"/>
    <xf numFmtId="0" fontId="2" fillId="0" borderId="0" pivotButton="0" quotePrefix="0" xfId="0"/>
    <xf numFmtId="0" fontId="4" fillId="6" borderId="1" applyAlignment="1" pivotButton="0" quotePrefix="0" xfId="0">
      <alignment horizontal="center" vertical="center"/>
    </xf>
    <xf numFmtId="0" fontId="0" fillId="0" borderId="1" applyAlignment="1" pivotButton="0" quotePrefix="0" xfId="0">
      <alignment horizontal="center" vertical="center"/>
    </xf>
    <xf numFmtId="3" fontId="0" fillId="0" borderId="1" applyAlignment="1" pivotButton="0" quotePrefix="0" xfId="0">
      <alignment horizontal="center" vertical="center"/>
    </xf>
    <xf numFmtId="0" fontId="0" fillId="4" borderId="1" applyAlignment="1" pivotButton="0" quotePrefix="0" xfId="0">
      <alignment horizontal="center" vertical="center"/>
    </xf>
    <xf numFmtId="0" fontId="5" fillId="0" borderId="0" pivotButton="0" quotePrefix="0" xfId="0"/>
    <xf numFmtId="3" fontId="5" fillId="0" borderId="0" pivotButton="0" quotePrefix="0" xfId="0"/>
    <xf numFmtId="0" fontId="6" fillId="0" borderId="0" pivotButton="0" quotePrefix="0" xfId="0"/>
    <xf numFmtId="0" fontId="5" fillId="0" borderId="1" pivotButton="0" quotePrefix="0" xfId="0"/>
    <xf numFmtId="0" fontId="0" fillId="5" borderId="1" applyAlignment="1" pivotButton="0" quotePrefix="0" xfId="0">
      <alignment horizontal="center" vertical="center"/>
    </xf>
    <xf numFmtId="0" fontId="7" fillId="0" borderId="1" applyAlignment="1" pivotButton="0" quotePrefix="0" xfId="0">
      <alignment vertical="top" wrapText="1"/>
    </xf>
    <xf numFmtId="0" fontId="0" fillId="0" borderId="1" pivotButton="0" quotePrefix="0" xfId="0"/>
    <xf numFmtId="0" fontId="0" fillId="3" borderId="1" applyAlignment="1" pivotButton="0" quotePrefix="0" xfId="0">
      <alignment horizontal="center" vertical="center"/>
    </xf>
    <xf numFmtId="0" fontId="4" fillId="6" borderId="0" applyAlignment="1" pivotButton="0" quotePrefix="0" xfId="0">
      <alignment horizontal="center" vertical="center"/>
    </xf>
    <xf numFmtId="0" fontId="0" fillId="7" borderId="1" applyAlignment="1" pivotButton="0" quotePrefix="0" xfId="0">
      <alignment horizontal="center" vertical="center"/>
    </xf>
    <xf numFmtId="0" fontId="5" fillId="0" borderId="1" applyAlignment="1" pivotButton="0" quotePrefix="0" xfId="0">
      <alignment horizontal="center" vertical="center"/>
    </xf>
    <xf numFmtId="0" fontId="3" fillId="2" borderId="0" pivotButton="0" quotePrefix="0" xfId="0"/>
    <xf numFmtId="0" fontId="5" fillId="0" borderId="0" applyAlignment="1" pivotButton="0" quotePrefix="0" xfId="0">
      <alignment horizontal="center" vertical="center"/>
    </xf>
    <xf numFmtId="0" fontId="0" fillId="0" borderId="0" applyAlignment="1" pivotButton="0" quotePrefix="0" xfId="0">
      <alignment horizontal="center" vertical="center"/>
    </xf>
    <xf numFmtId="0" fontId="8" fillId="0" borderId="0" applyAlignment="1" pivotButton="0" quotePrefix="0" xfId="0">
      <alignment vertical="top" wrapText="1"/>
    </xf>
    <xf numFmtId="3" fontId="0" fillId="7" borderId="1" applyAlignment="1" pivotButton="0" quotePrefix="0" xfId="0">
      <alignment horizontal="center" vertical="center"/>
    </xf>
    <xf numFmtId="0" fontId="0" fillId="8" borderId="1" applyAlignment="1" pivotButton="0" quotePrefix="0" xfId="0">
      <alignment horizontal="center" vertical="center"/>
    </xf>
    <xf numFmtId="3" fontId="0" fillId="5" borderId="1" applyAlignment="1" pivotButton="0" quotePrefix="0" xfId="0">
      <alignment horizontal="center" vertical="center"/>
    </xf>
    <xf numFmtId="164" fontId="0" fillId="0" borderId="1" applyAlignment="1" pivotButton="0" quotePrefix="0" xfId="0">
      <alignment horizontal="center" vertical="center"/>
    </xf>
    <xf numFmtId="164" fontId="0" fillId="0" borderId="0" pivotButton="0" quotePrefix="0" xfId="0"/>
    <xf numFmtId="0" fontId="8" fillId="0" borderId="0" pivotButton="0" quotePrefix="0" xfId="0"/>
    <xf numFmtId="0" fontId="9" fillId="0" borderId="0" pivotButton="0" quotePrefix="0" xfId="0"/>
    <xf numFmtId="0" fontId="3" fillId="6" borderId="0" pivotButton="0" quotePrefix="0" xfId="0"/>
    <xf numFmtId="0" fontId="4" fillId="6" borderId="1" applyAlignment="1" pivotButton="0" quotePrefix="0" xfId="0">
      <alignment horizontal="center" vertical="top" wrapText="1"/>
    </xf>
    <xf numFmtId="0" fontId="5" fillId="0" borderId="1" applyAlignment="1" pivotButton="0" quotePrefix="0" xfId="0">
      <alignment horizontal="center" vertical="top"/>
    </xf>
    <xf numFmtId="0" fontId="0" fillId="0" borderId="1" applyAlignment="1" pivotButton="0" quotePrefix="0" xfId="0">
      <alignment vertical="top" wrapText="1"/>
    </xf>
    <xf numFmtId="0" fontId="10" fillId="0" borderId="1" applyAlignment="1" pivotButton="0" quotePrefix="0" xfId="0">
      <alignment vertical="top" wrapText="1"/>
    </xf>
    <xf numFmtId="0" fontId="0" fillId="0" borderId="1" applyAlignment="1" pivotButton="0" quotePrefix="0" xfId="0">
      <alignment horizontal="center" vertical="top"/>
    </xf>
    <xf numFmtId="0" fontId="11" fillId="0" borderId="1" applyAlignment="1" pivotButton="0" quotePrefix="0" xfId="0">
      <alignment vertical="top" wrapText="1"/>
    </xf>
    <xf numFmtId="0" fontId="5" fillId="9" borderId="1" applyAlignment="1" pivotButton="0" quotePrefix="0" xfId="0">
      <alignment horizontal="center" vertical="center"/>
    </xf>
    <xf numFmtId="0" fontId="0" fillId="9" borderId="1" pivotButton="0" quotePrefix="0" xfId="0"/>
    <xf numFmtId="0" fontId="12" fillId="9" borderId="1" applyAlignment="1" pivotButton="0" quotePrefix="0" xfId="0">
      <alignment vertical="center" wrapText="1"/>
    </xf>
    <xf numFmtId="0" fontId="5" fillId="9" borderId="1" applyAlignment="1" pivotButton="0" quotePrefix="0" xfId="0">
      <alignment horizontal="center"/>
    </xf>
    <xf numFmtId="0" fontId="0" fillId="9" borderId="1" applyAlignment="1" pivotButton="0" quotePrefix="0" xfId="0">
      <alignment vertical="top" wrapText="1"/>
    </xf>
    <xf numFmtId="0" fontId="11" fillId="9" borderId="1" applyAlignment="1" pivotButton="0" quotePrefix="0" xfId="0">
      <alignment vertical="center" wrapText="1"/>
    </xf>
    <xf numFmtId="0" fontId="13" fillId="0" borderId="0" pivotButton="0" quotePrefix="0" xfId="0"/>
    <xf numFmtId="0" fontId="4" fillId="6" borderId="1" applyAlignment="1" pivotButton="0" quotePrefix="0" xfId="0">
      <alignment vertical="top" wrapText="1"/>
    </xf>
    <xf numFmtId="0" fontId="7" fillId="0" borderId="0" pivotButton="0" quotePrefix="0" xfId="0"/>
    <xf numFmtId="3" fontId="0" fillId="8" borderId="1" applyAlignment="1" pivotButton="0" quotePrefix="0" xfId="0">
      <alignment horizontal="center" vertical="center"/>
    </xf>
    <xf numFmtId="3" fontId="5" fillId="10" borderId="1" applyAlignment="1" pivotButton="0" quotePrefix="0" xfId="0">
      <alignment horizontal="center" vertical="center"/>
    </xf>
    <xf numFmtId="0" fontId="14" fillId="11" borderId="0" applyAlignment="1" pivotButton="0" quotePrefix="0" xfId="0">
      <alignment vertical="top" wrapText="1"/>
    </xf>
  </cellXfs>
  <cellStyles count="1">
    <cellStyle name="Normal" xfId="0" builtinId="0" hidden="0"/>
  </cellStyles>
  <dxfs count="5">
    <dxf>
      <fill>
        <patternFill patternType="solid">
          <fgColor rgb="00C6EFCE"/>
        </patternFill>
      </fill>
    </dxf>
    <dxf>
      <fill>
        <patternFill patternType="solid">
          <fgColor rgb="00FFC7CE"/>
        </patternFill>
      </fill>
    </dxf>
    <dxf>
      <fill>
        <patternFill patternType="solid">
          <fgColor rgb="00E2EFDA"/>
        </patternFill>
      </fill>
    </dxf>
    <dxf>
      <fill>
        <patternFill patternType="solid">
          <fgColor rgb="00FFEB9C"/>
        </patternFill>
      </fill>
    </dxf>
    <dxf>
      <fill>
        <patternFill patternType="solid">
          <fgColor rgb="00FFF2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Current Total Cores by Region (real)</a:t>
            </a:r>
          </a:p>
        </rich>
      </tx>
    </title>
    <plotArea>
      <barChart>
        <barDir val="bar"/>
        <grouping val="clustered"/>
        <ser>
          <idx val="0"/>
          <order val="0"/>
          <tx>
            <strRef>
              <f>'Usage_Source'!F3</f>
            </strRef>
          </tx>
          <spPr>
            <a:ln xmlns:a="http://schemas.openxmlformats.org/drawingml/2006/main">
              <a:prstDash val="solid"/>
            </a:ln>
          </spPr>
          <cat>
            <numRef>
              <f>'Usage_Source'!$A$4:$A$16</f>
            </numRef>
          </cat>
          <val>
            <numRef>
              <f>'Usage_Source'!$F$4:$F$16</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PS_Prod by ACRME Region</a:t>
            </a:r>
          </a:p>
        </rich>
      </tx>
    </title>
    <plotArea>
      <barChart>
        <barDir val="col"/>
        <grouping val="clustered"/>
        <ser>
          <idx val="0"/>
          <order val="0"/>
          <tx>
            <strRef>
              <f>'Scoring_Prod'!Q3</f>
            </strRef>
          </tx>
          <spPr>
            <a:ln xmlns:a="http://schemas.openxmlformats.org/drawingml/2006/main">
              <a:prstDash val="solid"/>
            </a:ln>
          </spPr>
          <cat>
            <numRef>
              <f>'Scoring_Prod'!$A$4:$A$17</f>
            </numRef>
          </cat>
          <val>
            <numRef>
              <f>'Scoring_Prod'!$Q$4:$Q$17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Chosen Placement Scores</a:t>
            </a:r>
          </a:p>
        </rich>
      </tx>
    </title>
    <plotArea>
      <barChart>
        <barDir val="col"/>
        <grouping val="clustered"/>
        <ser>
          <idx val="0"/>
          <order val="0"/>
          <spPr>
            <a:ln xmlns:a="http://schemas.openxmlformats.org/drawingml/2006/main">
              <a:prstDash val="solid"/>
            </a:ln>
          </spPr>
          <cat>
            <numRef>
              <f>'Result'!$A$9:$A$11</f>
            </numRef>
          </cat>
          <val>
            <numRef>
              <f>'Result'!$C$9:$C$11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_rels/drawing3.xml.rels><Relationships xmlns="http://schemas.openxmlformats.org/package/2006/relationships"><Relationship Type="http://schemas.openxmlformats.org/officeDocument/2006/relationships/chart" Target="/xl/charts/chart3.xml" Id="rId1"/></Relationships>
</file>

<file path=xl/drawings/drawing1.xml><?xml version="1.0" encoding="utf-8"?>
<wsDr xmlns="http://schemas.openxmlformats.org/drawingml/2006/spreadsheetDrawing">
  <oneCellAnchor>
    <from>
      <col>10</col>
      <colOff>0</colOff>
      <row>2</row>
      <rowOff>0</rowOff>
    </from>
    <ext cx="576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19</col>
      <colOff>0</colOff>
      <row>5</row>
      <rowOff>0</rowOff>
    </from>
    <ext cx="648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xml><?xml version="1.0" encoding="utf-8"?>
<wsDr xmlns="http://schemas.openxmlformats.org/drawingml/2006/spreadsheetDrawing">
  <oneCellAnchor>
    <from>
      <col>0</col>
      <colOff>0</colOff>
      <row>17</row>
      <rowOff>0</rowOff>
    </from>
    <ext cx="36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7.xml.rels><Relationships xmlns="http://schemas.openxmlformats.org/package/2006/relationships"><Relationship Type="http://schemas.openxmlformats.org/officeDocument/2006/relationships/drawing" Target="/xl/drawings/drawing2.xml" Id="rId1"/></Relationships>
</file>

<file path=xl/worksheets/_rels/sheet10.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outlinePr summaryBelow="1" summaryRight="1"/>
    <pageSetUpPr/>
  </sheetPr>
  <dimension ref="B1:B37"/>
  <sheetViews>
    <sheetView showGridLines="0" workbookViewId="0">
      <selection activeCell="A1" sqref="A1"/>
    </sheetView>
  </sheetViews>
  <sheetFormatPr baseColWidth="8" defaultRowHeight="15"/>
  <cols>
    <col width="3" customWidth="1" min="1" max="1"/>
    <col width="112" customWidth="1" min="2" max="2"/>
  </cols>
  <sheetData>
    <row r="1">
      <c r="B1" s="1" t="inlineStr">
        <is>
          <t>ACRME Region Selection — WHAT-IF on the ACRME Region Catalogue (Formula-Only)</t>
        </is>
      </c>
    </row>
    <row r="2">
      <c r="B2" s="2" t="inlineStr">
        <is>
          <t>Candidate regions = authoritative ACRME catalogue (baseline v2.4 Section 6). Usage distributed from the real SKU-usage files.</t>
        </is>
      </c>
    </row>
    <row r="3">
      <c r="B3" s="3" t="inlineStr"/>
    </row>
    <row r="4">
      <c r="B4" s="4" t="inlineStr">
        <is>
          <t>WHAT THIS WORKBOOK DOES</t>
        </is>
      </c>
    </row>
    <row r="5">
      <c r="B5" s="3" t="inlineStr">
        <is>
          <t>This what-if runs the ACRME weightage model over the ACTUAL ACRME in-scope regions (not the regions that happen to appear in the usage export). Your real usage is DISTRIBUTED onto those catalogue regions, and the engine scores every region so you can see where new workload should land. All results are live formulas — change any input and everything recalculates. No macros.</t>
        </is>
      </c>
    </row>
    <row r="6">
      <c r="B6" s="3" t="inlineStr"/>
    </row>
    <row r="7">
      <c r="B7" s="4" t="inlineStr">
        <is>
          <t>REGION CLASSIFICATION FOR THIS MOCKUP (your instruction)</t>
        </is>
      </c>
    </row>
    <row r="8">
      <c r="B8" s="3" t="inlineStr">
        <is>
          <t>• ALL regions are STANDARD (engine-selectable). This deliberately promotes East US 2, North Europe and West Europe — normally 'Restricted / exception-only' in the baseline catalogue — to Standard so they compete for placement.</t>
        </is>
      </c>
    </row>
    <row r="9">
      <c r="B9" s="5" t="inlineStr">
        <is>
          <t>• EXCEPTION: the Middle East regions (Saudi Arabia East, UAE North) are RESTRICTED — production-only, and NOT auto-selected by the engine unless you explicitly supply one as the Prod region on Setup (cell B8). This matches the baseline 'Restricted deployment regions' definition. So for a Middle East run you must name a Prod region; DR still auto-selects cross-geo in a Standard Europe region.</t>
        </is>
      </c>
    </row>
    <row r="10">
      <c r="B10" s="3" t="inlineStr"/>
    </row>
    <row r="11">
      <c r="B11" s="4" t="inlineStr">
        <is>
          <t>HOW THE DISTRIBUTION WORKS</t>
        </is>
      </c>
    </row>
    <row r="12">
      <c r="B12" s="3" t="inlineStr">
        <is>
          <t>• Each geography's REAL total usage (Prod / Non-Prod cores) is preserved and spread across that geography's ACRME catalogue regions. Weight ∝ real usage where a catalogue region exists in the data; catalogue regions absent from the data (e.g. Canada Central) get a small floor share. Data regions that are NOT ACRME regions (East US, Central India, South Africa North) fold into their geography total.</t>
        </is>
      </c>
    </row>
    <row r="13">
      <c r="B13" s="3" t="inlineStr">
        <is>
          <t>• Current Alloc / Q-Used = this distributed real usage. Reserved / Quota = the LARGER of the geography's even 'balanced target' share and the region's own distributed allocation, plus an 8% headroom margin. This keeps every region's headroom positive but VARYING: an under-used region (e.g. West US 3, Canada Central) shows large free capacity and scores high; a heavily-used region (e.g. East US 2) shows only the thin 8% margin and scores low — so the weightage model selects by SCORE rather than by gate elimination.</t>
        </is>
      </c>
    </row>
    <row r="14">
      <c r="B14" s="3" t="inlineStr"/>
    </row>
    <row r="15">
      <c r="B15" s="4" t="inlineStr">
        <is>
          <t>SHEET MAP</t>
        </is>
      </c>
    </row>
    <row r="16">
      <c r="B16" s="3" t="inlineStr">
        <is>
          <t>1. How_To_Use — this guide.</t>
        </is>
      </c>
    </row>
    <row r="17">
      <c r="B17" s="3" t="inlineStr">
        <is>
          <t>2. Usage_Source — the REAL aggregated usage by region from the uploaded files (read-only provenance), with the geography roll-up and which regions fold in.</t>
        </is>
      </c>
    </row>
    <row r="18">
      <c r="B18" s="3" t="inlineStr">
        <is>
          <t>3. Setup — pick Geography, then add one or more SKU line items (SKU + VM count) for the SAME Customer ID &amp; Geography/Region. vCPU/VM auto-fills from the SKU catalogue and Requested vCPU (total) auto-sums across all lines. Optional customer-supplied Prod region (required for Middle East), Customer ID.</t>
        </is>
      </c>
    </row>
    <row r="19">
      <c r="B19" s="3" t="inlineStr">
        <is>
          <t>4. Policy — the five weights (sum=1.0), total_customers source (live, PLC-012), DR bootstrap / target, min headroom floors.</t>
        </is>
      </c>
    </row>
    <row r="20">
      <c r="B20" s="3" t="inlineStr">
        <is>
          <t>5. Capacity_Usage — the ACRME catalogue regions with distributed usage + a Class column (Standard / Restricted). Yellow = editable; grey = computed; green Class cell = Restricted (Middle East).</t>
        </is>
      </c>
    </row>
    <row r="21">
      <c r="B21" s="3" t="inlineStr">
        <is>
          <t>6. HC_Gate — HC-3 / HC-6 / HC-7 pass/fail and eligibility per region.</t>
        </is>
      </c>
    </row>
    <row r="22">
      <c r="B22" s="3" t="inlineStr">
        <is>
          <t>7. Scoring_Prod / 8. Scoring_CVAL / 9. Scoring_DR — PS component breakdown, AutoSelect flag and winners.</t>
        </is>
      </c>
    </row>
    <row r="23">
      <c r="B23" s="3" t="inlineStr">
        <is>
          <t>10. Result — final placement (Prod / CVAL / DR), readiness, DR sizing (max-not-sum), plus a RANKED CANDIDATE REGIONS table (Rank 1 = highest PS) across all catalogue regions for each mode.</t>
        </is>
      </c>
    </row>
    <row r="24">
      <c r="B24" s="3" t="inlineStr"/>
    </row>
    <row r="25">
      <c r="B25" s="4" t="inlineStr">
        <is>
          <t>THE FORMULAS (from the baseline)</t>
        </is>
      </c>
    </row>
    <row r="26">
      <c r="B26" s="3" t="inlineStr">
        <is>
          <t>Clamp(x)=MIN(MAX(x,0),1). PS_Prod=α·(npEffFree/prodRes)+β·(prodQHeadroom/prodQLimit)+γ·(1−cust/total)+δ·drCov+ε·(az/3).</t>
        </is>
      </c>
    </row>
    <row r="27">
      <c r="B27" s="3" t="inlineStr">
        <is>
          <t>PS_NonProd=α·(npEffFree/npRes)+β·(npQHeadroom/npQLimit)+γ·(1−cust/total)+δ·(npEffFree/npRes)+ε·(az/3).</t>
        </is>
      </c>
    </row>
    <row r="28">
      <c r="B28" s="3" t="inlineStr">
        <is>
          <t>PS_DR=α·(drFree/drRes)+β·(npQHeadroom/npQLimit)+γ·(1−cust/total)+δ·(drCov/target)+ε·(az/3).</t>
        </is>
      </c>
    </row>
    <row r="29">
      <c r="B29" s="3" t="inlineStr">
        <is>
          <t>Auto-select rule: a region is an engine candidate only if InScope AND Eligible AND (Class=Standard OR it is the customer-supplied Prod region). Restricted (Middle East) regions therefore need an explicit Prod region.</t>
        </is>
      </c>
    </row>
    <row r="30">
      <c r="B30" s="3" t="inlineStr">
        <is>
          <t>DR sizing = MAX-NOT-SUM (A.6 / DR-017): DR req = MAX over source regions of (customers × vCPU).</t>
        </is>
      </c>
    </row>
    <row r="31">
      <c r="B31" s="3" t="inlineStr"/>
    </row>
    <row r="32">
      <c r="B32" s="4" t="inlineStr">
        <is>
          <t>KNOWN GAPS / ASSUMPTIONS (surfaced, not hidden)</t>
        </is>
      </c>
    </row>
    <row r="33">
      <c r="B33" s="6" t="inlineStr">
        <is>
          <t>• Metric = Total Cores. Prod = environment tag 'Prod'; everything else = Non-Prod.</t>
        </is>
      </c>
    </row>
    <row r="34">
      <c r="B34" s="6" t="inlineStr">
        <is>
          <t>• Reserved &amp; Quota are DERIVED planning figures (max of even-share and actual alloc, +8% margin), not billed reservations — edit to model reality.</t>
        </is>
      </c>
    </row>
    <row r="35">
      <c r="B35" s="7" t="inlineStr">
        <is>
          <t>• Middle East has ~no real usage in the data — its two regions use a flagged SYNTHETIC pool so the geography can be exercised. Saudi Arabia East is a FUTURE REGION (not yet GA; Microsoft target Q4 2026, Eastern Province; no real usage data will exist until launch). UAE North is GA but absent from ACRME source data. Japan East (Asia Pacific) is 'pending' in the catalogue and is excluded.</t>
        </is>
      </c>
    </row>
    <row r="36">
      <c r="B36" s="3" t="inlineStr">
        <is>
          <t>• total_customers(g) = live count of customers in the geography (PLC-012, A.10); γ = 1 when it is zero. Cust Count values are illustrative.</t>
        </is>
      </c>
    </row>
    <row r="37">
      <c r="B37" s="6" t="inlineStr">
        <is>
          <t>• PS_NonProd δ duplicates its α (baseline design-of-record). DR bootstrap / target are configurable placeholders.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3"/>
  <sheetViews>
    <sheetView showGridLines="0" workbookViewId="0">
      <pane ySplit="3" topLeftCell="A4" activePane="bottomLeft" state="frozen"/>
      <selection pane="bottomLeft" activeCell="A1" sqref="A1"/>
    </sheetView>
  </sheetViews>
  <sheetFormatPr baseColWidth="8" defaultRowHeight="15"/>
  <cols>
    <col width="20" customWidth="1" min="1" max="1"/>
    <col width="14" customWidth="1" min="2" max="2"/>
    <col width="18" customWidth="1" min="3" max="3"/>
    <col width="11" customWidth="1" min="4" max="4"/>
    <col width="14" customWidth="1" min="5" max="5"/>
    <col width="12" customWidth="1" min="6" max="6"/>
    <col width="11" customWidth="1" min="7" max="7"/>
    <col width="11" customWidth="1" min="8" max="8"/>
    <col width="34" customWidth="1" min="9" max="9"/>
  </cols>
  <sheetData>
    <row r="1">
      <c r="A1" s="8" t="inlineStr">
        <is>
          <t>CURRENT USAGE — SOURCE SNAPSHOT (real, from uploaded files)</t>
        </is>
      </c>
    </row>
    <row r="2">
      <c r="A2" s="9" t="inlineStr">
        <is>
          <t>Real aggregation from SKU_USage (1).xlsx (Total Cores). Prod = tag 'Prod'; all other tags = Non-Prod. This is provenance; the engine reads the distributed Capacity_Usage sheet. ACRME catalogue regions absent from source data use SYNTHETIC capacity — see the footer section below. NOTE: Saudi Arabia East is a FUTURE REGION (not yet GA; Microsoft target Q4 2026, Eastern Province) — no real usage data exists; capacity figures are entirely SYNTHETIC.</t>
        </is>
      </c>
    </row>
    <row r="3">
      <c r="A3" s="10" t="inlineStr">
        <is>
          <t>Region (as in data)</t>
        </is>
      </c>
      <c r="B3" s="10" t="inlineStr">
        <is>
          <t>Geography</t>
        </is>
      </c>
      <c r="C3" s="10" t="inlineStr">
        <is>
          <t>Class in this mockup</t>
        </is>
      </c>
      <c r="D3" s="10" t="inlineStr">
        <is>
          <t>Prod Cores</t>
        </is>
      </c>
      <c r="E3" s="10" t="inlineStr">
        <is>
          <t>Non-Prod Cores</t>
        </is>
      </c>
      <c r="F3" s="10" t="inlineStr">
        <is>
          <t>Total Cores</t>
        </is>
      </c>
      <c r="G3" s="10" t="inlineStr">
        <is>
          <t>AKS Cores</t>
        </is>
      </c>
      <c r="H3" s="10" t="inlineStr">
        <is>
          <t>Unique Subs</t>
        </is>
      </c>
      <c r="I3" s="10" t="inlineStr">
        <is>
          <t>ACRME catalogue region?</t>
        </is>
      </c>
    </row>
    <row r="4">
      <c r="A4" s="11" t="inlineStr">
        <is>
          <t>East US 2</t>
        </is>
      </c>
      <c r="B4" s="11" t="inlineStr">
        <is>
          <t>US</t>
        </is>
      </c>
      <c r="C4" s="11" t="inlineStr">
        <is>
          <t>Standard</t>
        </is>
      </c>
      <c r="D4" s="12" t="n">
        <v>139410</v>
      </c>
      <c r="E4" s="12" t="n">
        <v>328418</v>
      </c>
      <c r="F4" s="12" t="n">
        <v>467828</v>
      </c>
      <c r="G4" s="12" t="n">
        <v>155696</v>
      </c>
      <c r="H4" s="11" t="n">
        <v>150</v>
      </c>
      <c r="I4" s="11" t="inlineStr">
        <is>
          <t>ACRME region</t>
        </is>
      </c>
    </row>
    <row r="5">
      <c r="A5" s="11" t="inlineStr">
        <is>
          <t>West Europe</t>
        </is>
      </c>
      <c r="B5" s="11" t="inlineStr">
        <is>
          <t>EU</t>
        </is>
      </c>
      <c r="C5" s="11" t="inlineStr">
        <is>
          <t>Standard</t>
        </is>
      </c>
      <c r="D5" s="12" t="n">
        <v>41088</v>
      </c>
      <c r="E5" s="12" t="n">
        <v>139820</v>
      </c>
      <c r="F5" s="12" t="n">
        <v>180908</v>
      </c>
      <c r="G5" s="12" t="n">
        <v>58982</v>
      </c>
      <c r="H5" s="11" t="n">
        <v>69</v>
      </c>
      <c r="I5" s="11" t="inlineStr">
        <is>
          <t>ACRME region</t>
        </is>
      </c>
    </row>
    <row r="6">
      <c r="A6" s="11" t="inlineStr">
        <is>
          <t>Southeast Asia</t>
        </is>
      </c>
      <c r="B6" s="11" t="inlineStr">
        <is>
          <t>Asia Pacific</t>
        </is>
      </c>
      <c r="C6" s="11" t="inlineStr">
        <is>
          <t>Standard</t>
        </is>
      </c>
      <c r="D6" s="12" t="n">
        <v>19388</v>
      </c>
      <c r="E6" s="12" t="n">
        <v>22766</v>
      </c>
      <c r="F6" s="12" t="n">
        <v>42154</v>
      </c>
      <c r="G6" s="12" t="n">
        <v>12338</v>
      </c>
      <c r="H6" s="11" t="n">
        <v>43</v>
      </c>
      <c r="I6" s="11" t="inlineStr">
        <is>
          <t>ACRME region</t>
        </is>
      </c>
    </row>
    <row r="7">
      <c r="A7" s="11" t="inlineStr">
        <is>
          <t>Central US</t>
        </is>
      </c>
      <c r="B7" s="11" t="inlineStr">
        <is>
          <t>US</t>
        </is>
      </c>
      <c r="C7" s="11" t="inlineStr">
        <is>
          <t>Standard</t>
        </is>
      </c>
      <c r="D7" s="12" t="n">
        <v>17964</v>
      </c>
      <c r="E7" s="12" t="n">
        <v>22318</v>
      </c>
      <c r="F7" s="12" t="n">
        <v>40282</v>
      </c>
      <c r="G7" s="12" t="n">
        <v>19626</v>
      </c>
      <c r="H7" s="11" t="n">
        <v>65</v>
      </c>
      <c r="I7" s="11" t="inlineStr">
        <is>
          <t>ACRME region</t>
        </is>
      </c>
    </row>
    <row r="8">
      <c r="A8" s="11" t="inlineStr">
        <is>
          <t>Australia East</t>
        </is>
      </c>
      <c r="B8" s="11" t="inlineStr">
        <is>
          <t>Australia</t>
        </is>
      </c>
      <c r="C8" s="11" t="inlineStr">
        <is>
          <t>Standard</t>
        </is>
      </c>
      <c r="D8" s="12" t="n">
        <v>8436</v>
      </c>
      <c r="E8" s="12" t="n">
        <v>17002</v>
      </c>
      <c r="F8" s="12" t="n">
        <v>25438</v>
      </c>
      <c r="G8" s="12" t="n">
        <v>8616</v>
      </c>
      <c r="H8" s="11" t="n">
        <v>34</v>
      </c>
      <c r="I8" s="11" t="inlineStr">
        <is>
          <t>ACRME region</t>
        </is>
      </c>
    </row>
    <row r="9">
      <c r="A9" s="11" t="inlineStr">
        <is>
          <t>North Europe</t>
        </is>
      </c>
      <c r="B9" s="11" t="inlineStr">
        <is>
          <t>EU</t>
        </is>
      </c>
      <c r="C9" s="11" t="inlineStr">
        <is>
          <t>Standard</t>
        </is>
      </c>
      <c r="D9" s="12" t="n">
        <v>5448</v>
      </c>
      <c r="E9" s="12" t="n">
        <v>6944</v>
      </c>
      <c r="F9" s="12" t="n">
        <v>12392</v>
      </c>
      <c r="G9" s="12" t="n">
        <v>6000</v>
      </c>
      <c r="H9" s="11" t="n">
        <v>30</v>
      </c>
      <c r="I9" s="11" t="inlineStr">
        <is>
          <t>ACRME region</t>
        </is>
      </c>
    </row>
    <row r="10">
      <c r="A10" s="11" t="inlineStr">
        <is>
          <t>East Asia</t>
        </is>
      </c>
      <c r="B10" s="11" t="inlineStr">
        <is>
          <t>Asia Pacific</t>
        </is>
      </c>
      <c r="C10" s="11" t="inlineStr">
        <is>
          <t>Standard</t>
        </is>
      </c>
      <c r="D10" s="12" t="n">
        <v>3068</v>
      </c>
      <c r="E10" s="12" t="n">
        <v>3100</v>
      </c>
      <c r="F10" s="12" t="n">
        <v>6168</v>
      </c>
      <c r="G10" s="12" t="n">
        <v>2824</v>
      </c>
      <c r="H10" s="11" t="n">
        <v>21</v>
      </c>
      <c r="I10" s="11" t="inlineStr">
        <is>
          <t>ACRME region</t>
        </is>
      </c>
    </row>
    <row r="11">
      <c r="A11" s="11" t="inlineStr">
        <is>
          <t>Australia Southeast</t>
        </is>
      </c>
      <c r="B11" s="11" t="inlineStr">
        <is>
          <t>Australia</t>
        </is>
      </c>
      <c r="C11" s="11" t="inlineStr">
        <is>
          <t>Standard</t>
        </is>
      </c>
      <c r="D11" s="12" t="n">
        <v>1976</v>
      </c>
      <c r="E11" s="12" t="n">
        <v>2644</v>
      </c>
      <c r="F11" s="12" t="n">
        <v>4620</v>
      </c>
      <c r="G11" s="12" t="n">
        <v>2096</v>
      </c>
      <c r="H11" s="11" t="n">
        <v>14</v>
      </c>
      <c r="I11" s="11" t="inlineStr">
        <is>
          <t>ACRME region</t>
        </is>
      </c>
    </row>
    <row r="12">
      <c r="A12" s="11" t="inlineStr">
        <is>
          <t>Sweden Central</t>
        </is>
      </c>
      <c r="B12" s="11" t="inlineStr">
        <is>
          <t>EU</t>
        </is>
      </c>
      <c r="C12" s="11" t="inlineStr">
        <is>
          <t>Standard</t>
        </is>
      </c>
      <c r="D12" s="12" t="n">
        <v>1632</v>
      </c>
      <c r="E12" s="12" t="n">
        <v>1760</v>
      </c>
      <c r="F12" s="12" t="n">
        <v>3392</v>
      </c>
      <c r="G12" s="12" t="n">
        <v>1696</v>
      </c>
      <c r="H12" s="11" t="n">
        <v>13</v>
      </c>
      <c r="I12" s="11" t="inlineStr">
        <is>
          <t>ACRME region</t>
        </is>
      </c>
    </row>
    <row r="13">
      <c r="A13" s="11" t="inlineStr">
        <is>
          <t>Switzerland North</t>
        </is>
      </c>
      <c r="B13" s="11" t="inlineStr">
        <is>
          <t>EU</t>
        </is>
      </c>
      <c r="C13" s="11" t="inlineStr">
        <is>
          <t>Standard</t>
        </is>
      </c>
      <c r="D13" s="12" t="n">
        <v>1216</v>
      </c>
      <c r="E13" s="12" t="n">
        <v>1312</v>
      </c>
      <c r="F13" s="12" t="n">
        <v>2528</v>
      </c>
      <c r="G13" s="12" t="n">
        <v>1264</v>
      </c>
      <c r="H13" s="11" t="n">
        <v>11</v>
      </c>
      <c r="I13" s="11" t="inlineStr">
        <is>
          <t>ACRME region</t>
        </is>
      </c>
    </row>
    <row r="14">
      <c r="A14" s="11" t="inlineStr">
        <is>
          <t>South Africa North</t>
        </is>
      </c>
      <c r="B14" s="11" t="inlineStr">
        <is>
          <t>Middle East</t>
        </is>
      </c>
      <c r="C14" s="11" t="inlineStr">
        <is>
          <t>Restricted</t>
        </is>
      </c>
      <c r="D14" s="12" t="n">
        <v>0</v>
      </c>
      <c r="E14" s="12" t="n">
        <v>1736</v>
      </c>
      <c r="F14" s="12" t="n">
        <v>1736</v>
      </c>
      <c r="G14" s="12" t="n">
        <v>868</v>
      </c>
      <c r="H14" s="11" t="n">
        <v>1</v>
      </c>
      <c r="I14" s="13" t="inlineStr">
        <is>
          <t>folds into geography (not an ACRME region)</t>
        </is>
      </c>
    </row>
    <row r="15">
      <c r="A15" s="11" t="inlineStr">
        <is>
          <t>Central India</t>
        </is>
      </c>
      <c r="B15" s="11" t="inlineStr">
        <is>
          <t>Asia Pacific</t>
        </is>
      </c>
      <c r="C15" s="11" t="inlineStr">
        <is>
          <t>—</t>
        </is>
      </c>
      <c r="D15" s="12" t="n">
        <v>698</v>
      </c>
      <c r="E15" s="12" t="n">
        <v>0</v>
      </c>
      <c r="F15" s="12" t="n">
        <v>698</v>
      </c>
      <c r="G15" s="12" t="n">
        <v>0</v>
      </c>
      <c r="H15" s="11" t="n">
        <v>1</v>
      </c>
      <c r="I15" s="13" t="inlineStr">
        <is>
          <t>folds into geography (not an ACRME region)</t>
        </is>
      </c>
    </row>
    <row r="16">
      <c r="A16" s="11" t="inlineStr">
        <is>
          <t>East US</t>
        </is>
      </c>
      <c r="B16" s="11" t="inlineStr">
        <is>
          <t>US</t>
        </is>
      </c>
      <c r="C16" s="11" t="inlineStr">
        <is>
          <t>—</t>
        </is>
      </c>
      <c r="D16" s="12" t="n">
        <v>0</v>
      </c>
      <c r="E16" s="12" t="n">
        <v>34</v>
      </c>
      <c r="F16" s="12" t="n">
        <v>34</v>
      </c>
      <c r="G16" s="12" t="n">
        <v>12</v>
      </c>
      <c r="H16" s="11" t="n">
        <v>4</v>
      </c>
      <c r="I16" s="13" t="inlineStr">
        <is>
          <t>folds into geography (not an ACRME region)</t>
        </is>
      </c>
    </row>
    <row r="17">
      <c r="A17" s="11" t="inlineStr">
        <is>
          <t>West US 3</t>
        </is>
      </c>
      <c r="B17" s="11" t="inlineStr">
        <is>
          <t>US</t>
        </is>
      </c>
      <c r="C17" s="11" t="inlineStr">
        <is>
          <t>Standard</t>
        </is>
      </c>
      <c r="D17" s="12" t="n">
        <v>0</v>
      </c>
      <c r="E17" s="12" t="n">
        <v>2</v>
      </c>
      <c r="F17" s="12" t="n">
        <v>2</v>
      </c>
      <c r="G17" s="12" t="n">
        <v>0</v>
      </c>
      <c r="H17" s="11" t="n">
        <v>1</v>
      </c>
      <c r="I17" s="11" t="inlineStr">
        <is>
          <t>ACRME region</t>
        </is>
      </c>
    </row>
    <row r="18">
      <c r="A18" s="14" t="inlineStr">
        <is>
          <t>TOTAL</t>
        </is>
      </c>
      <c r="B18" s="14" t="n"/>
      <c r="C18" s="14" t="n"/>
      <c r="D18" s="15">
        <f>SUM(D4:D17)</f>
        <v/>
      </c>
      <c r="E18" s="15">
        <f>SUM(E4:E17)</f>
        <v/>
      </c>
      <c r="F18" s="15">
        <f>SUM(F4:F17)</f>
        <v/>
      </c>
      <c r="G18" s="15">
        <f>SUM(G4:G17)</f>
        <v/>
      </c>
      <c r="H18" s="14" t="n"/>
      <c r="I18" s="14" t="n"/>
    </row>
    <row r="20">
      <c r="A20" s="16" t="inlineStr">
        <is>
          <t>ACRME CATALOGUE REGIONS — ABSENT FROM SOURCE DATA (capacity figures are SYNTHETIC)</t>
        </is>
      </c>
    </row>
    <row r="21" ht="30" customHeight="1">
      <c r="A21" s="17" t="inlineStr">
        <is>
          <t>Canada Central</t>
        </is>
      </c>
      <c r="B21" s="11" t="inlineStr">
        <is>
          <t>US</t>
        </is>
      </c>
      <c r="C21" s="18" t="inlineStr">
        <is>
          <t>Standard</t>
        </is>
      </c>
      <c r="D21" s="19" t="inlineStr">
        <is>
          <t>absent from source data; mock subscription count used; capacity figures SYNTHETIC</t>
        </is>
      </c>
      <c r="E21" s="20" t="n"/>
      <c r="F21" s="20" t="n"/>
      <c r="G21" s="20" t="n"/>
      <c r="H21" s="20" t="n"/>
      <c r="I21" s="20" t="n"/>
    </row>
    <row r="22" ht="30" customHeight="1">
      <c r="A22" s="17" t="inlineStr">
        <is>
          <t>Saudi Arabia East</t>
        </is>
      </c>
      <c r="B22" s="11" t="inlineStr">
        <is>
          <t>Middle East</t>
        </is>
      </c>
      <c r="C22" s="21" t="inlineStr">
        <is>
          <t>Restricted</t>
        </is>
      </c>
      <c r="D22" s="19" t="inlineStr">
        <is>
          <t>FUTURE REGION — not yet GA (Microsoft target Q4 2026, Eastern Province); no real usage data; capacity figures SYNTHETIC</t>
        </is>
      </c>
      <c r="E22" s="20" t="n"/>
      <c r="F22" s="20" t="n"/>
      <c r="G22" s="20" t="n"/>
      <c r="H22" s="20" t="n"/>
      <c r="I22" s="20" t="n"/>
    </row>
    <row r="23" ht="30" customHeight="1">
      <c r="A23" s="17" t="inlineStr">
        <is>
          <t>UAE North</t>
        </is>
      </c>
      <c r="B23" s="11" t="inlineStr">
        <is>
          <t>Middle East</t>
        </is>
      </c>
      <c r="C23" s="21" t="inlineStr">
        <is>
          <t>Restricted</t>
        </is>
      </c>
      <c r="D23" s="19" t="inlineStr">
        <is>
          <t>GA region — absent from ACRME source data; capacity figures SYNTHETIC</t>
        </is>
      </c>
      <c r="E23" s="20" t="n"/>
      <c r="F23" s="20" t="n"/>
      <c r="G23" s="20" t="n"/>
      <c r="H23" s="20" t="n"/>
      <c r="I23" s="20" t="n"/>
    </row>
  </sheetData>
  <mergeCells count="6">
    <mergeCell ref="A2:I2"/>
    <mergeCell ref="D22:I22"/>
    <mergeCell ref="D23:I23"/>
    <mergeCell ref="A1:I1"/>
    <mergeCell ref="D21:I21"/>
    <mergeCell ref="A20:I20"/>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K28"/>
  <sheetViews>
    <sheetView showGridLines="0" workbookViewId="0">
      <selection activeCell="A1" sqref="A1"/>
    </sheetView>
  </sheetViews>
  <sheetFormatPr baseColWidth="8" defaultRowHeight="15"/>
  <cols>
    <col width="28" customWidth="1" min="1" max="1"/>
    <col width="22" customWidth="1" min="2" max="2"/>
    <col width="11" customWidth="1" min="3" max="3"/>
    <col width="11" customWidth="1" min="4" max="4"/>
    <col width="3" customWidth="1" min="5" max="5"/>
    <col width="14" customWidth="1" min="6" max="6"/>
    <col width="9" customWidth="1" min="7" max="7"/>
    <col width="3" customWidth="1" min="8" max="8"/>
    <col width="14" customWidth="1" min="9" max="9"/>
    <col width="10" customWidth="1" min="10" max="10"/>
    <col width="14" customWidth="1" min="11" max="11"/>
  </cols>
  <sheetData>
    <row r="1">
      <c r="A1" s="8" t="inlineStr">
        <is>
          <t>SETUP — Customer &amp; Workload</t>
        </is>
      </c>
      <c r="F1" s="9" t="inlineStr">
        <is>
          <t>Lookup tables (do not edit)</t>
        </is>
      </c>
    </row>
    <row r="2">
      <c r="F2" s="22" t="inlineStr">
        <is>
          <t>SKU</t>
        </is>
      </c>
      <c r="G2" s="22" t="inlineStr">
        <is>
          <t>vCPU/VM</t>
        </is>
      </c>
      <c r="I2" s="22" t="inlineStr">
        <is>
          <t>Geography</t>
        </is>
      </c>
      <c r="J2" s="22" t="inlineStr">
        <is>
          <t>Model</t>
        </is>
      </c>
      <c r="K2" s="22" t="inlineStr">
        <is>
          <t>DR Scope Geo</t>
        </is>
      </c>
    </row>
    <row r="3">
      <c r="A3" s="14" t="inlineStr">
        <is>
          <t>Geography</t>
        </is>
      </c>
      <c r="B3" s="23" t="inlineStr">
        <is>
          <t>US</t>
        </is>
      </c>
      <c r="F3" s="20" t="inlineStr">
        <is>
          <t>E64ads_v6</t>
        </is>
      </c>
      <c r="G3" s="20" t="n">
        <v>64</v>
      </c>
      <c r="I3" s="20" t="inlineStr">
        <is>
          <t>US</t>
        </is>
      </c>
      <c r="J3" s="20" t="inlineStr">
        <is>
          <t>3-region</t>
        </is>
      </c>
      <c r="K3" s="20" t="inlineStr">
        <is>
          <t>US</t>
        </is>
      </c>
    </row>
    <row r="4">
      <c r="A4" s="14" t="inlineStr">
        <is>
          <t>Total VMs (all SKUs)</t>
        </is>
      </c>
      <c r="B4" s="11">
        <f>SUM(B15:B22)</f>
        <v/>
      </c>
      <c r="F4" s="20" t="inlineStr">
        <is>
          <t>E64ads_v5</t>
        </is>
      </c>
      <c r="G4" s="20" t="n">
        <v>64</v>
      </c>
      <c r="I4" s="20" t="inlineStr">
        <is>
          <t>EU</t>
        </is>
      </c>
      <c r="J4" s="20" t="inlineStr">
        <is>
          <t>2-region</t>
        </is>
      </c>
      <c r="K4" s="20" t="inlineStr">
        <is>
          <t>EU</t>
        </is>
      </c>
    </row>
    <row r="5">
      <c r="A5" s="14" t="inlineStr">
        <is>
          <t>SKU line count</t>
        </is>
      </c>
      <c r="B5" s="11">
        <f>COUNTA(A15:A22)</f>
        <v/>
      </c>
      <c r="F5" s="20" t="inlineStr">
        <is>
          <t>E48ads_v5</t>
        </is>
      </c>
      <c r="G5" s="20" t="n">
        <v>48</v>
      </c>
      <c r="I5" s="20" t="inlineStr">
        <is>
          <t>Australia</t>
        </is>
      </c>
      <c r="J5" s="20" t="inlineStr">
        <is>
          <t>2-region</t>
        </is>
      </c>
      <c r="K5" s="20" t="inlineStr">
        <is>
          <t>Australia</t>
        </is>
      </c>
    </row>
    <row r="6">
      <c r="A6" s="14" t="inlineStr">
        <is>
          <t>Workload SKUs</t>
        </is>
      </c>
      <c r="B6" s="11">
        <f>_xlfn.TEXTJOIN(", ",TRUE,A15:A22)</f>
        <v/>
      </c>
      <c r="F6" s="20" t="inlineStr">
        <is>
          <t>E32ads_v6</t>
        </is>
      </c>
      <c r="G6" s="20" t="n">
        <v>32</v>
      </c>
      <c r="I6" s="20" t="inlineStr">
        <is>
          <t>Asia Pacific</t>
        </is>
      </c>
      <c r="J6" s="20" t="inlineStr">
        <is>
          <t>2-region</t>
        </is>
      </c>
      <c r="K6" s="20" t="inlineStr">
        <is>
          <t>Asia Pacific</t>
        </is>
      </c>
    </row>
    <row r="7">
      <c r="A7" s="14" t="inlineStr">
        <is>
          <t>Requested vCPU (total)</t>
        </is>
      </c>
      <c r="B7" s="24">
        <f>SUM(D15:D22)</f>
        <v/>
      </c>
      <c r="F7" s="20" t="inlineStr">
        <is>
          <t>E32ads_v5</t>
        </is>
      </c>
      <c r="G7" s="20" t="n">
        <v>32</v>
      </c>
      <c r="I7" s="20" t="inlineStr">
        <is>
          <t>Middle East</t>
        </is>
      </c>
      <c r="J7" s="20" t="inlineStr">
        <is>
          <t>cross-geo</t>
        </is>
      </c>
      <c r="K7" s="20" t="inlineStr">
        <is>
          <t>EU</t>
        </is>
      </c>
    </row>
    <row r="8">
      <c r="A8" s="14" t="inlineStr">
        <is>
          <t>Prod region (req. for Middle East)</t>
        </is>
      </c>
      <c r="B8" s="23" t="inlineStr"/>
      <c r="F8" s="20" t="inlineStr">
        <is>
          <t>E20ads_v5</t>
        </is>
      </c>
      <c r="G8" s="20" t="n">
        <v>20</v>
      </c>
    </row>
    <row r="9">
      <c r="A9" s="14" t="inlineStr">
        <is>
          <t>Customer ID</t>
        </is>
      </c>
      <c r="B9" s="23" t="inlineStr">
        <is>
          <t>CUST-0042</t>
        </is>
      </c>
      <c r="F9" s="20" t="inlineStr">
        <is>
          <t>E16ads_v6</t>
        </is>
      </c>
      <c r="G9" s="20" t="n">
        <v>16</v>
      </c>
    </row>
    <row r="10">
      <c r="A10" s="14" t="inlineStr">
        <is>
          <t>Distribution model</t>
        </is>
      </c>
      <c r="B10" s="11">
        <f>VLOOKUP(B3,$I$3:$K$7,2,FALSE)</f>
        <v/>
      </c>
      <c r="F10" s="20" t="inlineStr">
        <is>
          <t>E16ads_v5</t>
        </is>
      </c>
      <c r="G10" s="20" t="n">
        <v>16</v>
      </c>
    </row>
    <row r="11">
      <c r="A11" s="14" t="inlineStr">
        <is>
          <t>DR scope geography</t>
        </is>
      </c>
      <c r="B11" s="11">
        <f>VLOOKUP(B3,$I$3:$K$7,3,FALSE)</f>
        <v/>
      </c>
      <c r="F11" s="20" t="inlineStr">
        <is>
          <t>E8ads_v5</t>
        </is>
      </c>
      <c r="G11" s="20" t="n">
        <v>8</v>
      </c>
    </row>
    <row r="12">
      <c r="F12" s="20" t="inlineStr">
        <is>
          <t>E4ads_v5</t>
        </is>
      </c>
      <c r="G12" s="20" t="n">
        <v>4</v>
      </c>
    </row>
    <row r="13">
      <c r="A13" s="25" t="inlineStr">
        <is>
          <t>WORKLOAD — SKU LINE ITEMS  (one Customer ID, one Geography/Region; add as many SKUs as needed)</t>
        </is>
      </c>
      <c r="F13" s="20" t="inlineStr">
        <is>
          <t>E2ads_v5</t>
        </is>
      </c>
      <c r="G13" s="20" t="n">
        <v>2</v>
      </c>
    </row>
    <row r="14">
      <c r="A14" s="10" t="inlineStr">
        <is>
          <t>SKU</t>
        </is>
      </c>
      <c r="B14" s="10" t="inlineStr">
        <is>
          <t>VM count</t>
        </is>
      </c>
      <c r="C14" s="10" t="inlineStr">
        <is>
          <t>vCPU/VM</t>
        </is>
      </c>
      <c r="D14" s="10" t="inlineStr">
        <is>
          <t>Line vCPU</t>
        </is>
      </c>
      <c r="F14" s="20" t="inlineStr">
        <is>
          <t>D64ads_v5</t>
        </is>
      </c>
      <c r="G14" s="20" t="n">
        <v>64</v>
      </c>
    </row>
    <row r="15">
      <c r="A15" s="23" t="inlineStr">
        <is>
          <t>E16ads_v5</t>
        </is>
      </c>
      <c r="B15" s="23" t="n">
        <v>2</v>
      </c>
      <c r="C15" s="11">
        <f>IF($A15="","",VLOOKUP($A15,$F$3:$G$28,2,FALSE))</f>
        <v/>
      </c>
      <c r="D15" s="11">
        <f>IF($A15="","",$B15*$C15)</f>
        <v/>
      </c>
      <c r="F15" s="20" t="inlineStr">
        <is>
          <t>D32ads_v5</t>
        </is>
      </c>
      <c r="G15" s="20" t="n">
        <v>32</v>
      </c>
    </row>
    <row r="16">
      <c r="A16" s="23" t="inlineStr">
        <is>
          <t>D8ads_v5</t>
        </is>
      </c>
      <c r="B16" s="23" t="n">
        <v>2</v>
      </c>
      <c r="C16" s="11">
        <f>IF($A16="","",VLOOKUP($A16,$F$3:$G$28,2,FALSE))</f>
        <v/>
      </c>
      <c r="D16" s="11">
        <f>IF($A16="","",$B16*$C16)</f>
        <v/>
      </c>
      <c r="F16" s="20" t="inlineStr">
        <is>
          <t>D16ads_v5</t>
        </is>
      </c>
      <c r="G16" s="20" t="n">
        <v>16</v>
      </c>
    </row>
    <row r="17">
      <c r="A17" s="23" t="n"/>
      <c r="B17" s="23" t="n"/>
      <c r="C17" s="11">
        <f>IF($A17="","",VLOOKUP($A17,$F$3:$G$28,2,FALSE))</f>
        <v/>
      </c>
      <c r="D17" s="11">
        <f>IF($A17="","",$B17*$C17)</f>
        <v/>
      </c>
      <c r="F17" s="20" t="inlineStr">
        <is>
          <t>D16as_v5</t>
        </is>
      </c>
      <c r="G17" s="20" t="n">
        <v>16</v>
      </c>
    </row>
    <row r="18">
      <c r="A18" s="23" t="n"/>
      <c r="B18" s="23" t="n"/>
      <c r="C18" s="11">
        <f>IF($A18="","",VLOOKUP($A18,$F$3:$G$28,2,FALSE))</f>
        <v/>
      </c>
      <c r="D18" s="11">
        <f>IF($A18="","",$B18*$C18)</f>
        <v/>
      </c>
      <c r="F18" s="20" t="inlineStr">
        <is>
          <t>D8ads_v5</t>
        </is>
      </c>
      <c r="G18" s="20" t="n">
        <v>8</v>
      </c>
    </row>
    <row r="19">
      <c r="A19" s="23" t="n"/>
      <c r="B19" s="23" t="n"/>
      <c r="C19" s="11">
        <f>IF($A19="","",VLOOKUP($A19,$F$3:$G$28,2,FALSE))</f>
        <v/>
      </c>
      <c r="D19" s="11">
        <f>IF($A19="","",$B19*$C19)</f>
        <v/>
      </c>
      <c r="F19" s="20" t="inlineStr">
        <is>
          <t>D8as_v5</t>
        </is>
      </c>
      <c r="G19" s="20" t="n">
        <v>8</v>
      </c>
    </row>
    <row r="20">
      <c r="A20" s="23" t="n"/>
      <c r="B20" s="23" t="n"/>
      <c r="C20" s="11">
        <f>IF($A20="","",VLOOKUP($A20,$F$3:$G$28,2,FALSE))</f>
        <v/>
      </c>
      <c r="D20" s="11">
        <f>IF($A20="","",$B20*$C20)</f>
        <v/>
      </c>
      <c r="F20" s="20" t="inlineStr">
        <is>
          <t>D4ads_v5</t>
        </is>
      </c>
      <c r="G20" s="20" t="n">
        <v>4</v>
      </c>
    </row>
    <row r="21">
      <c r="A21" s="23" t="n"/>
      <c r="B21" s="23" t="n"/>
      <c r="C21" s="11">
        <f>IF($A21="","",VLOOKUP($A21,$F$3:$G$28,2,FALSE))</f>
        <v/>
      </c>
      <c r="D21" s="11">
        <f>IF($A21="","",$B21*$C21)</f>
        <v/>
      </c>
      <c r="F21" s="20" t="inlineStr">
        <is>
          <t>D4as_v5</t>
        </is>
      </c>
      <c r="G21" s="20" t="n">
        <v>4</v>
      </c>
    </row>
    <row r="22">
      <c r="A22" s="23" t="n"/>
      <c r="B22" s="23" t="n"/>
      <c r="C22" s="11">
        <f>IF($A22="","",VLOOKUP($A22,$F$3:$G$28,2,FALSE))</f>
        <v/>
      </c>
      <c r="D22" s="11">
        <f>IF($A22="","",$B22*$C22)</f>
        <v/>
      </c>
      <c r="F22" s="20" t="inlineStr">
        <is>
          <t>D2ads_v5</t>
        </is>
      </c>
      <c r="G22" s="20" t="n">
        <v>2</v>
      </c>
    </row>
    <row r="23">
      <c r="C23" s="14" t="inlineStr">
        <is>
          <t>TOTAL</t>
        </is>
      </c>
      <c r="D23" s="24">
        <f>SUM(D15:D22)</f>
        <v/>
      </c>
      <c r="F23" s="20" t="inlineStr">
        <is>
          <t>D2as_v5</t>
        </is>
      </c>
      <c r="G23" s="20" t="n">
        <v>2</v>
      </c>
    </row>
    <row r="24">
      <c r="F24" s="20" t="inlineStr">
        <is>
          <t>F32s_v2</t>
        </is>
      </c>
      <c r="G24" s="20" t="n">
        <v>32</v>
      </c>
    </row>
    <row r="25">
      <c r="F25" s="20" t="inlineStr">
        <is>
          <t>F16s_v2</t>
        </is>
      </c>
      <c r="G25" s="20" t="n">
        <v>16</v>
      </c>
    </row>
    <row r="26">
      <c r="F26" s="20" t="inlineStr">
        <is>
          <t>F8s_v2</t>
        </is>
      </c>
      <c r="G26" s="20" t="n">
        <v>8</v>
      </c>
    </row>
    <row r="27">
      <c r="F27" s="20" t="inlineStr">
        <is>
          <t>F4s_v2</t>
        </is>
      </c>
      <c r="G27" s="20" t="n">
        <v>4</v>
      </c>
    </row>
    <row r="28">
      <c r="F28" s="20" t="inlineStr">
        <is>
          <t>F2s_v2</t>
        </is>
      </c>
      <c r="G28" s="20" t="n">
        <v>2</v>
      </c>
    </row>
  </sheetData>
  <mergeCells count="1">
    <mergeCell ref="A13:D13"/>
  </mergeCells>
  <dataValidations count="3">
    <dataValidation sqref="B3" showDropDown="0" showInputMessage="0" showErrorMessage="0" allowBlank="0" type="list">
      <formula1>"US,EU,Australia,Asia Pacific,Middle East"</formula1>
    </dataValidation>
    <dataValidation sqref="B8" showDropDown="0" showInputMessage="0" showErrorMessage="0" allowBlank="1" type="list">
      <formula1>=Capacity_Usage!$B$4:$B$17</formula1>
    </dataValidation>
    <dataValidation sqref="A15:A22" showDropDown="0" showInputMessage="0" showErrorMessage="0" allowBlank="1" type="list">
      <formula1>=$F$3:$F$28</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min="1" max="1"/>
    <col width="14" customWidth="1" min="2" max="2"/>
    <col width="3" customWidth="1" min="3" max="3"/>
    <col width="16" customWidth="1" min="4" max="4"/>
    <col width="12" customWidth="1" min="5" max="5"/>
  </cols>
  <sheetData>
    <row r="1">
      <c r="A1" s="8" t="inlineStr">
        <is>
          <t>POLICY — Weights &amp; Parameters</t>
        </is>
      </c>
    </row>
    <row r="2">
      <c r="A2" s="14" t="inlineStr">
        <is>
          <t>alpha (α) — Capacity headroom</t>
        </is>
      </c>
      <c r="B2" s="23" t="n">
        <v>0.3</v>
      </c>
    </row>
    <row r="3">
      <c r="A3" s="14" t="inlineStr">
        <is>
          <t>beta (β) — Quota headroom</t>
        </is>
      </c>
      <c r="B3" s="23" t="n">
        <v>0.2</v>
      </c>
    </row>
    <row r="4">
      <c r="A4" s="14" t="inlineStr">
        <is>
          <t>gamma (γ) — Distribution fairness</t>
        </is>
      </c>
      <c r="B4" s="23" t="n">
        <v>0.25</v>
      </c>
    </row>
    <row r="5">
      <c r="A5" s="14" t="inlineStr">
        <is>
          <t>delta (δ) — DR readiness</t>
        </is>
      </c>
      <c r="B5" s="23" t="n">
        <v>0.15</v>
      </c>
    </row>
    <row r="6">
      <c r="A6" s="14" t="inlineStr">
        <is>
          <t>epsilon (ε) — Zone diversity</t>
        </is>
      </c>
      <c r="B6" s="23" t="n">
        <v>0.1</v>
      </c>
    </row>
    <row r="7">
      <c r="A7" s="14" t="inlineStr">
        <is>
          <t>Weight sum</t>
        </is>
      </c>
      <c r="B7" s="26">
        <f>SUM(B2:B6)</f>
        <v/>
      </c>
    </row>
    <row r="8">
      <c r="A8" s="14" t="inlineStr">
        <is>
          <t>Validation</t>
        </is>
      </c>
      <c r="B8" s="27">
        <f>IF(ABS(B7-1)&lt;=0.001,"VALID","INVALID — must sum to 1.0")</f>
        <v/>
      </c>
    </row>
    <row r="10">
      <c r="A10" s="14" t="inlineStr">
        <is>
          <t>total_customers source</t>
        </is>
      </c>
      <c r="B10" s="11" t="inlineStr">
        <is>
          <t>Live geography count (PLC-012)</t>
        </is>
      </c>
      <c r="D10" s="28" t="inlineStr">
        <is>
          <t>total_customers(g) = customers in geography g with any environment provisioned or being deployed (baseline v2.5 amended, PLC-012 / A.10). Live, not configurable. Workbook stand-in: sum of Cust Count over the geography's regions.</t>
        </is>
      </c>
    </row>
    <row r="11">
      <c r="A11" s="14" t="inlineStr">
        <is>
          <t>γ when total_customers = 0</t>
        </is>
      </c>
      <c r="B11" s="11" t="n">
        <v>1</v>
      </c>
    </row>
    <row r="13">
      <c r="A13" s="14" t="inlineStr">
        <is>
          <t>DR bootstrap qty (vCPU)</t>
        </is>
      </c>
      <c r="B13" s="23" t="n">
        <v>40</v>
      </c>
    </row>
    <row r="14">
      <c r="A14" s="14" t="inlineStr">
        <is>
          <t>DR coverage target</t>
        </is>
      </c>
      <c r="B14" s="23" t="n">
        <v>0.8</v>
      </c>
    </row>
    <row r="15">
      <c r="A15" s="14" t="inlineStr">
        <is>
          <t>Min Prod headroom (vCPU)</t>
        </is>
      </c>
      <c r="B15" s="23" t="n">
        <v>20</v>
      </c>
    </row>
    <row r="16">
      <c r="A16" s="14" t="inlineStr">
        <is>
          <t>Min NonProd headroom (vCPU)</t>
        </is>
      </c>
      <c r="B16" s="23" t="n">
        <v>20</v>
      </c>
    </row>
    <row r="17">
      <c r="A17" s="14" t="inlineStr">
        <is>
          <t>Min DR headroom (vCPU)</t>
        </is>
      </c>
      <c r="B17" s="23" t="n">
        <v>16</v>
      </c>
    </row>
  </sheetData>
  <mergeCells count="1">
    <mergeCell ref="D10:H11"/>
  </mergeCells>
  <conditionalFormatting sqref="B8">
    <cfRule type="cellIs" priority="1" operator="equal" dxfId="0">
      <formula>"VALID"</formula>
    </cfRule>
    <cfRule type="expression" priority="2" dxfId="1">
      <formula>LEFT(B8,7)="INVALID"</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17"/>
  <sheetViews>
    <sheetView showGridLines="0" workbookViewId="0">
      <pane xSplit="5" ySplit="3" topLeftCell="F4" activePane="bottomRight" state="frozen"/>
      <selection pane="topRight"/>
      <selection pane="bottomLeft"/>
      <selection pane="bottomRight" activeCell="A1" sqref="A1"/>
    </sheetView>
  </sheetViews>
  <sheetFormatPr baseColWidth="8" defaultRowHeight="15"/>
  <cols>
    <col width="12" customWidth="1" min="1" max="1"/>
    <col width="20" customWidth="1" min="2" max="2"/>
    <col width="12" customWidth="1" min="3" max="3"/>
    <col width="12" customWidth="1" min="4" max="4"/>
    <col width="12"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2" customWidth="1" min="22" max="22"/>
  </cols>
  <sheetData>
    <row r="1">
      <c r="A1" s="8" t="inlineStr">
        <is>
          <t>ACRME CATALOGUE — CAPACITY &amp; USAGE (real usage distributed across the actual ACRME regions)</t>
        </is>
      </c>
    </row>
    <row r="2">
      <c r="A2" s="9" t="inlineStr">
        <is>
          <t>Alloc / Q-Used = real usage distributed onto ACRME regions (geography totals preserved). Reserved / Quota = max(even balanced-share, region alloc) + 8% margin (positive but varying headroom). Class: Standard = engine-selectable; Restricted (Middle East) = production-only, explicit Prod region required. Yellow = editable; grey = computed.</t>
        </is>
      </c>
    </row>
    <row r="3">
      <c r="A3" s="10" t="inlineStr">
        <is>
          <t>Region ID</t>
        </is>
      </c>
      <c r="B3" s="10" t="inlineStr">
        <is>
          <t>Region Name</t>
        </is>
      </c>
      <c r="C3" s="10" t="inlineStr">
        <is>
          <t>Geography</t>
        </is>
      </c>
      <c r="D3" s="10" t="inlineStr">
        <is>
          <t>Model</t>
        </is>
      </c>
      <c r="E3" s="10" t="inlineStr">
        <is>
          <t>AZ</t>
        </is>
      </c>
      <c r="F3" s="10" t="inlineStr">
        <is>
          <t>Prod Reserved</t>
        </is>
      </c>
      <c r="G3" s="10" t="inlineStr">
        <is>
          <t>Prod Alloc</t>
        </is>
      </c>
      <c r="H3" s="10" t="inlineStr">
        <is>
          <t>Prod Free</t>
        </is>
      </c>
      <c r="I3" s="10" t="inlineStr">
        <is>
          <t>Prod Q-Limit</t>
        </is>
      </c>
      <c r="J3" s="10" t="inlineStr">
        <is>
          <t>Prod Q-Used</t>
        </is>
      </c>
      <c r="K3" s="10" t="inlineStr">
        <is>
          <t>Prod Q-Headroom</t>
        </is>
      </c>
      <c r="L3" s="10" t="inlineStr">
        <is>
          <t>NP Reserved</t>
        </is>
      </c>
      <c r="M3" s="10" t="inlineStr">
        <is>
          <t>NP Alloc</t>
        </is>
      </c>
      <c r="N3" s="10" t="inlineStr">
        <is>
          <t>NP Eff-Free</t>
        </is>
      </c>
      <c r="O3" s="10" t="inlineStr">
        <is>
          <t>NP Q-Limit</t>
        </is>
      </c>
      <c r="P3" s="10" t="inlineStr">
        <is>
          <t>NP Q-Used</t>
        </is>
      </c>
      <c r="Q3" s="10" t="inlineStr">
        <is>
          <t>NP Q-Headroom</t>
        </is>
      </c>
      <c r="R3" s="10" t="inlineStr">
        <is>
          <t>DR Reserved</t>
        </is>
      </c>
      <c r="S3" s="10" t="inlineStr">
        <is>
          <t>DR Free</t>
        </is>
      </c>
      <c r="T3" s="10" t="inlineStr">
        <is>
          <t>DR Coverage</t>
        </is>
      </c>
      <c r="U3" s="10" t="inlineStr">
        <is>
          <t>Cust Count</t>
        </is>
      </c>
      <c r="V3" s="10" t="inlineStr">
        <is>
          <t>Class</t>
        </is>
      </c>
    </row>
    <row r="4">
      <c r="A4" s="11" t="inlineStr">
        <is>
          <t>westus3</t>
        </is>
      </c>
      <c r="B4" s="11" t="inlineStr">
        <is>
          <t>West US 3</t>
        </is>
      </c>
      <c r="C4" s="11" t="inlineStr">
        <is>
          <t>US</t>
        </is>
      </c>
      <c r="D4" s="11" t="inlineStr">
        <is>
          <t>3-region</t>
        </is>
      </c>
      <c r="E4" s="23" t="n">
        <v>3</v>
      </c>
      <c r="F4" s="29" t="n">
        <v>42492</v>
      </c>
      <c r="G4" s="29" t="n">
        <v>2</v>
      </c>
      <c r="H4" s="30">
        <f>F4-G4</f>
        <v/>
      </c>
      <c r="I4" s="29" t="n">
        <v>63738</v>
      </c>
      <c r="J4" s="29" t="n">
        <v>2</v>
      </c>
      <c r="K4" s="30">
        <f>I4-J4</f>
        <v/>
      </c>
      <c r="L4" s="29" t="n">
        <v>94710</v>
      </c>
      <c r="M4" s="29" t="n">
        <v>2</v>
      </c>
      <c r="N4" s="29" t="n">
        <v>94708</v>
      </c>
      <c r="O4" s="29" t="n">
        <v>142064</v>
      </c>
      <c r="P4" s="29" t="n">
        <v>2</v>
      </c>
      <c r="Q4" s="30">
        <f>O4-P4</f>
        <v/>
      </c>
      <c r="R4" s="23" t="n">
        <v>19672</v>
      </c>
      <c r="S4" s="23" t="n">
        <v>16722</v>
      </c>
      <c r="T4" s="23" t="n">
        <v>0.6</v>
      </c>
      <c r="U4" s="23" t="n">
        <v>1</v>
      </c>
      <c r="V4" s="30" t="inlineStr">
        <is>
          <t>Standard</t>
        </is>
      </c>
    </row>
    <row r="5">
      <c r="A5" s="11" t="inlineStr">
        <is>
          <t>centralus</t>
        </is>
      </c>
      <c r="B5" s="11" t="inlineStr">
        <is>
          <t>Central US</t>
        </is>
      </c>
      <c r="C5" s="11" t="inlineStr">
        <is>
          <t>US</t>
        </is>
      </c>
      <c r="D5" s="11" t="inlineStr">
        <is>
          <t>3-region</t>
        </is>
      </c>
      <c r="E5" s="23" t="n">
        <v>3</v>
      </c>
      <c r="F5" s="29" t="n">
        <v>42492</v>
      </c>
      <c r="G5" s="29" t="n">
        <v>12292</v>
      </c>
      <c r="H5" s="30">
        <f>F5-G5</f>
        <v/>
      </c>
      <c r="I5" s="29" t="n">
        <v>63738</v>
      </c>
      <c r="J5" s="29" t="n">
        <v>12292</v>
      </c>
      <c r="K5" s="30">
        <f>I5-J5</f>
        <v/>
      </c>
      <c r="L5" s="29" t="n">
        <v>94710</v>
      </c>
      <c r="M5" s="29" t="n">
        <v>27398</v>
      </c>
      <c r="N5" s="29" t="n">
        <v>67312</v>
      </c>
      <c r="O5" s="29" t="n">
        <v>142064</v>
      </c>
      <c r="P5" s="29" t="n">
        <v>27398</v>
      </c>
      <c r="Q5" s="30">
        <f>O5-P5</f>
        <v/>
      </c>
      <c r="R5" s="23" t="n">
        <v>19672</v>
      </c>
      <c r="S5" s="23" t="n">
        <v>16722</v>
      </c>
      <c r="T5" s="23" t="n">
        <v>0.6</v>
      </c>
      <c r="U5" s="23" t="n">
        <v>65</v>
      </c>
      <c r="V5" s="30" t="inlineStr">
        <is>
          <t>Standard</t>
        </is>
      </c>
    </row>
    <row r="6">
      <c r="A6" s="11" t="inlineStr">
        <is>
          <t>canadacentral</t>
        </is>
      </c>
      <c r="B6" s="11" t="inlineStr">
        <is>
          <t>Canada Central</t>
        </is>
      </c>
      <c r="C6" s="11" t="inlineStr">
        <is>
          <t>US</t>
        </is>
      </c>
      <c r="D6" s="11" t="inlineStr">
        <is>
          <t>3-region</t>
        </is>
      </c>
      <c r="E6" s="23" t="n">
        <v>3</v>
      </c>
      <c r="F6" s="29" t="n">
        <v>42492</v>
      </c>
      <c r="G6" s="29" t="n">
        <v>2326</v>
      </c>
      <c r="H6" s="30">
        <f>F6-G6</f>
        <v/>
      </c>
      <c r="I6" s="29" t="n">
        <v>63738</v>
      </c>
      <c r="J6" s="29" t="n">
        <v>2326</v>
      </c>
      <c r="K6" s="30">
        <f>I6-J6</f>
        <v/>
      </c>
      <c r="L6" s="29" t="n">
        <v>94710</v>
      </c>
      <c r="M6" s="29" t="n">
        <v>5186</v>
      </c>
      <c r="N6" s="29" t="n">
        <v>89524</v>
      </c>
      <c r="O6" s="29" t="n">
        <v>142064</v>
      </c>
      <c r="P6" s="29" t="n">
        <v>5186</v>
      </c>
      <c r="Q6" s="30">
        <f>O6-P6</f>
        <v/>
      </c>
      <c r="R6" s="23" t="n">
        <v>19672</v>
      </c>
      <c r="S6" s="23" t="n">
        <v>16722</v>
      </c>
      <c r="T6" s="23" t="n">
        <v>0.6</v>
      </c>
      <c r="U6" s="23" t="n">
        <v>10</v>
      </c>
      <c r="V6" s="30" t="inlineStr">
        <is>
          <t>Standard</t>
        </is>
      </c>
    </row>
    <row r="7">
      <c r="A7" s="11" t="inlineStr">
        <is>
          <t>eastus2</t>
        </is>
      </c>
      <c r="B7" s="11" t="inlineStr">
        <is>
          <t>East US 2</t>
        </is>
      </c>
      <c r="C7" s="11" t="inlineStr">
        <is>
          <t>US</t>
        </is>
      </c>
      <c r="D7" s="11" t="inlineStr">
        <is>
          <t>3-region</t>
        </is>
      </c>
      <c r="E7" s="23" t="n">
        <v>3</v>
      </c>
      <c r="F7" s="29" t="n">
        <v>154178</v>
      </c>
      <c r="G7" s="29" t="n">
        <v>142756</v>
      </c>
      <c r="H7" s="30">
        <f>F7-G7</f>
        <v/>
      </c>
      <c r="I7" s="29" t="n">
        <v>231266</v>
      </c>
      <c r="J7" s="29" t="n">
        <v>142756</v>
      </c>
      <c r="K7" s="30">
        <f>I7-J7</f>
        <v/>
      </c>
      <c r="L7" s="29" t="n">
        <v>343646</v>
      </c>
      <c r="M7" s="29" t="n">
        <v>318190</v>
      </c>
      <c r="N7" s="29" t="n">
        <v>25456</v>
      </c>
      <c r="O7" s="29" t="n">
        <v>515468</v>
      </c>
      <c r="P7" s="29" t="n">
        <v>318190</v>
      </c>
      <c r="Q7" s="30">
        <f>O7-P7</f>
        <v/>
      </c>
      <c r="R7" s="23" t="n">
        <v>19672</v>
      </c>
      <c r="S7" s="23" t="n">
        <v>16722</v>
      </c>
      <c r="T7" s="23" t="n">
        <v>0.6</v>
      </c>
      <c r="U7" s="23" t="n">
        <v>150</v>
      </c>
      <c r="V7" s="30" t="inlineStr">
        <is>
          <t>Standard</t>
        </is>
      </c>
    </row>
    <row r="8">
      <c r="A8" s="11" t="inlineStr">
        <is>
          <t>switzerlandnorth</t>
        </is>
      </c>
      <c r="B8" s="11" t="inlineStr">
        <is>
          <t>Switzerland North</t>
        </is>
      </c>
      <c r="C8" s="11" t="inlineStr">
        <is>
          <t>EU</t>
        </is>
      </c>
      <c r="D8" s="11" t="inlineStr">
        <is>
          <t>2-region</t>
        </is>
      </c>
      <c r="E8" s="23" t="n">
        <v>3</v>
      </c>
      <c r="F8" s="29" t="n">
        <v>13334</v>
      </c>
      <c r="G8" s="29" t="n">
        <v>628</v>
      </c>
      <c r="H8" s="30">
        <f>F8-G8</f>
        <v/>
      </c>
      <c r="I8" s="29" t="n">
        <v>20002</v>
      </c>
      <c r="J8" s="29" t="n">
        <v>628</v>
      </c>
      <c r="K8" s="30">
        <f>I8-J8</f>
        <v/>
      </c>
      <c r="L8" s="29" t="n">
        <v>40456</v>
      </c>
      <c r="M8" s="29" t="n">
        <v>1902</v>
      </c>
      <c r="N8" s="29" t="n">
        <v>38554</v>
      </c>
      <c r="O8" s="29" t="n">
        <v>60684</v>
      </c>
      <c r="P8" s="29" t="n">
        <v>1902</v>
      </c>
      <c r="Q8" s="30">
        <f>O8-P8</f>
        <v/>
      </c>
      <c r="R8" s="23" t="n">
        <v>6174</v>
      </c>
      <c r="S8" s="23" t="n">
        <v>5248</v>
      </c>
      <c r="T8" s="23" t="n">
        <v>0.6</v>
      </c>
      <c r="U8" s="23" t="n">
        <v>11</v>
      </c>
      <c r="V8" s="30" t="inlineStr">
        <is>
          <t>Standard</t>
        </is>
      </c>
    </row>
    <row r="9">
      <c r="A9" s="11" t="inlineStr">
        <is>
          <t>swedencentral</t>
        </is>
      </c>
      <c r="B9" s="11" t="inlineStr">
        <is>
          <t>Sweden Central</t>
        </is>
      </c>
      <c r="C9" s="11" t="inlineStr">
        <is>
          <t>EU</t>
        </is>
      </c>
      <c r="D9" s="11" t="inlineStr">
        <is>
          <t>2-region</t>
        </is>
      </c>
      <c r="E9" s="23" t="n">
        <v>3</v>
      </c>
      <c r="F9" s="29" t="n">
        <v>13334</v>
      </c>
      <c r="G9" s="29" t="n">
        <v>842</v>
      </c>
      <c r="H9" s="30">
        <f>F9-G9</f>
        <v/>
      </c>
      <c r="I9" s="29" t="n">
        <v>20002</v>
      </c>
      <c r="J9" s="29" t="n">
        <v>842</v>
      </c>
      <c r="K9" s="30">
        <f>I9-J9</f>
        <v/>
      </c>
      <c r="L9" s="29" t="n">
        <v>40456</v>
      </c>
      <c r="M9" s="29" t="n">
        <v>2552</v>
      </c>
      <c r="N9" s="29" t="n">
        <v>37904</v>
      </c>
      <c r="O9" s="29" t="n">
        <v>60684</v>
      </c>
      <c r="P9" s="29" t="n">
        <v>2552</v>
      </c>
      <c r="Q9" s="30">
        <f>O9-P9</f>
        <v/>
      </c>
      <c r="R9" s="23" t="n">
        <v>6174</v>
      </c>
      <c r="S9" s="23" t="n">
        <v>5248</v>
      </c>
      <c r="T9" s="23" t="n">
        <v>0.6</v>
      </c>
      <c r="U9" s="23" t="n">
        <v>13</v>
      </c>
      <c r="V9" s="30" t="inlineStr">
        <is>
          <t>Standard</t>
        </is>
      </c>
    </row>
    <row r="10">
      <c r="A10" s="11" t="inlineStr">
        <is>
          <t>northeurope</t>
        </is>
      </c>
      <c r="B10" s="11" t="inlineStr">
        <is>
          <t>North Europe</t>
        </is>
      </c>
      <c r="C10" s="11" t="inlineStr">
        <is>
          <t>EU</t>
        </is>
      </c>
      <c r="D10" s="11" t="inlineStr">
        <is>
          <t>2-region</t>
        </is>
      </c>
      <c r="E10" s="23" t="n">
        <v>3</v>
      </c>
      <c r="F10" s="29" t="n">
        <v>13334</v>
      </c>
      <c r="G10" s="29" t="n">
        <v>3072</v>
      </c>
      <c r="H10" s="30">
        <f>F10-G10</f>
        <v/>
      </c>
      <c r="I10" s="29" t="n">
        <v>20002</v>
      </c>
      <c r="J10" s="29" t="n">
        <v>3072</v>
      </c>
      <c r="K10" s="30">
        <f>I10-J10</f>
        <v/>
      </c>
      <c r="L10" s="29" t="n">
        <v>40456</v>
      </c>
      <c r="M10" s="29" t="n">
        <v>9322</v>
      </c>
      <c r="N10" s="29" t="n">
        <v>31134</v>
      </c>
      <c r="O10" s="29" t="n">
        <v>60684</v>
      </c>
      <c r="P10" s="29" t="n">
        <v>9322</v>
      </c>
      <c r="Q10" s="30">
        <f>O10-P10</f>
        <v/>
      </c>
      <c r="R10" s="23" t="n">
        <v>6174</v>
      </c>
      <c r="S10" s="23" t="n">
        <v>5248</v>
      </c>
      <c r="T10" s="23" t="n">
        <v>0.6</v>
      </c>
      <c r="U10" s="23" t="n">
        <v>30</v>
      </c>
      <c r="V10" s="30" t="inlineStr">
        <is>
          <t>Standard</t>
        </is>
      </c>
    </row>
    <row r="11">
      <c r="A11" s="11" t="inlineStr">
        <is>
          <t>westeurope</t>
        </is>
      </c>
      <c r="B11" s="11" t="inlineStr">
        <is>
          <t>West Europe</t>
        </is>
      </c>
      <c r="C11" s="11" t="inlineStr">
        <is>
          <t>EU</t>
        </is>
      </c>
      <c r="D11" s="11" t="inlineStr">
        <is>
          <t>2-region</t>
        </is>
      </c>
      <c r="E11" s="23" t="n">
        <v>3</v>
      </c>
      <c r="F11" s="29" t="n">
        <v>48434</v>
      </c>
      <c r="G11" s="29" t="n">
        <v>44846</v>
      </c>
      <c r="H11" s="30">
        <f>F11-G11</f>
        <v/>
      </c>
      <c r="I11" s="29" t="n">
        <v>72650</v>
      </c>
      <c r="J11" s="29" t="n">
        <v>44846</v>
      </c>
      <c r="K11" s="30">
        <f>I11-J11</f>
        <v/>
      </c>
      <c r="L11" s="29" t="n">
        <v>146950</v>
      </c>
      <c r="M11" s="29" t="n">
        <v>136064</v>
      </c>
      <c r="N11" s="29" t="n">
        <v>10886</v>
      </c>
      <c r="O11" s="29" t="n">
        <v>220424</v>
      </c>
      <c r="P11" s="29" t="n">
        <v>136064</v>
      </c>
      <c r="Q11" s="30">
        <f>O11-P11</f>
        <v/>
      </c>
      <c r="R11" s="23" t="n">
        <v>6174</v>
      </c>
      <c r="S11" s="23" t="n">
        <v>5248</v>
      </c>
      <c r="T11" s="23" t="n">
        <v>0.6</v>
      </c>
      <c r="U11" s="23" t="n">
        <v>69</v>
      </c>
      <c r="V11" s="30" t="inlineStr">
        <is>
          <t>Standard</t>
        </is>
      </c>
    </row>
    <row r="12">
      <c r="A12" s="11" t="inlineStr">
        <is>
          <t>australiaeast</t>
        </is>
      </c>
      <c r="B12" s="11" t="inlineStr">
        <is>
          <t>Australia East</t>
        </is>
      </c>
      <c r="C12" s="11" t="inlineStr">
        <is>
          <t>Australia</t>
        </is>
      </c>
      <c r="D12" s="11" t="inlineStr">
        <is>
          <t>2-region</t>
        </is>
      </c>
      <c r="E12" s="23" t="n">
        <v>3</v>
      </c>
      <c r="F12" s="29" t="n">
        <v>9518</v>
      </c>
      <c r="G12" s="29" t="n">
        <v>8812</v>
      </c>
      <c r="H12" s="30">
        <f>F12-G12</f>
        <v/>
      </c>
      <c r="I12" s="29" t="n">
        <v>14276</v>
      </c>
      <c r="J12" s="29" t="n">
        <v>8812</v>
      </c>
      <c r="K12" s="30">
        <f>I12-J12</f>
        <v/>
      </c>
      <c r="L12" s="29" t="n">
        <v>17958</v>
      </c>
      <c r="M12" s="29" t="n">
        <v>16628</v>
      </c>
      <c r="N12" s="29" t="n">
        <v>1330</v>
      </c>
      <c r="O12" s="29" t="n">
        <v>26936</v>
      </c>
      <c r="P12" s="29" t="n">
        <v>16628</v>
      </c>
      <c r="Q12" s="30">
        <f>O12-P12</f>
        <v/>
      </c>
      <c r="R12" s="23" t="n">
        <v>2604</v>
      </c>
      <c r="S12" s="23" t="n">
        <v>2214</v>
      </c>
      <c r="T12" s="23" t="n">
        <v>0.6</v>
      </c>
      <c r="U12" s="23" t="n">
        <v>34</v>
      </c>
      <c r="V12" s="30" t="inlineStr">
        <is>
          <t>Standard</t>
        </is>
      </c>
    </row>
    <row r="13">
      <c r="A13" s="11" t="inlineStr">
        <is>
          <t>australiasoutheast</t>
        </is>
      </c>
      <c r="B13" s="11" t="inlineStr">
        <is>
          <t>Australia Southeast</t>
        </is>
      </c>
      <c r="C13" s="11" t="inlineStr">
        <is>
          <t>Australia</t>
        </is>
      </c>
      <c r="D13" s="11" t="inlineStr">
        <is>
          <t>2-region</t>
        </is>
      </c>
      <c r="E13" s="23" t="n">
        <v>2</v>
      </c>
      <c r="F13" s="29" t="n">
        <v>5624</v>
      </c>
      <c r="G13" s="29" t="n">
        <v>1602</v>
      </c>
      <c r="H13" s="30">
        <f>F13-G13</f>
        <v/>
      </c>
      <c r="I13" s="29" t="n">
        <v>8434</v>
      </c>
      <c r="J13" s="29" t="n">
        <v>1602</v>
      </c>
      <c r="K13" s="30">
        <f>I13-J13</f>
        <v/>
      </c>
      <c r="L13" s="29" t="n">
        <v>10610</v>
      </c>
      <c r="M13" s="29" t="n">
        <v>3020</v>
      </c>
      <c r="N13" s="29" t="n">
        <v>7590</v>
      </c>
      <c r="O13" s="29" t="n">
        <v>15914</v>
      </c>
      <c r="P13" s="29" t="n">
        <v>3020</v>
      </c>
      <c r="Q13" s="30">
        <f>O13-P13</f>
        <v/>
      </c>
      <c r="R13" s="23" t="n">
        <v>2604</v>
      </c>
      <c r="S13" s="23" t="n">
        <v>2214</v>
      </c>
      <c r="T13" s="23" t="n">
        <v>0.6</v>
      </c>
      <c r="U13" s="23" t="n">
        <v>14</v>
      </c>
      <c r="V13" s="30" t="inlineStr">
        <is>
          <t>Standard</t>
        </is>
      </c>
    </row>
    <row r="14">
      <c r="A14" s="11" t="inlineStr">
        <is>
          <t>eastasia</t>
        </is>
      </c>
      <c r="B14" s="11" t="inlineStr">
        <is>
          <t>East Asia</t>
        </is>
      </c>
      <c r="C14" s="11" t="inlineStr">
        <is>
          <t>Asia Pacific</t>
        </is>
      </c>
      <c r="D14" s="11" t="inlineStr">
        <is>
          <t>2-region</t>
        </is>
      </c>
      <c r="E14" s="23" t="n">
        <v>3</v>
      </c>
      <c r="F14" s="29" t="n">
        <v>12504</v>
      </c>
      <c r="G14" s="29" t="n">
        <v>2956</v>
      </c>
      <c r="H14" s="30">
        <f>F14-G14</f>
        <v/>
      </c>
      <c r="I14" s="29" t="n">
        <v>18756</v>
      </c>
      <c r="J14" s="29" t="n">
        <v>2956</v>
      </c>
      <c r="K14" s="30">
        <f>I14-J14</f>
        <v/>
      </c>
      <c r="L14" s="29" t="n">
        <v>13968</v>
      </c>
      <c r="M14" s="29" t="n">
        <v>3302</v>
      </c>
      <c r="N14" s="29" t="n">
        <v>10666</v>
      </c>
      <c r="O14" s="29" t="n">
        <v>20952</v>
      </c>
      <c r="P14" s="29" t="n">
        <v>3302</v>
      </c>
      <c r="Q14" s="30">
        <f>O14-P14</f>
        <v/>
      </c>
      <c r="R14" s="23" t="n">
        <v>5790</v>
      </c>
      <c r="S14" s="23" t="n">
        <v>4922</v>
      </c>
      <c r="T14" s="23" t="n">
        <v>0.6</v>
      </c>
      <c r="U14" s="23" t="n">
        <v>21</v>
      </c>
      <c r="V14" s="30" t="inlineStr">
        <is>
          <t>Standard</t>
        </is>
      </c>
    </row>
    <row r="15">
      <c r="A15" s="11" t="inlineStr">
        <is>
          <t>southeastasia</t>
        </is>
      </c>
      <c r="B15" s="11" t="inlineStr">
        <is>
          <t>Southeast Asia</t>
        </is>
      </c>
      <c r="C15" s="11" t="inlineStr">
        <is>
          <t>Asia Pacific</t>
        </is>
      </c>
      <c r="D15" s="11" t="inlineStr">
        <is>
          <t>2-region</t>
        </is>
      </c>
      <c r="E15" s="23" t="n">
        <v>3</v>
      </c>
      <c r="F15" s="29" t="n">
        <v>21816</v>
      </c>
      <c r="G15" s="29" t="n">
        <v>20200</v>
      </c>
      <c r="H15" s="30">
        <f>F15-G15</f>
        <v/>
      </c>
      <c r="I15" s="29" t="n">
        <v>32722</v>
      </c>
      <c r="J15" s="29" t="n">
        <v>20200</v>
      </c>
      <c r="K15" s="30">
        <f>I15-J15</f>
        <v/>
      </c>
      <c r="L15" s="29" t="n">
        <v>24370</v>
      </c>
      <c r="M15" s="29" t="n">
        <v>22566</v>
      </c>
      <c r="N15" s="29" t="n">
        <v>1804</v>
      </c>
      <c r="O15" s="29" t="n">
        <v>36556</v>
      </c>
      <c r="P15" s="29" t="n">
        <v>22566</v>
      </c>
      <c r="Q15" s="30">
        <f>O15-P15</f>
        <v/>
      </c>
      <c r="R15" s="23" t="n">
        <v>5790</v>
      </c>
      <c r="S15" s="23" t="n">
        <v>4922</v>
      </c>
      <c r="T15" s="23" t="n">
        <v>0.6</v>
      </c>
      <c r="U15" s="23" t="n">
        <v>43</v>
      </c>
      <c r="V15" s="30" t="inlineStr">
        <is>
          <t>Standard</t>
        </is>
      </c>
    </row>
    <row r="16">
      <c r="A16" s="11" t="inlineStr">
        <is>
          <t>saudiarbiaeast</t>
        </is>
      </c>
      <c r="B16" s="11" t="inlineStr">
        <is>
          <t>Saudi Arabia East</t>
        </is>
      </c>
      <c r="C16" s="11" t="inlineStr">
        <is>
          <t>Middle East</t>
        </is>
      </c>
      <c r="D16" s="11" t="inlineStr">
        <is>
          <t>cross-geo</t>
        </is>
      </c>
      <c r="E16" s="18" t="n">
        <v>3</v>
      </c>
      <c r="F16" s="31" t="n">
        <v>1296</v>
      </c>
      <c r="G16" s="31" t="n">
        <v>1200</v>
      </c>
      <c r="H16" s="30">
        <f>F16-G16</f>
        <v/>
      </c>
      <c r="I16" s="31" t="n">
        <v>1944</v>
      </c>
      <c r="J16" s="31" t="n">
        <v>1200</v>
      </c>
      <c r="K16" s="30">
        <f>I16-J16</f>
        <v/>
      </c>
      <c r="L16" s="31" t="n">
        <v>1838</v>
      </c>
      <c r="M16" s="31" t="n">
        <v>1700</v>
      </c>
      <c r="N16" s="31" t="n">
        <v>138</v>
      </c>
      <c r="O16" s="31" t="n">
        <v>2756</v>
      </c>
      <c r="P16" s="31" t="n">
        <v>1700</v>
      </c>
      <c r="Q16" s="30">
        <f>O16-P16</f>
        <v/>
      </c>
      <c r="R16" s="18" t="n">
        <v>0</v>
      </c>
      <c r="S16" s="18" t="n">
        <v>0</v>
      </c>
      <c r="T16" s="18" t="n">
        <v>0</v>
      </c>
      <c r="U16" s="18" t="n">
        <v>4</v>
      </c>
      <c r="V16" s="21" t="inlineStr">
        <is>
          <t>Restricted</t>
        </is>
      </c>
    </row>
    <row r="17">
      <c r="A17" s="11" t="inlineStr">
        <is>
          <t>uaenorth</t>
        </is>
      </c>
      <c r="B17" s="11" t="inlineStr">
        <is>
          <t>UAE North</t>
        </is>
      </c>
      <c r="C17" s="11" t="inlineStr">
        <is>
          <t>Middle East</t>
        </is>
      </c>
      <c r="D17" s="11" t="inlineStr">
        <is>
          <t>cross-geo</t>
        </is>
      </c>
      <c r="E17" s="18" t="n">
        <v>3</v>
      </c>
      <c r="F17" s="31" t="n">
        <v>1296</v>
      </c>
      <c r="G17" s="31" t="n">
        <v>1200</v>
      </c>
      <c r="H17" s="30">
        <f>F17-G17</f>
        <v/>
      </c>
      <c r="I17" s="31" t="n">
        <v>1944</v>
      </c>
      <c r="J17" s="31" t="n">
        <v>1200</v>
      </c>
      <c r="K17" s="30">
        <f>I17-J17</f>
        <v/>
      </c>
      <c r="L17" s="31" t="n">
        <v>1838</v>
      </c>
      <c r="M17" s="31" t="n">
        <v>1700</v>
      </c>
      <c r="N17" s="31" t="n">
        <v>138</v>
      </c>
      <c r="O17" s="31" t="n">
        <v>2756</v>
      </c>
      <c r="P17" s="31" t="n">
        <v>1700</v>
      </c>
      <c r="Q17" s="30">
        <f>O17-P17</f>
        <v/>
      </c>
      <c r="R17" s="18" t="n">
        <v>0</v>
      </c>
      <c r="S17" s="18" t="n">
        <v>0</v>
      </c>
      <c r="T17" s="18" t="n">
        <v>0</v>
      </c>
      <c r="U17" s="18" t="n">
        <v>4</v>
      </c>
      <c r="V17" s="21" t="inlineStr">
        <is>
          <t>Restricted</t>
        </is>
      </c>
    </row>
  </sheetData>
  <mergeCells count="2">
    <mergeCell ref="A2:V2"/>
    <mergeCell ref="A1:V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7"/>
  <sheetViews>
    <sheetView showGridLines="0" workbookViewId="0">
      <selection activeCell="A1" sqref="A1"/>
    </sheetView>
  </sheetViews>
  <sheetFormatPr baseColWidth="8" defaultRowHeight="15"/>
  <cols>
    <col width="2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c r="A1" s="8" t="inlineStr">
        <is>
          <t>HARD CONSTRAINT GATE</t>
        </is>
      </c>
    </row>
    <row r="3">
      <c r="A3" s="10" t="inlineStr">
        <is>
          <t>Region</t>
        </is>
      </c>
      <c r="B3" s="10" t="inlineStr">
        <is>
          <t>Geography</t>
        </is>
      </c>
      <c r="C3" s="10" t="inlineStr">
        <is>
          <t>Class</t>
        </is>
      </c>
      <c r="D3" s="10" t="inlineStr">
        <is>
          <t>Req vCPU</t>
        </is>
      </c>
      <c r="E3" s="10" t="inlineStr">
        <is>
          <t>HC-3 Prod</t>
        </is>
      </c>
      <c r="F3" s="10" t="inlineStr">
        <is>
          <t>HC-3 NonProd</t>
        </is>
      </c>
      <c r="G3" s="10" t="inlineStr">
        <is>
          <t>HC-3 DR</t>
        </is>
      </c>
      <c r="H3" s="10" t="inlineStr">
        <is>
          <t>HC-6 DR Floor</t>
        </is>
      </c>
      <c r="I3" s="10" t="inlineStr">
        <is>
          <t>HC-7 DR Integ</t>
        </is>
      </c>
      <c r="J3" s="10" t="inlineStr">
        <is>
          <t>Eligible Prod</t>
        </is>
      </c>
      <c r="K3" s="10" t="inlineStr">
        <is>
          <t>Eligible NonProd</t>
        </is>
      </c>
      <c r="L3" s="10" t="inlineStr">
        <is>
          <t>Eligible DR</t>
        </is>
      </c>
    </row>
    <row r="4">
      <c r="A4" s="11">
        <f>Capacity_Usage!B4</f>
        <v/>
      </c>
      <c r="B4" s="11">
        <f>Capacity_Usage!C4</f>
        <v/>
      </c>
      <c r="C4" s="11">
        <f>Capacity_Usage!V4</f>
        <v/>
      </c>
      <c r="D4" s="11">
        <f>Setup!$B$7</f>
        <v/>
      </c>
      <c r="E4" s="11">
        <f>IF(AND(Capacity_Usage!K4&gt;=Setup!$B$7,Capacity_Usage!K4-Setup!$B$7&gt;=Policy!$B$15),"PASS","FAIL")</f>
        <v/>
      </c>
      <c r="F4" s="11">
        <f>IF(AND(Capacity_Usage!N4&gt;=Setup!$B$7,Capacity_Usage!Q4-Setup!$B$7&gt;=Policy!$B$16),"PASS","FAIL")</f>
        <v/>
      </c>
      <c r="G4" s="11">
        <f>IF(Capacity_Usage!S4&gt;=Policy!$B$13,"PASS","FAIL")</f>
        <v/>
      </c>
      <c r="H4" s="11">
        <f>IF(Capacity_Usage!S4+Capacity_Usage!N4&gt;=Policy!$B$13,"PASS","FAIL")</f>
        <v/>
      </c>
      <c r="I4" s="11">
        <f>IF(Capacity_Usage!P4+Setup!$B$7&lt;=Capacity_Usage!O4-Policy!$B$13,"PASS","FAIL")</f>
        <v/>
      </c>
      <c r="J4" s="11">
        <f>IF(E4="PASS","YES","NO")</f>
        <v/>
      </c>
      <c r="K4" s="11">
        <f>IF(AND(F4="PASS",I4="PASS"),"YES","NO")</f>
        <v/>
      </c>
      <c r="L4" s="11">
        <f>IF(AND(G4="PASS",H4="PASS"),"YES","NO")</f>
        <v/>
      </c>
    </row>
    <row r="5">
      <c r="A5" s="11">
        <f>Capacity_Usage!B5</f>
        <v/>
      </c>
      <c r="B5" s="11">
        <f>Capacity_Usage!C5</f>
        <v/>
      </c>
      <c r="C5" s="11">
        <f>Capacity_Usage!V5</f>
        <v/>
      </c>
      <c r="D5" s="11">
        <f>Setup!$B$7</f>
        <v/>
      </c>
      <c r="E5" s="11">
        <f>IF(AND(Capacity_Usage!K5&gt;=Setup!$B$7,Capacity_Usage!K5-Setup!$B$7&gt;=Policy!$B$15),"PASS","FAIL")</f>
        <v/>
      </c>
      <c r="F5" s="11">
        <f>IF(AND(Capacity_Usage!N5&gt;=Setup!$B$7,Capacity_Usage!Q5-Setup!$B$7&gt;=Policy!$B$16),"PASS","FAIL")</f>
        <v/>
      </c>
      <c r="G5" s="11">
        <f>IF(Capacity_Usage!S5&gt;=Policy!$B$13,"PASS","FAIL")</f>
        <v/>
      </c>
      <c r="H5" s="11">
        <f>IF(Capacity_Usage!S5+Capacity_Usage!N5&gt;=Policy!$B$13,"PASS","FAIL")</f>
        <v/>
      </c>
      <c r="I5" s="11">
        <f>IF(Capacity_Usage!P5+Setup!$B$7&lt;=Capacity_Usage!O5-Policy!$B$13,"PASS","FAIL")</f>
        <v/>
      </c>
      <c r="J5" s="11">
        <f>IF(E5="PASS","YES","NO")</f>
        <v/>
      </c>
      <c r="K5" s="11">
        <f>IF(AND(F5="PASS",I5="PASS"),"YES","NO")</f>
        <v/>
      </c>
      <c r="L5" s="11">
        <f>IF(AND(G5="PASS",H5="PASS"),"YES","NO")</f>
        <v/>
      </c>
    </row>
    <row r="6">
      <c r="A6" s="11">
        <f>Capacity_Usage!B6</f>
        <v/>
      </c>
      <c r="B6" s="11">
        <f>Capacity_Usage!C6</f>
        <v/>
      </c>
      <c r="C6" s="11">
        <f>Capacity_Usage!V6</f>
        <v/>
      </c>
      <c r="D6" s="11">
        <f>Setup!$B$7</f>
        <v/>
      </c>
      <c r="E6" s="11">
        <f>IF(AND(Capacity_Usage!K6&gt;=Setup!$B$7,Capacity_Usage!K6-Setup!$B$7&gt;=Policy!$B$15),"PASS","FAIL")</f>
        <v/>
      </c>
      <c r="F6" s="11">
        <f>IF(AND(Capacity_Usage!N6&gt;=Setup!$B$7,Capacity_Usage!Q6-Setup!$B$7&gt;=Policy!$B$16),"PASS","FAIL")</f>
        <v/>
      </c>
      <c r="G6" s="11">
        <f>IF(Capacity_Usage!S6&gt;=Policy!$B$13,"PASS","FAIL")</f>
        <v/>
      </c>
      <c r="H6" s="11">
        <f>IF(Capacity_Usage!S6+Capacity_Usage!N6&gt;=Policy!$B$13,"PASS","FAIL")</f>
        <v/>
      </c>
      <c r="I6" s="11">
        <f>IF(Capacity_Usage!P6+Setup!$B$7&lt;=Capacity_Usage!O6-Policy!$B$13,"PASS","FAIL")</f>
        <v/>
      </c>
      <c r="J6" s="11">
        <f>IF(E6="PASS","YES","NO")</f>
        <v/>
      </c>
      <c r="K6" s="11">
        <f>IF(AND(F6="PASS",I6="PASS"),"YES","NO")</f>
        <v/>
      </c>
      <c r="L6" s="11">
        <f>IF(AND(G6="PASS",H6="PASS"),"YES","NO")</f>
        <v/>
      </c>
    </row>
    <row r="7">
      <c r="A7" s="11">
        <f>Capacity_Usage!B7</f>
        <v/>
      </c>
      <c r="B7" s="11">
        <f>Capacity_Usage!C7</f>
        <v/>
      </c>
      <c r="C7" s="11">
        <f>Capacity_Usage!V7</f>
        <v/>
      </c>
      <c r="D7" s="11">
        <f>Setup!$B$7</f>
        <v/>
      </c>
      <c r="E7" s="11">
        <f>IF(AND(Capacity_Usage!K7&gt;=Setup!$B$7,Capacity_Usage!K7-Setup!$B$7&gt;=Policy!$B$15),"PASS","FAIL")</f>
        <v/>
      </c>
      <c r="F7" s="11">
        <f>IF(AND(Capacity_Usage!N7&gt;=Setup!$B$7,Capacity_Usage!Q7-Setup!$B$7&gt;=Policy!$B$16),"PASS","FAIL")</f>
        <v/>
      </c>
      <c r="G7" s="11">
        <f>IF(Capacity_Usage!S7&gt;=Policy!$B$13,"PASS","FAIL")</f>
        <v/>
      </c>
      <c r="H7" s="11">
        <f>IF(Capacity_Usage!S7+Capacity_Usage!N7&gt;=Policy!$B$13,"PASS","FAIL")</f>
        <v/>
      </c>
      <c r="I7" s="11">
        <f>IF(Capacity_Usage!P7+Setup!$B$7&lt;=Capacity_Usage!O7-Policy!$B$13,"PASS","FAIL")</f>
        <v/>
      </c>
      <c r="J7" s="11">
        <f>IF(E7="PASS","YES","NO")</f>
        <v/>
      </c>
      <c r="K7" s="11">
        <f>IF(AND(F7="PASS",I7="PASS"),"YES","NO")</f>
        <v/>
      </c>
      <c r="L7" s="11">
        <f>IF(AND(G7="PASS",H7="PASS"),"YES","NO")</f>
        <v/>
      </c>
    </row>
    <row r="8">
      <c r="A8" s="11">
        <f>Capacity_Usage!B8</f>
        <v/>
      </c>
      <c r="B8" s="11">
        <f>Capacity_Usage!C8</f>
        <v/>
      </c>
      <c r="C8" s="11">
        <f>Capacity_Usage!V8</f>
        <v/>
      </c>
      <c r="D8" s="11">
        <f>Setup!$B$7</f>
        <v/>
      </c>
      <c r="E8" s="11">
        <f>IF(AND(Capacity_Usage!K8&gt;=Setup!$B$7,Capacity_Usage!K8-Setup!$B$7&gt;=Policy!$B$15),"PASS","FAIL")</f>
        <v/>
      </c>
      <c r="F8" s="11">
        <f>IF(AND(Capacity_Usage!N8&gt;=Setup!$B$7,Capacity_Usage!Q8-Setup!$B$7&gt;=Policy!$B$16),"PASS","FAIL")</f>
        <v/>
      </c>
      <c r="G8" s="11">
        <f>IF(Capacity_Usage!S8&gt;=Policy!$B$13,"PASS","FAIL")</f>
        <v/>
      </c>
      <c r="H8" s="11">
        <f>IF(Capacity_Usage!S8+Capacity_Usage!N8&gt;=Policy!$B$13,"PASS","FAIL")</f>
        <v/>
      </c>
      <c r="I8" s="11">
        <f>IF(Capacity_Usage!P8+Setup!$B$7&lt;=Capacity_Usage!O8-Policy!$B$13,"PASS","FAIL")</f>
        <v/>
      </c>
      <c r="J8" s="11">
        <f>IF(E8="PASS","YES","NO")</f>
        <v/>
      </c>
      <c r="K8" s="11">
        <f>IF(AND(F8="PASS",I8="PASS"),"YES","NO")</f>
        <v/>
      </c>
      <c r="L8" s="11">
        <f>IF(AND(G8="PASS",H8="PASS"),"YES","NO")</f>
        <v/>
      </c>
    </row>
    <row r="9">
      <c r="A9" s="11">
        <f>Capacity_Usage!B9</f>
        <v/>
      </c>
      <c r="B9" s="11">
        <f>Capacity_Usage!C9</f>
        <v/>
      </c>
      <c r="C9" s="11">
        <f>Capacity_Usage!V9</f>
        <v/>
      </c>
      <c r="D9" s="11">
        <f>Setup!$B$7</f>
        <v/>
      </c>
      <c r="E9" s="11">
        <f>IF(AND(Capacity_Usage!K9&gt;=Setup!$B$7,Capacity_Usage!K9-Setup!$B$7&gt;=Policy!$B$15),"PASS","FAIL")</f>
        <v/>
      </c>
      <c r="F9" s="11">
        <f>IF(AND(Capacity_Usage!N9&gt;=Setup!$B$7,Capacity_Usage!Q9-Setup!$B$7&gt;=Policy!$B$16),"PASS","FAIL")</f>
        <v/>
      </c>
      <c r="G9" s="11">
        <f>IF(Capacity_Usage!S9&gt;=Policy!$B$13,"PASS","FAIL")</f>
        <v/>
      </c>
      <c r="H9" s="11">
        <f>IF(Capacity_Usage!S9+Capacity_Usage!N9&gt;=Policy!$B$13,"PASS","FAIL")</f>
        <v/>
      </c>
      <c r="I9" s="11">
        <f>IF(Capacity_Usage!P9+Setup!$B$7&lt;=Capacity_Usage!O9-Policy!$B$13,"PASS","FAIL")</f>
        <v/>
      </c>
      <c r="J9" s="11">
        <f>IF(E9="PASS","YES","NO")</f>
        <v/>
      </c>
      <c r="K9" s="11">
        <f>IF(AND(F9="PASS",I9="PASS"),"YES","NO")</f>
        <v/>
      </c>
      <c r="L9" s="11">
        <f>IF(AND(G9="PASS",H9="PASS"),"YES","NO")</f>
        <v/>
      </c>
    </row>
    <row r="10">
      <c r="A10" s="11">
        <f>Capacity_Usage!B10</f>
        <v/>
      </c>
      <c r="B10" s="11">
        <f>Capacity_Usage!C10</f>
        <v/>
      </c>
      <c r="C10" s="11">
        <f>Capacity_Usage!V10</f>
        <v/>
      </c>
      <c r="D10" s="11">
        <f>Setup!$B$7</f>
        <v/>
      </c>
      <c r="E10" s="11">
        <f>IF(AND(Capacity_Usage!K10&gt;=Setup!$B$7,Capacity_Usage!K10-Setup!$B$7&gt;=Policy!$B$15),"PASS","FAIL")</f>
        <v/>
      </c>
      <c r="F10" s="11">
        <f>IF(AND(Capacity_Usage!N10&gt;=Setup!$B$7,Capacity_Usage!Q10-Setup!$B$7&gt;=Policy!$B$16),"PASS","FAIL")</f>
        <v/>
      </c>
      <c r="G10" s="11">
        <f>IF(Capacity_Usage!S10&gt;=Policy!$B$13,"PASS","FAIL")</f>
        <v/>
      </c>
      <c r="H10" s="11">
        <f>IF(Capacity_Usage!S10+Capacity_Usage!N10&gt;=Policy!$B$13,"PASS","FAIL")</f>
        <v/>
      </c>
      <c r="I10" s="11">
        <f>IF(Capacity_Usage!P10+Setup!$B$7&lt;=Capacity_Usage!O10-Policy!$B$13,"PASS","FAIL")</f>
        <v/>
      </c>
      <c r="J10" s="11">
        <f>IF(E10="PASS","YES","NO")</f>
        <v/>
      </c>
      <c r="K10" s="11">
        <f>IF(AND(F10="PASS",I10="PASS"),"YES","NO")</f>
        <v/>
      </c>
      <c r="L10" s="11">
        <f>IF(AND(G10="PASS",H10="PASS"),"YES","NO")</f>
        <v/>
      </c>
    </row>
    <row r="11">
      <c r="A11" s="11">
        <f>Capacity_Usage!B11</f>
        <v/>
      </c>
      <c r="B11" s="11">
        <f>Capacity_Usage!C11</f>
        <v/>
      </c>
      <c r="C11" s="11">
        <f>Capacity_Usage!V11</f>
        <v/>
      </c>
      <c r="D11" s="11">
        <f>Setup!$B$7</f>
        <v/>
      </c>
      <c r="E11" s="11">
        <f>IF(AND(Capacity_Usage!K11&gt;=Setup!$B$7,Capacity_Usage!K11-Setup!$B$7&gt;=Policy!$B$15),"PASS","FAIL")</f>
        <v/>
      </c>
      <c r="F11" s="11">
        <f>IF(AND(Capacity_Usage!N11&gt;=Setup!$B$7,Capacity_Usage!Q11-Setup!$B$7&gt;=Policy!$B$16),"PASS","FAIL")</f>
        <v/>
      </c>
      <c r="G11" s="11">
        <f>IF(Capacity_Usage!S11&gt;=Policy!$B$13,"PASS","FAIL")</f>
        <v/>
      </c>
      <c r="H11" s="11">
        <f>IF(Capacity_Usage!S11+Capacity_Usage!N11&gt;=Policy!$B$13,"PASS","FAIL")</f>
        <v/>
      </c>
      <c r="I11" s="11">
        <f>IF(Capacity_Usage!P11+Setup!$B$7&lt;=Capacity_Usage!O11-Policy!$B$13,"PASS","FAIL")</f>
        <v/>
      </c>
      <c r="J11" s="11">
        <f>IF(E11="PASS","YES","NO")</f>
        <v/>
      </c>
      <c r="K11" s="11">
        <f>IF(AND(F11="PASS",I11="PASS"),"YES","NO")</f>
        <v/>
      </c>
      <c r="L11" s="11">
        <f>IF(AND(G11="PASS",H11="PASS"),"YES","NO")</f>
        <v/>
      </c>
    </row>
    <row r="12">
      <c r="A12" s="11">
        <f>Capacity_Usage!B12</f>
        <v/>
      </c>
      <c r="B12" s="11">
        <f>Capacity_Usage!C12</f>
        <v/>
      </c>
      <c r="C12" s="11">
        <f>Capacity_Usage!V12</f>
        <v/>
      </c>
      <c r="D12" s="11">
        <f>Setup!$B$7</f>
        <v/>
      </c>
      <c r="E12" s="11">
        <f>IF(AND(Capacity_Usage!K12&gt;=Setup!$B$7,Capacity_Usage!K12-Setup!$B$7&gt;=Policy!$B$15),"PASS","FAIL")</f>
        <v/>
      </c>
      <c r="F12" s="11">
        <f>IF(AND(Capacity_Usage!N12&gt;=Setup!$B$7,Capacity_Usage!Q12-Setup!$B$7&gt;=Policy!$B$16),"PASS","FAIL")</f>
        <v/>
      </c>
      <c r="G12" s="11">
        <f>IF(Capacity_Usage!S12&gt;=Policy!$B$13,"PASS","FAIL")</f>
        <v/>
      </c>
      <c r="H12" s="11">
        <f>IF(Capacity_Usage!S12+Capacity_Usage!N12&gt;=Policy!$B$13,"PASS","FAIL")</f>
        <v/>
      </c>
      <c r="I12" s="11">
        <f>IF(Capacity_Usage!P12+Setup!$B$7&lt;=Capacity_Usage!O12-Policy!$B$13,"PASS","FAIL")</f>
        <v/>
      </c>
      <c r="J12" s="11">
        <f>IF(E12="PASS","YES","NO")</f>
        <v/>
      </c>
      <c r="K12" s="11">
        <f>IF(AND(F12="PASS",I12="PASS"),"YES","NO")</f>
        <v/>
      </c>
      <c r="L12" s="11">
        <f>IF(AND(G12="PASS",H12="PASS"),"YES","NO")</f>
        <v/>
      </c>
    </row>
    <row r="13">
      <c r="A13" s="11">
        <f>Capacity_Usage!B13</f>
        <v/>
      </c>
      <c r="B13" s="11">
        <f>Capacity_Usage!C13</f>
        <v/>
      </c>
      <c r="C13" s="11">
        <f>Capacity_Usage!V13</f>
        <v/>
      </c>
      <c r="D13" s="11">
        <f>Setup!$B$7</f>
        <v/>
      </c>
      <c r="E13" s="11">
        <f>IF(AND(Capacity_Usage!K13&gt;=Setup!$B$7,Capacity_Usage!K13-Setup!$B$7&gt;=Policy!$B$15),"PASS","FAIL")</f>
        <v/>
      </c>
      <c r="F13" s="11">
        <f>IF(AND(Capacity_Usage!N13&gt;=Setup!$B$7,Capacity_Usage!Q13-Setup!$B$7&gt;=Policy!$B$16),"PASS","FAIL")</f>
        <v/>
      </c>
      <c r="G13" s="11">
        <f>IF(Capacity_Usage!S13&gt;=Policy!$B$13,"PASS","FAIL")</f>
        <v/>
      </c>
      <c r="H13" s="11">
        <f>IF(Capacity_Usage!S13+Capacity_Usage!N13&gt;=Policy!$B$13,"PASS","FAIL")</f>
        <v/>
      </c>
      <c r="I13" s="11">
        <f>IF(Capacity_Usage!P13+Setup!$B$7&lt;=Capacity_Usage!O13-Policy!$B$13,"PASS","FAIL")</f>
        <v/>
      </c>
      <c r="J13" s="11">
        <f>IF(E13="PASS","YES","NO")</f>
        <v/>
      </c>
      <c r="K13" s="11">
        <f>IF(AND(F13="PASS",I13="PASS"),"YES","NO")</f>
        <v/>
      </c>
      <c r="L13" s="11">
        <f>IF(AND(G13="PASS",H13="PASS"),"YES","NO")</f>
        <v/>
      </c>
    </row>
    <row r="14">
      <c r="A14" s="11">
        <f>Capacity_Usage!B14</f>
        <v/>
      </c>
      <c r="B14" s="11">
        <f>Capacity_Usage!C14</f>
        <v/>
      </c>
      <c r="C14" s="11">
        <f>Capacity_Usage!V14</f>
        <v/>
      </c>
      <c r="D14" s="11">
        <f>Setup!$B$7</f>
        <v/>
      </c>
      <c r="E14" s="11">
        <f>IF(AND(Capacity_Usage!K14&gt;=Setup!$B$7,Capacity_Usage!K14-Setup!$B$7&gt;=Policy!$B$15),"PASS","FAIL")</f>
        <v/>
      </c>
      <c r="F14" s="11">
        <f>IF(AND(Capacity_Usage!N14&gt;=Setup!$B$7,Capacity_Usage!Q14-Setup!$B$7&gt;=Policy!$B$16),"PASS","FAIL")</f>
        <v/>
      </c>
      <c r="G14" s="11">
        <f>IF(Capacity_Usage!S14&gt;=Policy!$B$13,"PASS","FAIL")</f>
        <v/>
      </c>
      <c r="H14" s="11">
        <f>IF(Capacity_Usage!S14+Capacity_Usage!N14&gt;=Policy!$B$13,"PASS","FAIL")</f>
        <v/>
      </c>
      <c r="I14" s="11">
        <f>IF(Capacity_Usage!P14+Setup!$B$7&lt;=Capacity_Usage!O14-Policy!$B$13,"PASS","FAIL")</f>
        <v/>
      </c>
      <c r="J14" s="11">
        <f>IF(E14="PASS","YES","NO")</f>
        <v/>
      </c>
      <c r="K14" s="11">
        <f>IF(AND(F14="PASS",I14="PASS"),"YES","NO")</f>
        <v/>
      </c>
      <c r="L14" s="11">
        <f>IF(AND(G14="PASS",H14="PASS"),"YES","NO")</f>
        <v/>
      </c>
    </row>
    <row r="15">
      <c r="A15" s="11">
        <f>Capacity_Usage!B15</f>
        <v/>
      </c>
      <c r="B15" s="11">
        <f>Capacity_Usage!C15</f>
        <v/>
      </c>
      <c r="C15" s="11">
        <f>Capacity_Usage!V15</f>
        <v/>
      </c>
      <c r="D15" s="11">
        <f>Setup!$B$7</f>
        <v/>
      </c>
      <c r="E15" s="11">
        <f>IF(AND(Capacity_Usage!K15&gt;=Setup!$B$7,Capacity_Usage!K15-Setup!$B$7&gt;=Policy!$B$15),"PASS","FAIL")</f>
        <v/>
      </c>
      <c r="F15" s="11">
        <f>IF(AND(Capacity_Usage!N15&gt;=Setup!$B$7,Capacity_Usage!Q15-Setup!$B$7&gt;=Policy!$B$16),"PASS","FAIL")</f>
        <v/>
      </c>
      <c r="G15" s="11">
        <f>IF(Capacity_Usage!S15&gt;=Policy!$B$13,"PASS","FAIL")</f>
        <v/>
      </c>
      <c r="H15" s="11">
        <f>IF(Capacity_Usage!S15+Capacity_Usage!N15&gt;=Policy!$B$13,"PASS","FAIL")</f>
        <v/>
      </c>
      <c r="I15" s="11">
        <f>IF(Capacity_Usage!P15+Setup!$B$7&lt;=Capacity_Usage!O15-Policy!$B$13,"PASS","FAIL")</f>
        <v/>
      </c>
      <c r="J15" s="11">
        <f>IF(E15="PASS","YES","NO")</f>
        <v/>
      </c>
      <c r="K15" s="11">
        <f>IF(AND(F15="PASS",I15="PASS"),"YES","NO")</f>
        <v/>
      </c>
      <c r="L15" s="11">
        <f>IF(AND(G15="PASS",H15="PASS"),"YES","NO")</f>
        <v/>
      </c>
    </row>
    <row r="16">
      <c r="A16" s="11">
        <f>Capacity_Usage!B16</f>
        <v/>
      </c>
      <c r="B16" s="11">
        <f>Capacity_Usage!C16</f>
        <v/>
      </c>
      <c r="C16" s="11">
        <f>Capacity_Usage!V16</f>
        <v/>
      </c>
      <c r="D16" s="11">
        <f>Setup!$B$7</f>
        <v/>
      </c>
      <c r="E16" s="11">
        <f>IF(AND(Capacity_Usage!K16&gt;=Setup!$B$7,Capacity_Usage!K16-Setup!$B$7&gt;=Policy!$B$15),"PASS","FAIL")</f>
        <v/>
      </c>
      <c r="F16" s="11">
        <f>IF(AND(Capacity_Usage!N16&gt;=Setup!$B$7,Capacity_Usage!Q16-Setup!$B$7&gt;=Policy!$B$16),"PASS","FAIL")</f>
        <v/>
      </c>
      <c r="G16" s="11">
        <f>IF(Capacity_Usage!S16&gt;=Policy!$B$13,"PASS","FAIL")</f>
        <v/>
      </c>
      <c r="H16" s="11">
        <f>IF(Capacity_Usage!S16+Capacity_Usage!N16&gt;=Policy!$B$13,"PASS","FAIL")</f>
        <v/>
      </c>
      <c r="I16" s="11">
        <f>IF(Capacity_Usage!P16+Setup!$B$7&lt;=Capacity_Usage!O16-Policy!$B$13,"PASS","FAIL")</f>
        <v/>
      </c>
      <c r="J16" s="11">
        <f>IF(E16="PASS","YES","NO")</f>
        <v/>
      </c>
      <c r="K16" s="11">
        <f>IF(AND(F16="PASS",I16="PASS"),"YES","NO")</f>
        <v/>
      </c>
      <c r="L16" s="11">
        <f>IF(AND(G16="PASS",H16="PASS"),"YES","NO")</f>
        <v/>
      </c>
    </row>
    <row r="17">
      <c r="A17" s="11">
        <f>Capacity_Usage!B17</f>
        <v/>
      </c>
      <c r="B17" s="11">
        <f>Capacity_Usage!C17</f>
        <v/>
      </c>
      <c r="C17" s="11">
        <f>Capacity_Usage!V17</f>
        <v/>
      </c>
      <c r="D17" s="11">
        <f>Setup!$B$7</f>
        <v/>
      </c>
      <c r="E17" s="11">
        <f>IF(AND(Capacity_Usage!K17&gt;=Setup!$B$7,Capacity_Usage!K17-Setup!$B$7&gt;=Policy!$B$15),"PASS","FAIL")</f>
        <v/>
      </c>
      <c r="F17" s="11">
        <f>IF(AND(Capacity_Usage!N17&gt;=Setup!$B$7,Capacity_Usage!Q17-Setup!$B$7&gt;=Policy!$B$16),"PASS","FAIL")</f>
        <v/>
      </c>
      <c r="G17" s="11">
        <f>IF(Capacity_Usage!S17&gt;=Policy!$B$13,"PASS","FAIL")</f>
        <v/>
      </c>
      <c r="H17" s="11">
        <f>IF(Capacity_Usage!S17+Capacity_Usage!N17&gt;=Policy!$B$13,"PASS","FAIL")</f>
        <v/>
      </c>
      <c r="I17" s="11">
        <f>IF(Capacity_Usage!P17+Setup!$B$7&lt;=Capacity_Usage!O17-Policy!$B$13,"PASS","FAIL")</f>
        <v/>
      </c>
      <c r="J17" s="11">
        <f>IF(E17="PASS","YES","NO")</f>
        <v/>
      </c>
      <c r="K17" s="11">
        <f>IF(AND(F17="PASS",I17="PASS"),"YES","NO")</f>
        <v/>
      </c>
      <c r="L17" s="11">
        <f>IF(AND(G17="PASS",H17="PASS"),"YES","NO")</f>
        <v/>
      </c>
    </row>
  </sheetData>
  <conditionalFormatting sqref="E4:I17">
    <cfRule type="cellIs" priority="1" operator="equal" dxfId="0">
      <formula>"PASS"</formula>
    </cfRule>
    <cfRule type="cellIs" priority="2" operator="equal" dxfId="1">
      <formula>"FAIL"</formula>
    </cfRule>
  </conditionalFormatting>
  <conditionalFormatting sqref="J4:L17">
    <cfRule type="cellIs" priority="3" operator="equal" dxfId="0">
      <formula>"YES"</formula>
    </cfRule>
    <cfRule type="cellIs" priority="4" operator="equal" dxfId="1">
      <formula>"NO"</formula>
    </cfRule>
  </conditionalFormatting>
  <conditionalFormatting sqref="C4:C17">
    <cfRule type="cellIs" priority="5" operator="equal" dxfId="2">
      <formula>"Restricted"</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U17"/>
  <sheetViews>
    <sheetView showGridLines="0" workbookViewId="0">
      <selection activeCell="A1" sqref="A1"/>
    </sheetView>
  </sheetViews>
  <sheetFormatPr baseColWidth="8" defaultRowHeight="15"/>
  <cols>
    <col width="20" customWidth="1" min="1" max="1"/>
    <col width="13"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16" customWidth="1" min="20" max="20"/>
    <col width="18" customWidth="1" min="21" max="21"/>
  </cols>
  <sheetData>
    <row r="1">
      <c r="A1" s="8" t="inlineStr">
        <is>
          <t>PS_Prod — Production Placement Score</t>
        </is>
      </c>
      <c r="T1" s="25" t="inlineStr">
        <is>
          <t>PROD WINNER</t>
        </is>
      </c>
    </row>
    <row r="2">
      <c r="T2" s="14" t="inlineStr">
        <is>
          <t>Selection mode</t>
        </is>
      </c>
      <c r="U2">
        <f>IF(Setup!$B$8="","Engine argmax","Customer-supplied")</f>
        <v/>
      </c>
    </row>
    <row r="3">
      <c r="A3" s="10" t="inlineStr">
        <is>
          <t>Region</t>
        </is>
      </c>
      <c r="B3" s="10" t="inlineStr">
        <is>
          <t>Geography</t>
        </is>
      </c>
      <c r="C3" s="10" t="inlineStr">
        <is>
          <t>InScope</t>
        </is>
      </c>
      <c r="D3" s="10" t="inlineStr">
        <is>
          <t>Eligible</t>
        </is>
      </c>
      <c r="E3" s="10" t="inlineStr">
        <is>
          <t>AutoSel</t>
        </is>
      </c>
      <c r="F3" s="10" t="inlineStr">
        <is>
          <t>total_cust</t>
        </is>
      </c>
      <c r="G3" s="10" t="inlineStr">
        <is>
          <t>α_raw</t>
        </is>
      </c>
      <c r="H3" s="10" t="inlineStr">
        <is>
          <t>α_c</t>
        </is>
      </c>
      <c r="I3" s="10" t="inlineStr">
        <is>
          <t>β_raw</t>
        </is>
      </c>
      <c r="J3" s="10" t="inlineStr">
        <is>
          <t>β_c</t>
        </is>
      </c>
      <c r="K3" s="10" t="inlineStr">
        <is>
          <t>γ_raw</t>
        </is>
      </c>
      <c r="L3" s="10" t="inlineStr">
        <is>
          <t>γ_c</t>
        </is>
      </c>
      <c r="M3" s="10" t="inlineStr">
        <is>
          <t>δ_raw</t>
        </is>
      </c>
      <c r="N3" s="10" t="inlineStr">
        <is>
          <t>δ_c</t>
        </is>
      </c>
      <c r="O3" s="10" t="inlineStr">
        <is>
          <t>ε_raw</t>
        </is>
      </c>
      <c r="P3" s="10" t="inlineStr">
        <is>
          <t>ε_c</t>
        </is>
      </c>
      <c r="Q3" s="10" t="inlineStr">
        <is>
          <t>PS</t>
        </is>
      </c>
      <c r="R3" s="10" t="inlineStr">
        <is>
          <t>Candidate</t>
        </is>
      </c>
      <c r="S3" s="10" t="inlineStr">
        <is>
          <t>Rank</t>
        </is>
      </c>
      <c r="T3" s="14" t="inlineStr">
        <is>
          <t>Region</t>
        </is>
      </c>
      <c r="U3">
        <f>IF(Setup!$B$8&lt;&gt;"",Setup!$B$8,IF(MAX(R4:R17)&lt;0,"NONE ELIGIBLE",INDEX(A4:A17,MATCH(MAX(R4:R17),R4:R17,0))))</f>
        <v/>
      </c>
    </row>
    <row r="4">
      <c r="A4" s="11">
        <f>Capacity_Usage!B4</f>
        <v/>
      </c>
      <c r="B4" s="11">
        <f>Capacity_Usage!C4</f>
        <v/>
      </c>
      <c r="C4" s="11">
        <f>IF(Capacity_Usage!C4=Setup!$B$3,1,0)</f>
        <v/>
      </c>
      <c r="D4" s="11">
        <f>IF(HC_Gate!J4="YES",1,0)</f>
        <v/>
      </c>
      <c r="E4" s="11">
        <f>IF(OR(Capacity_Usage!V4="Standard",Capacity_Usage!B4=Setup!$B$8),1,0)</f>
        <v/>
      </c>
      <c r="F4" s="11">
        <f>SUMIFS(Capacity_Usage!$U$4:$U$17,Capacity_Usage!$C$4:$C$17,Capacity_Usage!C4)</f>
        <v/>
      </c>
      <c r="G4" s="32">
        <f>IFERROR(Capacity_Usage!N4/Capacity_Usage!F4,0)</f>
        <v/>
      </c>
      <c r="H4" s="32">
        <f>MIN(MAX(G4,0),1)</f>
        <v/>
      </c>
      <c r="I4" s="32">
        <f>IFERROR(Capacity_Usage!K4/Capacity_Usage!I4,0)</f>
        <v/>
      </c>
      <c r="J4" s="32">
        <f>MIN(MAX(I4,0),1)</f>
        <v/>
      </c>
      <c r="K4" s="32">
        <f>IF(F4=0,Policy!$B$11,1-Capacity_Usage!U4/F4)</f>
        <v/>
      </c>
      <c r="L4" s="32">
        <f>MIN(MAX(K4,0),1)</f>
        <v/>
      </c>
      <c r="M4" s="32">
        <f>IFERROR(Capacity_Usage!T4,0)</f>
        <v/>
      </c>
      <c r="N4" s="32">
        <f>MIN(MAX(M4,0),1)</f>
        <v/>
      </c>
      <c r="O4" s="32">
        <f>Capacity_Usage!E4/3</f>
        <v/>
      </c>
      <c r="P4" s="32">
        <f>MIN(MAX(O4,0),1)</f>
        <v/>
      </c>
      <c r="Q4" s="32">
        <f>Policy!$B$2*H4+Policy!$B$3*J4+Policy!$B$4*L4+Policy!$B$5*N4+Policy!$B$6*P4</f>
        <v/>
      </c>
      <c r="R4" s="11">
        <f>IF(AND(C4=1,D4=1,E4=1),Q4,-1)</f>
        <v/>
      </c>
      <c r="S4" s="11">
        <f>IF(R4&lt;0,"",COUNTIF($R$4:$R$17,"&gt;"&amp;R4)+1)</f>
        <v/>
      </c>
      <c r="T4" s="14" t="inlineStr">
        <is>
          <t>Score</t>
        </is>
      </c>
      <c r="U4" s="33">
        <f>IF(Setup!$B$8&lt;&gt;"",INDEX(Q4:Q17,MATCH(Setup!$B$8,A4:A17,0)),IF(MAX(R4:R17)&lt;0,"",MAX(R4:R17)))</f>
        <v/>
      </c>
    </row>
    <row r="5">
      <c r="A5" s="11">
        <f>Capacity_Usage!B5</f>
        <v/>
      </c>
      <c r="B5" s="11">
        <f>Capacity_Usage!C5</f>
        <v/>
      </c>
      <c r="C5" s="11">
        <f>IF(Capacity_Usage!C5=Setup!$B$3,1,0)</f>
        <v/>
      </c>
      <c r="D5" s="11">
        <f>IF(HC_Gate!J5="YES",1,0)</f>
        <v/>
      </c>
      <c r="E5" s="11">
        <f>IF(OR(Capacity_Usage!V5="Standard",Capacity_Usage!B5=Setup!$B$8),1,0)</f>
        <v/>
      </c>
      <c r="F5" s="11">
        <f>SUMIFS(Capacity_Usage!$U$4:$U$17,Capacity_Usage!$C$4:$C$17,Capacity_Usage!C5)</f>
        <v/>
      </c>
      <c r="G5" s="32">
        <f>IFERROR(Capacity_Usage!N5/Capacity_Usage!F5,0)</f>
        <v/>
      </c>
      <c r="H5" s="32">
        <f>MIN(MAX(G5,0),1)</f>
        <v/>
      </c>
      <c r="I5" s="32">
        <f>IFERROR(Capacity_Usage!K5/Capacity_Usage!I5,0)</f>
        <v/>
      </c>
      <c r="J5" s="32">
        <f>MIN(MAX(I5,0),1)</f>
        <v/>
      </c>
      <c r="K5" s="32">
        <f>IF(F5=0,Policy!$B$11,1-Capacity_Usage!U5/F5)</f>
        <v/>
      </c>
      <c r="L5" s="32">
        <f>MIN(MAX(K5,0),1)</f>
        <v/>
      </c>
      <c r="M5" s="32">
        <f>IFERROR(Capacity_Usage!T5,0)</f>
        <v/>
      </c>
      <c r="N5" s="32">
        <f>MIN(MAX(M5,0),1)</f>
        <v/>
      </c>
      <c r="O5" s="32">
        <f>Capacity_Usage!E5/3</f>
        <v/>
      </c>
      <c r="P5" s="32">
        <f>MIN(MAX(O5,0),1)</f>
        <v/>
      </c>
      <c r="Q5" s="32">
        <f>Policy!$B$2*H5+Policy!$B$3*J5+Policy!$B$4*L5+Policy!$B$5*N5+Policy!$B$6*P5</f>
        <v/>
      </c>
      <c r="R5" s="11">
        <f>IF(AND(C5=1,D5=1,E5=1),Q5,-1)</f>
        <v/>
      </c>
      <c r="S5" s="11">
        <f>IF(R5&lt;0,"",COUNTIF($R$4:$R$17,"&gt;"&amp;R5)+1)</f>
        <v/>
      </c>
    </row>
    <row r="6">
      <c r="A6" s="11">
        <f>Capacity_Usage!B6</f>
        <v/>
      </c>
      <c r="B6" s="11">
        <f>Capacity_Usage!C6</f>
        <v/>
      </c>
      <c r="C6" s="11">
        <f>IF(Capacity_Usage!C6=Setup!$B$3,1,0)</f>
        <v/>
      </c>
      <c r="D6" s="11">
        <f>IF(HC_Gate!J6="YES",1,0)</f>
        <v/>
      </c>
      <c r="E6" s="11">
        <f>IF(OR(Capacity_Usage!V6="Standard",Capacity_Usage!B6=Setup!$B$8),1,0)</f>
        <v/>
      </c>
      <c r="F6" s="11">
        <f>SUMIFS(Capacity_Usage!$U$4:$U$17,Capacity_Usage!$C$4:$C$17,Capacity_Usage!C6)</f>
        <v/>
      </c>
      <c r="G6" s="32">
        <f>IFERROR(Capacity_Usage!N6/Capacity_Usage!F6,0)</f>
        <v/>
      </c>
      <c r="H6" s="32">
        <f>MIN(MAX(G6,0),1)</f>
        <v/>
      </c>
      <c r="I6" s="32">
        <f>IFERROR(Capacity_Usage!K6/Capacity_Usage!I6,0)</f>
        <v/>
      </c>
      <c r="J6" s="32">
        <f>MIN(MAX(I6,0),1)</f>
        <v/>
      </c>
      <c r="K6" s="32">
        <f>IF(F6=0,Policy!$B$11,1-Capacity_Usage!U6/F6)</f>
        <v/>
      </c>
      <c r="L6" s="32">
        <f>MIN(MAX(K6,0),1)</f>
        <v/>
      </c>
      <c r="M6" s="32">
        <f>IFERROR(Capacity_Usage!T6,0)</f>
        <v/>
      </c>
      <c r="N6" s="32">
        <f>MIN(MAX(M6,0),1)</f>
        <v/>
      </c>
      <c r="O6" s="32">
        <f>Capacity_Usage!E6/3</f>
        <v/>
      </c>
      <c r="P6" s="32">
        <f>MIN(MAX(O6,0),1)</f>
        <v/>
      </c>
      <c r="Q6" s="32">
        <f>Policy!$B$2*H6+Policy!$B$3*J6+Policy!$B$4*L6+Policy!$B$5*N6+Policy!$B$6*P6</f>
        <v/>
      </c>
      <c r="R6" s="11">
        <f>IF(AND(C6=1,D6=1,E6=1),Q6,-1)</f>
        <v/>
      </c>
      <c r="S6" s="11">
        <f>IF(R6&lt;0,"",COUNTIF($R$4:$R$17,"&gt;"&amp;R6)+1)</f>
        <v/>
      </c>
    </row>
    <row r="7">
      <c r="A7" s="11">
        <f>Capacity_Usage!B7</f>
        <v/>
      </c>
      <c r="B7" s="11">
        <f>Capacity_Usage!C7</f>
        <v/>
      </c>
      <c r="C7" s="11">
        <f>IF(Capacity_Usage!C7=Setup!$B$3,1,0)</f>
        <v/>
      </c>
      <c r="D7" s="11">
        <f>IF(HC_Gate!J7="YES",1,0)</f>
        <v/>
      </c>
      <c r="E7" s="11">
        <f>IF(OR(Capacity_Usage!V7="Standard",Capacity_Usage!B7=Setup!$B$8),1,0)</f>
        <v/>
      </c>
      <c r="F7" s="11">
        <f>SUMIFS(Capacity_Usage!$U$4:$U$17,Capacity_Usage!$C$4:$C$17,Capacity_Usage!C7)</f>
        <v/>
      </c>
      <c r="G7" s="32">
        <f>IFERROR(Capacity_Usage!N7/Capacity_Usage!F7,0)</f>
        <v/>
      </c>
      <c r="H7" s="32">
        <f>MIN(MAX(G7,0),1)</f>
        <v/>
      </c>
      <c r="I7" s="32">
        <f>IFERROR(Capacity_Usage!K7/Capacity_Usage!I7,0)</f>
        <v/>
      </c>
      <c r="J7" s="32">
        <f>MIN(MAX(I7,0),1)</f>
        <v/>
      </c>
      <c r="K7" s="32">
        <f>IF(F7=0,Policy!$B$11,1-Capacity_Usage!U7/F7)</f>
        <v/>
      </c>
      <c r="L7" s="32">
        <f>MIN(MAX(K7,0),1)</f>
        <v/>
      </c>
      <c r="M7" s="32">
        <f>IFERROR(Capacity_Usage!T7,0)</f>
        <v/>
      </c>
      <c r="N7" s="32">
        <f>MIN(MAX(M7,0),1)</f>
        <v/>
      </c>
      <c r="O7" s="32">
        <f>Capacity_Usage!E7/3</f>
        <v/>
      </c>
      <c r="P7" s="32">
        <f>MIN(MAX(O7,0),1)</f>
        <v/>
      </c>
      <c r="Q7" s="32">
        <f>Policy!$B$2*H7+Policy!$B$3*J7+Policy!$B$4*L7+Policy!$B$5*N7+Policy!$B$6*P7</f>
        <v/>
      </c>
      <c r="R7" s="11">
        <f>IF(AND(C7=1,D7=1,E7=1),Q7,-1)</f>
        <v/>
      </c>
      <c r="S7" s="11">
        <f>IF(R7&lt;0,"",COUNTIF($R$4:$R$17,"&gt;"&amp;R7)+1)</f>
        <v/>
      </c>
    </row>
    <row r="8">
      <c r="A8" s="11">
        <f>Capacity_Usage!B8</f>
        <v/>
      </c>
      <c r="B8" s="11">
        <f>Capacity_Usage!C8</f>
        <v/>
      </c>
      <c r="C8" s="11">
        <f>IF(Capacity_Usage!C8=Setup!$B$3,1,0)</f>
        <v/>
      </c>
      <c r="D8" s="11">
        <f>IF(HC_Gate!J8="YES",1,0)</f>
        <v/>
      </c>
      <c r="E8" s="11">
        <f>IF(OR(Capacity_Usage!V8="Standard",Capacity_Usage!B8=Setup!$B$8),1,0)</f>
        <v/>
      </c>
      <c r="F8" s="11">
        <f>SUMIFS(Capacity_Usage!$U$4:$U$17,Capacity_Usage!$C$4:$C$17,Capacity_Usage!C8)</f>
        <v/>
      </c>
      <c r="G8" s="32">
        <f>IFERROR(Capacity_Usage!N8/Capacity_Usage!F8,0)</f>
        <v/>
      </c>
      <c r="H8" s="32">
        <f>MIN(MAX(G8,0),1)</f>
        <v/>
      </c>
      <c r="I8" s="32">
        <f>IFERROR(Capacity_Usage!K8/Capacity_Usage!I8,0)</f>
        <v/>
      </c>
      <c r="J8" s="32">
        <f>MIN(MAX(I8,0),1)</f>
        <v/>
      </c>
      <c r="K8" s="32">
        <f>IF(F8=0,Policy!$B$11,1-Capacity_Usage!U8/F8)</f>
        <v/>
      </c>
      <c r="L8" s="32">
        <f>MIN(MAX(K8,0),1)</f>
        <v/>
      </c>
      <c r="M8" s="32">
        <f>IFERROR(Capacity_Usage!T8,0)</f>
        <v/>
      </c>
      <c r="N8" s="32">
        <f>MIN(MAX(M8,0),1)</f>
        <v/>
      </c>
      <c r="O8" s="32">
        <f>Capacity_Usage!E8/3</f>
        <v/>
      </c>
      <c r="P8" s="32">
        <f>MIN(MAX(O8,0),1)</f>
        <v/>
      </c>
      <c r="Q8" s="32">
        <f>Policy!$B$2*H8+Policy!$B$3*J8+Policy!$B$4*L8+Policy!$B$5*N8+Policy!$B$6*P8</f>
        <v/>
      </c>
      <c r="R8" s="11">
        <f>IF(AND(C8=1,D8=1,E8=1),Q8,-1)</f>
        <v/>
      </c>
      <c r="S8" s="11">
        <f>IF(R8&lt;0,"",COUNTIF($R$4:$R$17,"&gt;"&amp;R8)+1)</f>
        <v/>
      </c>
    </row>
    <row r="9">
      <c r="A9" s="11">
        <f>Capacity_Usage!B9</f>
        <v/>
      </c>
      <c r="B9" s="11">
        <f>Capacity_Usage!C9</f>
        <v/>
      </c>
      <c r="C9" s="11">
        <f>IF(Capacity_Usage!C9=Setup!$B$3,1,0)</f>
        <v/>
      </c>
      <c r="D9" s="11">
        <f>IF(HC_Gate!J9="YES",1,0)</f>
        <v/>
      </c>
      <c r="E9" s="11">
        <f>IF(OR(Capacity_Usage!V9="Standard",Capacity_Usage!B9=Setup!$B$8),1,0)</f>
        <v/>
      </c>
      <c r="F9" s="11">
        <f>SUMIFS(Capacity_Usage!$U$4:$U$17,Capacity_Usage!$C$4:$C$17,Capacity_Usage!C9)</f>
        <v/>
      </c>
      <c r="G9" s="32">
        <f>IFERROR(Capacity_Usage!N9/Capacity_Usage!F9,0)</f>
        <v/>
      </c>
      <c r="H9" s="32">
        <f>MIN(MAX(G9,0),1)</f>
        <v/>
      </c>
      <c r="I9" s="32">
        <f>IFERROR(Capacity_Usage!K9/Capacity_Usage!I9,0)</f>
        <v/>
      </c>
      <c r="J9" s="32">
        <f>MIN(MAX(I9,0),1)</f>
        <v/>
      </c>
      <c r="K9" s="32">
        <f>IF(F9=0,Policy!$B$11,1-Capacity_Usage!U9/F9)</f>
        <v/>
      </c>
      <c r="L9" s="32">
        <f>MIN(MAX(K9,0),1)</f>
        <v/>
      </c>
      <c r="M9" s="32">
        <f>IFERROR(Capacity_Usage!T9,0)</f>
        <v/>
      </c>
      <c r="N9" s="32">
        <f>MIN(MAX(M9,0),1)</f>
        <v/>
      </c>
      <c r="O9" s="32">
        <f>Capacity_Usage!E9/3</f>
        <v/>
      </c>
      <c r="P9" s="32">
        <f>MIN(MAX(O9,0),1)</f>
        <v/>
      </c>
      <c r="Q9" s="32">
        <f>Policy!$B$2*H9+Policy!$B$3*J9+Policy!$B$4*L9+Policy!$B$5*N9+Policy!$B$6*P9</f>
        <v/>
      </c>
      <c r="R9" s="11">
        <f>IF(AND(C9=1,D9=1,E9=1),Q9,-1)</f>
        <v/>
      </c>
      <c r="S9" s="11">
        <f>IF(R9&lt;0,"",COUNTIF($R$4:$R$17,"&gt;"&amp;R9)+1)</f>
        <v/>
      </c>
    </row>
    <row r="10">
      <c r="A10" s="11">
        <f>Capacity_Usage!B10</f>
        <v/>
      </c>
      <c r="B10" s="11">
        <f>Capacity_Usage!C10</f>
        <v/>
      </c>
      <c r="C10" s="11">
        <f>IF(Capacity_Usage!C10=Setup!$B$3,1,0)</f>
        <v/>
      </c>
      <c r="D10" s="11">
        <f>IF(HC_Gate!J10="YES",1,0)</f>
        <v/>
      </c>
      <c r="E10" s="11">
        <f>IF(OR(Capacity_Usage!V10="Standard",Capacity_Usage!B10=Setup!$B$8),1,0)</f>
        <v/>
      </c>
      <c r="F10" s="11">
        <f>SUMIFS(Capacity_Usage!$U$4:$U$17,Capacity_Usage!$C$4:$C$17,Capacity_Usage!C10)</f>
        <v/>
      </c>
      <c r="G10" s="32">
        <f>IFERROR(Capacity_Usage!N10/Capacity_Usage!F10,0)</f>
        <v/>
      </c>
      <c r="H10" s="32">
        <f>MIN(MAX(G10,0),1)</f>
        <v/>
      </c>
      <c r="I10" s="32">
        <f>IFERROR(Capacity_Usage!K10/Capacity_Usage!I10,0)</f>
        <v/>
      </c>
      <c r="J10" s="32">
        <f>MIN(MAX(I10,0),1)</f>
        <v/>
      </c>
      <c r="K10" s="32">
        <f>IF(F10=0,Policy!$B$11,1-Capacity_Usage!U10/F10)</f>
        <v/>
      </c>
      <c r="L10" s="32">
        <f>MIN(MAX(K10,0),1)</f>
        <v/>
      </c>
      <c r="M10" s="32">
        <f>IFERROR(Capacity_Usage!T10,0)</f>
        <v/>
      </c>
      <c r="N10" s="32">
        <f>MIN(MAX(M10,0),1)</f>
        <v/>
      </c>
      <c r="O10" s="32">
        <f>Capacity_Usage!E10/3</f>
        <v/>
      </c>
      <c r="P10" s="32">
        <f>MIN(MAX(O10,0),1)</f>
        <v/>
      </c>
      <c r="Q10" s="32">
        <f>Policy!$B$2*H10+Policy!$B$3*J10+Policy!$B$4*L10+Policy!$B$5*N10+Policy!$B$6*P10</f>
        <v/>
      </c>
      <c r="R10" s="11">
        <f>IF(AND(C10=1,D10=1,E10=1),Q10,-1)</f>
        <v/>
      </c>
      <c r="S10" s="11">
        <f>IF(R10&lt;0,"",COUNTIF($R$4:$R$17,"&gt;"&amp;R10)+1)</f>
        <v/>
      </c>
    </row>
    <row r="11">
      <c r="A11" s="11">
        <f>Capacity_Usage!B11</f>
        <v/>
      </c>
      <c r="B11" s="11">
        <f>Capacity_Usage!C11</f>
        <v/>
      </c>
      <c r="C11" s="11">
        <f>IF(Capacity_Usage!C11=Setup!$B$3,1,0)</f>
        <v/>
      </c>
      <c r="D11" s="11">
        <f>IF(HC_Gate!J11="YES",1,0)</f>
        <v/>
      </c>
      <c r="E11" s="11">
        <f>IF(OR(Capacity_Usage!V11="Standard",Capacity_Usage!B11=Setup!$B$8),1,0)</f>
        <v/>
      </c>
      <c r="F11" s="11">
        <f>SUMIFS(Capacity_Usage!$U$4:$U$17,Capacity_Usage!$C$4:$C$17,Capacity_Usage!C11)</f>
        <v/>
      </c>
      <c r="G11" s="32">
        <f>IFERROR(Capacity_Usage!N11/Capacity_Usage!F11,0)</f>
        <v/>
      </c>
      <c r="H11" s="32">
        <f>MIN(MAX(G11,0),1)</f>
        <v/>
      </c>
      <c r="I11" s="32">
        <f>IFERROR(Capacity_Usage!K11/Capacity_Usage!I11,0)</f>
        <v/>
      </c>
      <c r="J11" s="32">
        <f>MIN(MAX(I11,0),1)</f>
        <v/>
      </c>
      <c r="K11" s="32">
        <f>IF(F11=0,Policy!$B$11,1-Capacity_Usage!U11/F11)</f>
        <v/>
      </c>
      <c r="L11" s="32">
        <f>MIN(MAX(K11,0),1)</f>
        <v/>
      </c>
      <c r="M11" s="32">
        <f>IFERROR(Capacity_Usage!T11,0)</f>
        <v/>
      </c>
      <c r="N11" s="32">
        <f>MIN(MAX(M11,0),1)</f>
        <v/>
      </c>
      <c r="O11" s="32">
        <f>Capacity_Usage!E11/3</f>
        <v/>
      </c>
      <c r="P11" s="32">
        <f>MIN(MAX(O11,0),1)</f>
        <v/>
      </c>
      <c r="Q11" s="32">
        <f>Policy!$B$2*H11+Policy!$B$3*J11+Policy!$B$4*L11+Policy!$B$5*N11+Policy!$B$6*P11</f>
        <v/>
      </c>
      <c r="R11" s="11">
        <f>IF(AND(C11=1,D11=1,E11=1),Q11,-1)</f>
        <v/>
      </c>
      <c r="S11" s="11">
        <f>IF(R11&lt;0,"",COUNTIF($R$4:$R$17,"&gt;"&amp;R11)+1)</f>
        <v/>
      </c>
    </row>
    <row r="12">
      <c r="A12" s="11">
        <f>Capacity_Usage!B12</f>
        <v/>
      </c>
      <c r="B12" s="11">
        <f>Capacity_Usage!C12</f>
        <v/>
      </c>
      <c r="C12" s="11">
        <f>IF(Capacity_Usage!C12=Setup!$B$3,1,0)</f>
        <v/>
      </c>
      <c r="D12" s="11">
        <f>IF(HC_Gate!J12="YES",1,0)</f>
        <v/>
      </c>
      <c r="E12" s="11">
        <f>IF(OR(Capacity_Usage!V12="Standard",Capacity_Usage!B12=Setup!$B$8),1,0)</f>
        <v/>
      </c>
      <c r="F12" s="11">
        <f>SUMIFS(Capacity_Usage!$U$4:$U$17,Capacity_Usage!$C$4:$C$17,Capacity_Usage!C12)</f>
        <v/>
      </c>
      <c r="G12" s="32">
        <f>IFERROR(Capacity_Usage!N12/Capacity_Usage!F12,0)</f>
        <v/>
      </c>
      <c r="H12" s="32">
        <f>MIN(MAX(G12,0),1)</f>
        <v/>
      </c>
      <c r="I12" s="32">
        <f>IFERROR(Capacity_Usage!K12/Capacity_Usage!I12,0)</f>
        <v/>
      </c>
      <c r="J12" s="32">
        <f>MIN(MAX(I12,0),1)</f>
        <v/>
      </c>
      <c r="K12" s="32">
        <f>IF(F12=0,Policy!$B$11,1-Capacity_Usage!U12/F12)</f>
        <v/>
      </c>
      <c r="L12" s="32">
        <f>MIN(MAX(K12,0),1)</f>
        <v/>
      </c>
      <c r="M12" s="32">
        <f>IFERROR(Capacity_Usage!T12,0)</f>
        <v/>
      </c>
      <c r="N12" s="32">
        <f>MIN(MAX(M12,0),1)</f>
        <v/>
      </c>
      <c r="O12" s="32">
        <f>Capacity_Usage!E12/3</f>
        <v/>
      </c>
      <c r="P12" s="32">
        <f>MIN(MAX(O12,0),1)</f>
        <v/>
      </c>
      <c r="Q12" s="32">
        <f>Policy!$B$2*H12+Policy!$B$3*J12+Policy!$B$4*L12+Policy!$B$5*N12+Policy!$B$6*P12</f>
        <v/>
      </c>
      <c r="R12" s="11">
        <f>IF(AND(C12=1,D12=1,E12=1),Q12,-1)</f>
        <v/>
      </c>
      <c r="S12" s="11">
        <f>IF(R12&lt;0,"",COUNTIF($R$4:$R$17,"&gt;"&amp;R12)+1)</f>
        <v/>
      </c>
    </row>
    <row r="13">
      <c r="A13" s="11">
        <f>Capacity_Usage!B13</f>
        <v/>
      </c>
      <c r="B13" s="11">
        <f>Capacity_Usage!C13</f>
        <v/>
      </c>
      <c r="C13" s="11">
        <f>IF(Capacity_Usage!C13=Setup!$B$3,1,0)</f>
        <v/>
      </c>
      <c r="D13" s="11">
        <f>IF(HC_Gate!J13="YES",1,0)</f>
        <v/>
      </c>
      <c r="E13" s="11">
        <f>IF(OR(Capacity_Usage!V13="Standard",Capacity_Usage!B13=Setup!$B$8),1,0)</f>
        <v/>
      </c>
      <c r="F13" s="11">
        <f>SUMIFS(Capacity_Usage!$U$4:$U$17,Capacity_Usage!$C$4:$C$17,Capacity_Usage!C13)</f>
        <v/>
      </c>
      <c r="G13" s="32">
        <f>IFERROR(Capacity_Usage!N13/Capacity_Usage!F13,0)</f>
        <v/>
      </c>
      <c r="H13" s="32">
        <f>MIN(MAX(G13,0),1)</f>
        <v/>
      </c>
      <c r="I13" s="32">
        <f>IFERROR(Capacity_Usage!K13/Capacity_Usage!I13,0)</f>
        <v/>
      </c>
      <c r="J13" s="32">
        <f>MIN(MAX(I13,0),1)</f>
        <v/>
      </c>
      <c r="K13" s="32">
        <f>IF(F13=0,Policy!$B$11,1-Capacity_Usage!U13/F13)</f>
        <v/>
      </c>
      <c r="L13" s="32">
        <f>MIN(MAX(K13,0),1)</f>
        <v/>
      </c>
      <c r="M13" s="32">
        <f>IFERROR(Capacity_Usage!T13,0)</f>
        <v/>
      </c>
      <c r="N13" s="32">
        <f>MIN(MAX(M13,0),1)</f>
        <v/>
      </c>
      <c r="O13" s="32">
        <f>Capacity_Usage!E13/3</f>
        <v/>
      </c>
      <c r="P13" s="32">
        <f>MIN(MAX(O13,0),1)</f>
        <v/>
      </c>
      <c r="Q13" s="32">
        <f>Policy!$B$2*H13+Policy!$B$3*J13+Policy!$B$4*L13+Policy!$B$5*N13+Policy!$B$6*P13</f>
        <v/>
      </c>
      <c r="R13" s="11">
        <f>IF(AND(C13=1,D13=1,E13=1),Q13,-1)</f>
        <v/>
      </c>
      <c r="S13" s="11">
        <f>IF(R13&lt;0,"",COUNTIF($R$4:$R$17,"&gt;"&amp;R13)+1)</f>
        <v/>
      </c>
    </row>
    <row r="14">
      <c r="A14" s="11">
        <f>Capacity_Usage!B14</f>
        <v/>
      </c>
      <c r="B14" s="11">
        <f>Capacity_Usage!C14</f>
        <v/>
      </c>
      <c r="C14" s="11">
        <f>IF(Capacity_Usage!C14=Setup!$B$3,1,0)</f>
        <v/>
      </c>
      <c r="D14" s="11">
        <f>IF(HC_Gate!J14="YES",1,0)</f>
        <v/>
      </c>
      <c r="E14" s="11">
        <f>IF(OR(Capacity_Usage!V14="Standard",Capacity_Usage!B14=Setup!$B$8),1,0)</f>
        <v/>
      </c>
      <c r="F14" s="11">
        <f>SUMIFS(Capacity_Usage!$U$4:$U$17,Capacity_Usage!$C$4:$C$17,Capacity_Usage!C14)</f>
        <v/>
      </c>
      <c r="G14" s="32">
        <f>IFERROR(Capacity_Usage!N14/Capacity_Usage!F14,0)</f>
        <v/>
      </c>
      <c r="H14" s="32">
        <f>MIN(MAX(G14,0),1)</f>
        <v/>
      </c>
      <c r="I14" s="32">
        <f>IFERROR(Capacity_Usage!K14/Capacity_Usage!I14,0)</f>
        <v/>
      </c>
      <c r="J14" s="32">
        <f>MIN(MAX(I14,0),1)</f>
        <v/>
      </c>
      <c r="K14" s="32">
        <f>IF(F14=0,Policy!$B$11,1-Capacity_Usage!U14/F14)</f>
        <v/>
      </c>
      <c r="L14" s="32">
        <f>MIN(MAX(K14,0),1)</f>
        <v/>
      </c>
      <c r="M14" s="32">
        <f>IFERROR(Capacity_Usage!T14,0)</f>
        <v/>
      </c>
      <c r="N14" s="32">
        <f>MIN(MAX(M14,0),1)</f>
        <v/>
      </c>
      <c r="O14" s="32">
        <f>Capacity_Usage!E14/3</f>
        <v/>
      </c>
      <c r="P14" s="32">
        <f>MIN(MAX(O14,0),1)</f>
        <v/>
      </c>
      <c r="Q14" s="32">
        <f>Policy!$B$2*H14+Policy!$B$3*J14+Policy!$B$4*L14+Policy!$B$5*N14+Policy!$B$6*P14</f>
        <v/>
      </c>
      <c r="R14" s="11">
        <f>IF(AND(C14=1,D14=1,E14=1),Q14,-1)</f>
        <v/>
      </c>
      <c r="S14" s="11">
        <f>IF(R14&lt;0,"",COUNTIF($R$4:$R$17,"&gt;"&amp;R14)+1)</f>
        <v/>
      </c>
    </row>
    <row r="15">
      <c r="A15" s="11">
        <f>Capacity_Usage!B15</f>
        <v/>
      </c>
      <c r="B15" s="11">
        <f>Capacity_Usage!C15</f>
        <v/>
      </c>
      <c r="C15" s="11">
        <f>IF(Capacity_Usage!C15=Setup!$B$3,1,0)</f>
        <v/>
      </c>
      <c r="D15" s="11">
        <f>IF(HC_Gate!J15="YES",1,0)</f>
        <v/>
      </c>
      <c r="E15" s="11">
        <f>IF(OR(Capacity_Usage!V15="Standard",Capacity_Usage!B15=Setup!$B$8),1,0)</f>
        <v/>
      </c>
      <c r="F15" s="11">
        <f>SUMIFS(Capacity_Usage!$U$4:$U$17,Capacity_Usage!$C$4:$C$17,Capacity_Usage!C15)</f>
        <v/>
      </c>
      <c r="G15" s="32">
        <f>IFERROR(Capacity_Usage!N15/Capacity_Usage!F15,0)</f>
        <v/>
      </c>
      <c r="H15" s="32">
        <f>MIN(MAX(G15,0),1)</f>
        <v/>
      </c>
      <c r="I15" s="32">
        <f>IFERROR(Capacity_Usage!K15/Capacity_Usage!I15,0)</f>
        <v/>
      </c>
      <c r="J15" s="32">
        <f>MIN(MAX(I15,0),1)</f>
        <v/>
      </c>
      <c r="K15" s="32">
        <f>IF(F15=0,Policy!$B$11,1-Capacity_Usage!U15/F15)</f>
        <v/>
      </c>
      <c r="L15" s="32">
        <f>MIN(MAX(K15,0),1)</f>
        <v/>
      </c>
      <c r="M15" s="32">
        <f>IFERROR(Capacity_Usage!T15,0)</f>
        <v/>
      </c>
      <c r="N15" s="32">
        <f>MIN(MAX(M15,0),1)</f>
        <v/>
      </c>
      <c r="O15" s="32">
        <f>Capacity_Usage!E15/3</f>
        <v/>
      </c>
      <c r="P15" s="32">
        <f>MIN(MAX(O15,0),1)</f>
        <v/>
      </c>
      <c r="Q15" s="32">
        <f>Policy!$B$2*H15+Policy!$B$3*J15+Policy!$B$4*L15+Policy!$B$5*N15+Policy!$B$6*P15</f>
        <v/>
      </c>
      <c r="R15" s="11">
        <f>IF(AND(C15=1,D15=1,E15=1),Q15,-1)</f>
        <v/>
      </c>
      <c r="S15" s="11">
        <f>IF(R15&lt;0,"",COUNTIF($R$4:$R$17,"&gt;"&amp;R15)+1)</f>
        <v/>
      </c>
    </row>
    <row r="16">
      <c r="A16" s="11">
        <f>Capacity_Usage!B16</f>
        <v/>
      </c>
      <c r="B16" s="11">
        <f>Capacity_Usage!C16</f>
        <v/>
      </c>
      <c r="C16" s="11">
        <f>IF(Capacity_Usage!C16=Setup!$B$3,1,0)</f>
        <v/>
      </c>
      <c r="D16" s="11">
        <f>IF(HC_Gate!J16="YES",1,0)</f>
        <v/>
      </c>
      <c r="E16" s="11">
        <f>IF(OR(Capacity_Usage!V16="Standard",Capacity_Usage!B16=Setup!$B$8),1,0)</f>
        <v/>
      </c>
      <c r="F16" s="11">
        <f>SUMIFS(Capacity_Usage!$U$4:$U$17,Capacity_Usage!$C$4:$C$17,Capacity_Usage!C16)</f>
        <v/>
      </c>
      <c r="G16" s="32">
        <f>IFERROR(Capacity_Usage!N16/Capacity_Usage!F16,0)</f>
        <v/>
      </c>
      <c r="H16" s="32">
        <f>MIN(MAX(G16,0),1)</f>
        <v/>
      </c>
      <c r="I16" s="32">
        <f>IFERROR(Capacity_Usage!K16/Capacity_Usage!I16,0)</f>
        <v/>
      </c>
      <c r="J16" s="32">
        <f>MIN(MAX(I16,0),1)</f>
        <v/>
      </c>
      <c r="K16" s="32">
        <f>IF(F16=0,Policy!$B$11,1-Capacity_Usage!U16/F16)</f>
        <v/>
      </c>
      <c r="L16" s="32">
        <f>MIN(MAX(K16,0),1)</f>
        <v/>
      </c>
      <c r="M16" s="32">
        <f>IFERROR(Capacity_Usage!T16,0)</f>
        <v/>
      </c>
      <c r="N16" s="32">
        <f>MIN(MAX(M16,0),1)</f>
        <v/>
      </c>
      <c r="O16" s="32">
        <f>Capacity_Usage!E16/3</f>
        <v/>
      </c>
      <c r="P16" s="32">
        <f>MIN(MAX(O16,0),1)</f>
        <v/>
      </c>
      <c r="Q16" s="32">
        <f>Policy!$B$2*H16+Policy!$B$3*J16+Policy!$B$4*L16+Policy!$B$5*N16+Policy!$B$6*P16</f>
        <v/>
      </c>
      <c r="R16" s="11">
        <f>IF(AND(C16=1,D16=1,E16=1),Q16,-1)</f>
        <v/>
      </c>
      <c r="S16" s="11">
        <f>IF(R16&lt;0,"",COUNTIF($R$4:$R$17,"&gt;"&amp;R16)+1)</f>
        <v/>
      </c>
    </row>
    <row r="17">
      <c r="A17" s="11">
        <f>Capacity_Usage!B17</f>
        <v/>
      </c>
      <c r="B17" s="11">
        <f>Capacity_Usage!C17</f>
        <v/>
      </c>
      <c r="C17" s="11">
        <f>IF(Capacity_Usage!C17=Setup!$B$3,1,0)</f>
        <v/>
      </c>
      <c r="D17" s="11">
        <f>IF(HC_Gate!J17="YES",1,0)</f>
        <v/>
      </c>
      <c r="E17" s="11">
        <f>IF(OR(Capacity_Usage!V17="Standard",Capacity_Usage!B17=Setup!$B$8),1,0)</f>
        <v/>
      </c>
      <c r="F17" s="11">
        <f>SUMIFS(Capacity_Usage!$U$4:$U$17,Capacity_Usage!$C$4:$C$17,Capacity_Usage!C17)</f>
        <v/>
      </c>
      <c r="G17" s="32">
        <f>IFERROR(Capacity_Usage!N17/Capacity_Usage!F17,0)</f>
        <v/>
      </c>
      <c r="H17" s="32">
        <f>MIN(MAX(G17,0),1)</f>
        <v/>
      </c>
      <c r="I17" s="32">
        <f>IFERROR(Capacity_Usage!K17/Capacity_Usage!I17,0)</f>
        <v/>
      </c>
      <c r="J17" s="32">
        <f>MIN(MAX(I17,0),1)</f>
        <v/>
      </c>
      <c r="K17" s="32">
        <f>IF(F17=0,Policy!$B$11,1-Capacity_Usage!U17/F17)</f>
        <v/>
      </c>
      <c r="L17" s="32">
        <f>MIN(MAX(K17,0),1)</f>
        <v/>
      </c>
      <c r="M17" s="32">
        <f>IFERROR(Capacity_Usage!T17,0)</f>
        <v/>
      </c>
      <c r="N17" s="32">
        <f>MIN(MAX(M17,0),1)</f>
        <v/>
      </c>
      <c r="O17" s="32">
        <f>Capacity_Usage!E17/3</f>
        <v/>
      </c>
      <c r="P17" s="32">
        <f>MIN(MAX(O17,0),1)</f>
        <v/>
      </c>
      <c r="Q17" s="32">
        <f>Policy!$B$2*H17+Policy!$B$3*J17+Policy!$B$4*L17+Policy!$B$5*N17+Policy!$B$6*P17</f>
        <v/>
      </c>
      <c r="R17" s="11">
        <f>IF(AND(C17=1,D17=1,E17=1),Q17,-1)</f>
        <v/>
      </c>
      <c r="S17" s="11">
        <f>IF(R17&lt;0,"",COUNTIF($R$4:$R$17,"&gt;"&amp;R17)+1)</f>
        <v/>
      </c>
    </row>
  </sheetData>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U17"/>
  <sheetViews>
    <sheetView showGridLines="0" workbookViewId="0">
      <selection activeCell="A1" sqref="A1"/>
    </sheetView>
  </sheetViews>
  <sheetFormatPr baseColWidth="8" defaultRowHeight="15"/>
  <cols>
    <col width="20" customWidth="1" min="1" max="1"/>
    <col width="13"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16" customWidth="1" min="20" max="20"/>
    <col width="18" customWidth="1" min="21" max="21"/>
  </cols>
  <sheetData>
    <row r="1">
      <c r="A1" s="8" t="inlineStr">
        <is>
          <t>PS_NonProd — CVAL Placement Score  (δ duplicates α — known design gap)</t>
        </is>
      </c>
      <c r="T1" s="25" t="inlineStr">
        <is>
          <t>CVAL WINNER</t>
        </is>
      </c>
    </row>
    <row r="2">
      <c r="T2" s="14" t="inlineStr">
        <is>
          <t>Region</t>
        </is>
      </c>
      <c r="U2">
        <f>IF(Setup!$B$3="Middle East",Scoring_Prod!$U$3,IF(MAX(R4:R17)&lt;0,"NONE ELIGIBLE",INDEX(A4:A17,MATCH(MAX(R4:R17),R4:R17,0))))</f>
        <v/>
      </c>
    </row>
    <row r="3">
      <c r="A3" s="10" t="inlineStr">
        <is>
          <t>Region</t>
        </is>
      </c>
      <c r="B3" s="10" t="inlineStr">
        <is>
          <t>Geography</t>
        </is>
      </c>
      <c r="C3" s="10" t="inlineStr">
        <is>
          <t>InScope</t>
        </is>
      </c>
      <c r="D3" s="10" t="inlineStr">
        <is>
          <t>Eligible</t>
        </is>
      </c>
      <c r="E3" s="10" t="inlineStr">
        <is>
          <t>AutoSel</t>
        </is>
      </c>
      <c r="F3" s="10" t="inlineStr">
        <is>
          <t>total_cust</t>
        </is>
      </c>
      <c r="G3" s="10" t="inlineStr">
        <is>
          <t>α_raw</t>
        </is>
      </c>
      <c r="H3" s="10" t="inlineStr">
        <is>
          <t>α_c</t>
        </is>
      </c>
      <c r="I3" s="10" t="inlineStr">
        <is>
          <t>β_raw</t>
        </is>
      </c>
      <c r="J3" s="10" t="inlineStr">
        <is>
          <t>β_c</t>
        </is>
      </c>
      <c r="K3" s="10" t="inlineStr">
        <is>
          <t>γ_raw</t>
        </is>
      </c>
      <c r="L3" s="10" t="inlineStr">
        <is>
          <t>γ_c</t>
        </is>
      </c>
      <c r="M3" s="10" t="inlineStr">
        <is>
          <t>δ_raw</t>
        </is>
      </c>
      <c r="N3" s="10" t="inlineStr">
        <is>
          <t>δ_c</t>
        </is>
      </c>
      <c r="O3" s="10" t="inlineStr">
        <is>
          <t>ε_raw</t>
        </is>
      </c>
      <c r="P3" s="10" t="inlineStr">
        <is>
          <t>ε_c</t>
        </is>
      </c>
      <c r="Q3" s="10" t="inlineStr">
        <is>
          <t>PS</t>
        </is>
      </c>
      <c r="R3" s="10" t="inlineStr">
        <is>
          <t>Candidate</t>
        </is>
      </c>
      <c r="S3" s="10" t="inlineStr">
        <is>
          <t>Rank</t>
        </is>
      </c>
      <c r="T3" s="14" t="inlineStr">
        <is>
          <t>Score</t>
        </is>
      </c>
      <c r="U3" s="33">
        <f>IF(Setup!$B$3="Middle East",Scoring_Prod!$U$4,IF(MAX(R4:R17)&lt;0,"",MAX(R4:R17)))</f>
        <v/>
      </c>
    </row>
    <row r="4">
      <c r="A4" s="11">
        <f>Capacity_Usage!B4</f>
        <v/>
      </c>
      <c r="B4" s="11">
        <f>Capacity_Usage!C4</f>
        <v/>
      </c>
      <c r="C4" s="11">
        <f>IF(Capacity_Usage!C4=Setup!$B$3,1,0)</f>
        <v/>
      </c>
      <c r="D4" s="11">
        <f>IF(HC_Gate!K4="YES",1,0)</f>
        <v/>
      </c>
      <c r="E4" s="11">
        <f>IF(OR(Capacity_Usage!V4="Standard",Capacity_Usage!B4=Setup!$B$8),1,0)</f>
        <v/>
      </c>
      <c r="F4" s="11">
        <f>SUMIFS(Capacity_Usage!$U$4:$U$17,Capacity_Usage!$C$4:$C$17,Capacity_Usage!C4)</f>
        <v/>
      </c>
      <c r="G4" s="32">
        <f>IFERROR(Capacity_Usage!N4/Capacity_Usage!L4,0)</f>
        <v/>
      </c>
      <c r="H4" s="32">
        <f>MIN(MAX(G4,0),1)</f>
        <v/>
      </c>
      <c r="I4" s="32">
        <f>IFERROR(Capacity_Usage!Q4/Capacity_Usage!O4,0)</f>
        <v/>
      </c>
      <c r="J4" s="32">
        <f>MIN(MAX(I4,0),1)</f>
        <v/>
      </c>
      <c r="K4" s="32">
        <f>IF(F4=0,Policy!$B$11,1-Capacity_Usage!U4/F4)</f>
        <v/>
      </c>
      <c r="L4" s="32">
        <f>MIN(MAX(K4,0),1)</f>
        <v/>
      </c>
      <c r="M4" s="32">
        <f>IFERROR(Capacity_Usage!N4/Capacity_Usage!L4,0)</f>
        <v/>
      </c>
      <c r="N4" s="32">
        <f>MIN(MAX(M4,0),1)</f>
        <v/>
      </c>
      <c r="O4" s="32">
        <f>Capacity_Usage!E4/3</f>
        <v/>
      </c>
      <c r="P4" s="32">
        <f>MIN(MAX(O4,0),1)</f>
        <v/>
      </c>
      <c r="Q4" s="32">
        <f>Policy!$B$2*H4+Policy!$B$3*J4+Policy!$B$4*L4+Policy!$B$5*N4+Policy!$B$6*P4</f>
        <v/>
      </c>
      <c r="R4" s="11">
        <f>IF(AND(C4=1,D4=1,E4=1,A4&lt;&gt;Scoring_Prod!$U$3),Q4,-1)</f>
        <v/>
      </c>
      <c r="S4" s="11">
        <f>IF(R4&lt;0,"",COUNTIF($R$4:$R$17,"&gt;"&amp;R4)+1)</f>
        <v/>
      </c>
    </row>
    <row r="5">
      <c r="A5" s="11">
        <f>Capacity_Usage!B5</f>
        <v/>
      </c>
      <c r="B5" s="11">
        <f>Capacity_Usage!C5</f>
        <v/>
      </c>
      <c r="C5" s="11">
        <f>IF(Capacity_Usage!C5=Setup!$B$3,1,0)</f>
        <v/>
      </c>
      <c r="D5" s="11">
        <f>IF(HC_Gate!K5="YES",1,0)</f>
        <v/>
      </c>
      <c r="E5" s="11">
        <f>IF(OR(Capacity_Usage!V5="Standard",Capacity_Usage!B5=Setup!$B$8),1,0)</f>
        <v/>
      </c>
      <c r="F5" s="11">
        <f>SUMIFS(Capacity_Usage!$U$4:$U$17,Capacity_Usage!$C$4:$C$17,Capacity_Usage!C5)</f>
        <v/>
      </c>
      <c r="G5" s="32">
        <f>IFERROR(Capacity_Usage!N5/Capacity_Usage!L5,0)</f>
        <v/>
      </c>
      <c r="H5" s="32">
        <f>MIN(MAX(G5,0),1)</f>
        <v/>
      </c>
      <c r="I5" s="32">
        <f>IFERROR(Capacity_Usage!Q5/Capacity_Usage!O5,0)</f>
        <v/>
      </c>
      <c r="J5" s="32">
        <f>MIN(MAX(I5,0),1)</f>
        <v/>
      </c>
      <c r="K5" s="32">
        <f>IF(F5=0,Policy!$B$11,1-Capacity_Usage!U5/F5)</f>
        <v/>
      </c>
      <c r="L5" s="32">
        <f>MIN(MAX(K5,0),1)</f>
        <v/>
      </c>
      <c r="M5" s="32">
        <f>IFERROR(Capacity_Usage!N5/Capacity_Usage!L5,0)</f>
        <v/>
      </c>
      <c r="N5" s="32">
        <f>MIN(MAX(M5,0),1)</f>
        <v/>
      </c>
      <c r="O5" s="32">
        <f>Capacity_Usage!E5/3</f>
        <v/>
      </c>
      <c r="P5" s="32">
        <f>MIN(MAX(O5,0),1)</f>
        <v/>
      </c>
      <c r="Q5" s="32">
        <f>Policy!$B$2*H5+Policy!$B$3*J5+Policy!$B$4*L5+Policy!$B$5*N5+Policy!$B$6*P5</f>
        <v/>
      </c>
      <c r="R5" s="11">
        <f>IF(AND(C5=1,D5=1,E5=1,A5&lt;&gt;Scoring_Prod!$U$3),Q5,-1)</f>
        <v/>
      </c>
      <c r="S5" s="11">
        <f>IF(R5&lt;0,"",COUNTIF($R$4:$R$17,"&gt;"&amp;R5)+1)</f>
        <v/>
      </c>
    </row>
    <row r="6">
      <c r="A6" s="11">
        <f>Capacity_Usage!B6</f>
        <v/>
      </c>
      <c r="B6" s="11">
        <f>Capacity_Usage!C6</f>
        <v/>
      </c>
      <c r="C6" s="11">
        <f>IF(Capacity_Usage!C6=Setup!$B$3,1,0)</f>
        <v/>
      </c>
      <c r="D6" s="11">
        <f>IF(HC_Gate!K6="YES",1,0)</f>
        <v/>
      </c>
      <c r="E6" s="11">
        <f>IF(OR(Capacity_Usage!V6="Standard",Capacity_Usage!B6=Setup!$B$8),1,0)</f>
        <v/>
      </c>
      <c r="F6" s="11">
        <f>SUMIFS(Capacity_Usage!$U$4:$U$17,Capacity_Usage!$C$4:$C$17,Capacity_Usage!C6)</f>
        <v/>
      </c>
      <c r="G6" s="32">
        <f>IFERROR(Capacity_Usage!N6/Capacity_Usage!L6,0)</f>
        <v/>
      </c>
      <c r="H6" s="32">
        <f>MIN(MAX(G6,0),1)</f>
        <v/>
      </c>
      <c r="I6" s="32">
        <f>IFERROR(Capacity_Usage!Q6/Capacity_Usage!O6,0)</f>
        <v/>
      </c>
      <c r="J6" s="32">
        <f>MIN(MAX(I6,0),1)</f>
        <v/>
      </c>
      <c r="K6" s="32">
        <f>IF(F6=0,Policy!$B$11,1-Capacity_Usage!U6/F6)</f>
        <v/>
      </c>
      <c r="L6" s="32">
        <f>MIN(MAX(K6,0),1)</f>
        <v/>
      </c>
      <c r="M6" s="32">
        <f>IFERROR(Capacity_Usage!N6/Capacity_Usage!L6,0)</f>
        <v/>
      </c>
      <c r="N6" s="32">
        <f>MIN(MAX(M6,0),1)</f>
        <v/>
      </c>
      <c r="O6" s="32">
        <f>Capacity_Usage!E6/3</f>
        <v/>
      </c>
      <c r="P6" s="32">
        <f>MIN(MAX(O6,0),1)</f>
        <v/>
      </c>
      <c r="Q6" s="32">
        <f>Policy!$B$2*H6+Policy!$B$3*J6+Policy!$B$4*L6+Policy!$B$5*N6+Policy!$B$6*P6</f>
        <v/>
      </c>
      <c r="R6" s="11">
        <f>IF(AND(C6=1,D6=1,E6=1,A6&lt;&gt;Scoring_Prod!$U$3),Q6,-1)</f>
        <v/>
      </c>
      <c r="S6" s="11">
        <f>IF(R6&lt;0,"",COUNTIF($R$4:$R$17,"&gt;"&amp;R6)+1)</f>
        <v/>
      </c>
    </row>
    <row r="7">
      <c r="A7" s="11">
        <f>Capacity_Usage!B7</f>
        <v/>
      </c>
      <c r="B7" s="11">
        <f>Capacity_Usage!C7</f>
        <v/>
      </c>
      <c r="C7" s="11">
        <f>IF(Capacity_Usage!C7=Setup!$B$3,1,0)</f>
        <v/>
      </c>
      <c r="D7" s="11">
        <f>IF(HC_Gate!K7="YES",1,0)</f>
        <v/>
      </c>
      <c r="E7" s="11">
        <f>IF(OR(Capacity_Usage!V7="Standard",Capacity_Usage!B7=Setup!$B$8),1,0)</f>
        <v/>
      </c>
      <c r="F7" s="11">
        <f>SUMIFS(Capacity_Usage!$U$4:$U$17,Capacity_Usage!$C$4:$C$17,Capacity_Usage!C7)</f>
        <v/>
      </c>
      <c r="G7" s="32">
        <f>IFERROR(Capacity_Usage!N7/Capacity_Usage!L7,0)</f>
        <v/>
      </c>
      <c r="H7" s="32">
        <f>MIN(MAX(G7,0),1)</f>
        <v/>
      </c>
      <c r="I7" s="32">
        <f>IFERROR(Capacity_Usage!Q7/Capacity_Usage!O7,0)</f>
        <v/>
      </c>
      <c r="J7" s="32">
        <f>MIN(MAX(I7,0),1)</f>
        <v/>
      </c>
      <c r="K7" s="32">
        <f>IF(F7=0,Policy!$B$11,1-Capacity_Usage!U7/F7)</f>
        <v/>
      </c>
      <c r="L7" s="32">
        <f>MIN(MAX(K7,0),1)</f>
        <v/>
      </c>
      <c r="M7" s="32">
        <f>IFERROR(Capacity_Usage!N7/Capacity_Usage!L7,0)</f>
        <v/>
      </c>
      <c r="N7" s="32">
        <f>MIN(MAX(M7,0),1)</f>
        <v/>
      </c>
      <c r="O7" s="32">
        <f>Capacity_Usage!E7/3</f>
        <v/>
      </c>
      <c r="P7" s="32">
        <f>MIN(MAX(O7,0),1)</f>
        <v/>
      </c>
      <c r="Q7" s="32">
        <f>Policy!$B$2*H7+Policy!$B$3*J7+Policy!$B$4*L7+Policy!$B$5*N7+Policy!$B$6*P7</f>
        <v/>
      </c>
      <c r="R7" s="11">
        <f>IF(AND(C7=1,D7=1,E7=1,A7&lt;&gt;Scoring_Prod!$U$3),Q7,-1)</f>
        <v/>
      </c>
      <c r="S7" s="11">
        <f>IF(R7&lt;0,"",COUNTIF($R$4:$R$17,"&gt;"&amp;R7)+1)</f>
        <v/>
      </c>
    </row>
    <row r="8">
      <c r="A8" s="11">
        <f>Capacity_Usage!B8</f>
        <v/>
      </c>
      <c r="B8" s="11">
        <f>Capacity_Usage!C8</f>
        <v/>
      </c>
      <c r="C8" s="11">
        <f>IF(Capacity_Usage!C8=Setup!$B$3,1,0)</f>
        <v/>
      </c>
      <c r="D8" s="11">
        <f>IF(HC_Gate!K8="YES",1,0)</f>
        <v/>
      </c>
      <c r="E8" s="11">
        <f>IF(OR(Capacity_Usage!V8="Standard",Capacity_Usage!B8=Setup!$B$8),1,0)</f>
        <v/>
      </c>
      <c r="F8" s="11">
        <f>SUMIFS(Capacity_Usage!$U$4:$U$17,Capacity_Usage!$C$4:$C$17,Capacity_Usage!C8)</f>
        <v/>
      </c>
      <c r="G8" s="32">
        <f>IFERROR(Capacity_Usage!N8/Capacity_Usage!L8,0)</f>
        <v/>
      </c>
      <c r="H8" s="32">
        <f>MIN(MAX(G8,0),1)</f>
        <v/>
      </c>
      <c r="I8" s="32">
        <f>IFERROR(Capacity_Usage!Q8/Capacity_Usage!O8,0)</f>
        <v/>
      </c>
      <c r="J8" s="32">
        <f>MIN(MAX(I8,0),1)</f>
        <v/>
      </c>
      <c r="K8" s="32">
        <f>IF(F8=0,Policy!$B$11,1-Capacity_Usage!U8/F8)</f>
        <v/>
      </c>
      <c r="L8" s="32">
        <f>MIN(MAX(K8,0),1)</f>
        <v/>
      </c>
      <c r="M8" s="32">
        <f>IFERROR(Capacity_Usage!N8/Capacity_Usage!L8,0)</f>
        <v/>
      </c>
      <c r="N8" s="32">
        <f>MIN(MAX(M8,0),1)</f>
        <v/>
      </c>
      <c r="O8" s="32">
        <f>Capacity_Usage!E8/3</f>
        <v/>
      </c>
      <c r="P8" s="32">
        <f>MIN(MAX(O8,0),1)</f>
        <v/>
      </c>
      <c r="Q8" s="32">
        <f>Policy!$B$2*H8+Policy!$B$3*J8+Policy!$B$4*L8+Policy!$B$5*N8+Policy!$B$6*P8</f>
        <v/>
      </c>
      <c r="R8" s="11">
        <f>IF(AND(C8=1,D8=1,E8=1,A8&lt;&gt;Scoring_Prod!$U$3),Q8,-1)</f>
        <v/>
      </c>
      <c r="S8" s="11">
        <f>IF(R8&lt;0,"",COUNTIF($R$4:$R$17,"&gt;"&amp;R8)+1)</f>
        <v/>
      </c>
    </row>
    <row r="9">
      <c r="A9" s="11">
        <f>Capacity_Usage!B9</f>
        <v/>
      </c>
      <c r="B9" s="11">
        <f>Capacity_Usage!C9</f>
        <v/>
      </c>
      <c r="C9" s="11">
        <f>IF(Capacity_Usage!C9=Setup!$B$3,1,0)</f>
        <v/>
      </c>
      <c r="D9" s="11">
        <f>IF(HC_Gate!K9="YES",1,0)</f>
        <v/>
      </c>
      <c r="E9" s="11">
        <f>IF(OR(Capacity_Usage!V9="Standard",Capacity_Usage!B9=Setup!$B$8),1,0)</f>
        <v/>
      </c>
      <c r="F9" s="11">
        <f>SUMIFS(Capacity_Usage!$U$4:$U$17,Capacity_Usage!$C$4:$C$17,Capacity_Usage!C9)</f>
        <v/>
      </c>
      <c r="G9" s="32">
        <f>IFERROR(Capacity_Usage!N9/Capacity_Usage!L9,0)</f>
        <v/>
      </c>
      <c r="H9" s="32">
        <f>MIN(MAX(G9,0),1)</f>
        <v/>
      </c>
      <c r="I9" s="32">
        <f>IFERROR(Capacity_Usage!Q9/Capacity_Usage!O9,0)</f>
        <v/>
      </c>
      <c r="J9" s="32">
        <f>MIN(MAX(I9,0),1)</f>
        <v/>
      </c>
      <c r="K9" s="32">
        <f>IF(F9=0,Policy!$B$11,1-Capacity_Usage!U9/F9)</f>
        <v/>
      </c>
      <c r="L9" s="32">
        <f>MIN(MAX(K9,0),1)</f>
        <v/>
      </c>
      <c r="M9" s="32">
        <f>IFERROR(Capacity_Usage!N9/Capacity_Usage!L9,0)</f>
        <v/>
      </c>
      <c r="N9" s="32">
        <f>MIN(MAX(M9,0),1)</f>
        <v/>
      </c>
      <c r="O9" s="32">
        <f>Capacity_Usage!E9/3</f>
        <v/>
      </c>
      <c r="P9" s="32">
        <f>MIN(MAX(O9,0),1)</f>
        <v/>
      </c>
      <c r="Q9" s="32">
        <f>Policy!$B$2*H9+Policy!$B$3*J9+Policy!$B$4*L9+Policy!$B$5*N9+Policy!$B$6*P9</f>
        <v/>
      </c>
      <c r="R9" s="11">
        <f>IF(AND(C9=1,D9=1,E9=1,A9&lt;&gt;Scoring_Prod!$U$3),Q9,-1)</f>
        <v/>
      </c>
      <c r="S9" s="11">
        <f>IF(R9&lt;0,"",COUNTIF($R$4:$R$17,"&gt;"&amp;R9)+1)</f>
        <v/>
      </c>
    </row>
    <row r="10">
      <c r="A10" s="11">
        <f>Capacity_Usage!B10</f>
        <v/>
      </c>
      <c r="B10" s="11">
        <f>Capacity_Usage!C10</f>
        <v/>
      </c>
      <c r="C10" s="11">
        <f>IF(Capacity_Usage!C10=Setup!$B$3,1,0)</f>
        <v/>
      </c>
      <c r="D10" s="11">
        <f>IF(HC_Gate!K10="YES",1,0)</f>
        <v/>
      </c>
      <c r="E10" s="11">
        <f>IF(OR(Capacity_Usage!V10="Standard",Capacity_Usage!B10=Setup!$B$8),1,0)</f>
        <v/>
      </c>
      <c r="F10" s="11">
        <f>SUMIFS(Capacity_Usage!$U$4:$U$17,Capacity_Usage!$C$4:$C$17,Capacity_Usage!C10)</f>
        <v/>
      </c>
      <c r="G10" s="32">
        <f>IFERROR(Capacity_Usage!N10/Capacity_Usage!L10,0)</f>
        <v/>
      </c>
      <c r="H10" s="32">
        <f>MIN(MAX(G10,0),1)</f>
        <v/>
      </c>
      <c r="I10" s="32">
        <f>IFERROR(Capacity_Usage!Q10/Capacity_Usage!O10,0)</f>
        <v/>
      </c>
      <c r="J10" s="32">
        <f>MIN(MAX(I10,0),1)</f>
        <v/>
      </c>
      <c r="K10" s="32">
        <f>IF(F10=0,Policy!$B$11,1-Capacity_Usage!U10/F10)</f>
        <v/>
      </c>
      <c r="L10" s="32">
        <f>MIN(MAX(K10,0),1)</f>
        <v/>
      </c>
      <c r="M10" s="32">
        <f>IFERROR(Capacity_Usage!N10/Capacity_Usage!L10,0)</f>
        <v/>
      </c>
      <c r="N10" s="32">
        <f>MIN(MAX(M10,0),1)</f>
        <v/>
      </c>
      <c r="O10" s="32">
        <f>Capacity_Usage!E10/3</f>
        <v/>
      </c>
      <c r="P10" s="32">
        <f>MIN(MAX(O10,0),1)</f>
        <v/>
      </c>
      <c r="Q10" s="32">
        <f>Policy!$B$2*H10+Policy!$B$3*J10+Policy!$B$4*L10+Policy!$B$5*N10+Policy!$B$6*P10</f>
        <v/>
      </c>
      <c r="R10" s="11">
        <f>IF(AND(C10=1,D10=1,E10=1,A10&lt;&gt;Scoring_Prod!$U$3),Q10,-1)</f>
        <v/>
      </c>
      <c r="S10" s="11">
        <f>IF(R10&lt;0,"",COUNTIF($R$4:$R$17,"&gt;"&amp;R10)+1)</f>
        <v/>
      </c>
    </row>
    <row r="11">
      <c r="A11" s="11">
        <f>Capacity_Usage!B11</f>
        <v/>
      </c>
      <c r="B11" s="11">
        <f>Capacity_Usage!C11</f>
        <v/>
      </c>
      <c r="C11" s="11">
        <f>IF(Capacity_Usage!C11=Setup!$B$3,1,0)</f>
        <v/>
      </c>
      <c r="D11" s="11">
        <f>IF(HC_Gate!K11="YES",1,0)</f>
        <v/>
      </c>
      <c r="E11" s="11">
        <f>IF(OR(Capacity_Usage!V11="Standard",Capacity_Usage!B11=Setup!$B$8),1,0)</f>
        <v/>
      </c>
      <c r="F11" s="11">
        <f>SUMIFS(Capacity_Usage!$U$4:$U$17,Capacity_Usage!$C$4:$C$17,Capacity_Usage!C11)</f>
        <v/>
      </c>
      <c r="G11" s="32">
        <f>IFERROR(Capacity_Usage!N11/Capacity_Usage!L11,0)</f>
        <v/>
      </c>
      <c r="H11" s="32">
        <f>MIN(MAX(G11,0),1)</f>
        <v/>
      </c>
      <c r="I11" s="32">
        <f>IFERROR(Capacity_Usage!Q11/Capacity_Usage!O11,0)</f>
        <v/>
      </c>
      <c r="J11" s="32">
        <f>MIN(MAX(I11,0),1)</f>
        <v/>
      </c>
      <c r="K11" s="32">
        <f>IF(F11=0,Policy!$B$11,1-Capacity_Usage!U11/F11)</f>
        <v/>
      </c>
      <c r="L11" s="32">
        <f>MIN(MAX(K11,0),1)</f>
        <v/>
      </c>
      <c r="M11" s="32">
        <f>IFERROR(Capacity_Usage!N11/Capacity_Usage!L11,0)</f>
        <v/>
      </c>
      <c r="N11" s="32">
        <f>MIN(MAX(M11,0),1)</f>
        <v/>
      </c>
      <c r="O11" s="32">
        <f>Capacity_Usage!E11/3</f>
        <v/>
      </c>
      <c r="P11" s="32">
        <f>MIN(MAX(O11,0),1)</f>
        <v/>
      </c>
      <c r="Q11" s="32">
        <f>Policy!$B$2*H11+Policy!$B$3*J11+Policy!$B$4*L11+Policy!$B$5*N11+Policy!$B$6*P11</f>
        <v/>
      </c>
      <c r="R11" s="11">
        <f>IF(AND(C11=1,D11=1,E11=1,A11&lt;&gt;Scoring_Prod!$U$3),Q11,-1)</f>
        <v/>
      </c>
      <c r="S11" s="11">
        <f>IF(R11&lt;0,"",COUNTIF($R$4:$R$17,"&gt;"&amp;R11)+1)</f>
        <v/>
      </c>
    </row>
    <row r="12">
      <c r="A12" s="11">
        <f>Capacity_Usage!B12</f>
        <v/>
      </c>
      <c r="B12" s="11">
        <f>Capacity_Usage!C12</f>
        <v/>
      </c>
      <c r="C12" s="11">
        <f>IF(Capacity_Usage!C12=Setup!$B$3,1,0)</f>
        <v/>
      </c>
      <c r="D12" s="11">
        <f>IF(HC_Gate!K12="YES",1,0)</f>
        <v/>
      </c>
      <c r="E12" s="11">
        <f>IF(OR(Capacity_Usage!V12="Standard",Capacity_Usage!B12=Setup!$B$8),1,0)</f>
        <v/>
      </c>
      <c r="F12" s="11">
        <f>SUMIFS(Capacity_Usage!$U$4:$U$17,Capacity_Usage!$C$4:$C$17,Capacity_Usage!C12)</f>
        <v/>
      </c>
      <c r="G12" s="32">
        <f>IFERROR(Capacity_Usage!N12/Capacity_Usage!L12,0)</f>
        <v/>
      </c>
      <c r="H12" s="32">
        <f>MIN(MAX(G12,0),1)</f>
        <v/>
      </c>
      <c r="I12" s="32">
        <f>IFERROR(Capacity_Usage!Q12/Capacity_Usage!O12,0)</f>
        <v/>
      </c>
      <c r="J12" s="32">
        <f>MIN(MAX(I12,0),1)</f>
        <v/>
      </c>
      <c r="K12" s="32">
        <f>IF(F12=0,Policy!$B$11,1-Capacity_Usage!U12/F12)</f>
        <v/>
      </c>
      <c r="L12" s="32">
        <f>MIN(MAX(K12,0),1)</f>
        <v/>
      </c>
      <c r="M12" s="32">
        <f>IFERROR(Capacity_Usage!N12/Capacity_Usage!L12,0)</f>
        <v/>
      </c>
      <c r="N12" s="32">
        <f>MIN(MAX(M12,0),1)</f>
        <v/>
      </c>
      <c r="O12" s="32">
        <f>Capacity_Usage!E12/3</f>
        <v/>
      </c>
      <c r="P12" s="32">
        <f>MIN(MAX(O12,0),1)</f>
        <v/>
      </c>
      <c r="Q12" s="32">
        <f>Policy!$B$2*H12+Policy!$B$3*J12+Policy!$B$4*L12+Policy!$B$5*N12+Policy!$B$6*P12</f>
        <v/>
      </c>
      <c r="R12" s="11">
        <f>IF(AND(C12=1,D12=1,E12=1,A12&lt;&gt;Scoring_Prod!$U$3),Q12,-1)</f>
        <v/>
      </c>
      <c r="S12" s="11">
        <f>IF(R12&lt;0,"",COUNTIF($R$4:$R$17,"&gt;"&amp;R12)+1)</f>
        <v/>
      </c>
    </row>
    <row r="13">
      <c r="A13" s="11">
        <f>Capacity_Usage!B13</f>
        <v/>
      </c>
      <c r="B13" s="11">
        <f>Capacity_Usage!C13</f>
        <v/>
      </c>
      <c r="C13" s="11">
        <f>IF(Capacity_Usage!C13=Setup!$B$3,1,0)</f>
        <v/>
      </c>
      <c r="D13" s="11">
        <f>IF(HC_Gate!K13="YES",1,0)</f>
        <v/>
      </c>
      <c r="E13" s="11">
        <f>IF(OR(Capacity_Usage!V13="Standard",Capacity_Usage!B13=Setup!$B$8),1,0)</f>
        <v/>
      </c>
      <c r="F13" s="11">
        <f>SUMIFS(Capacity_Usage!$U$4:$U$17,Capacity_Usage!$C$4:$C$17,Capacity_Usage!C13)</f>
        <v/>
      </c>
      <c r="G13" s="32">
        <f>IFERROR(Capacity_Usage!N13/Capacity_Usage!L13,0)</f>
        <v/>
      </c>
      <c r="H13" s="32">
        <f>MIN(MAX(G13,0),1)</f>
        <v/>
      </c>
      <c r="I13" s="32">
        <f>IFERROR(Capacity_Usage!Q13/Capacity_Usage!O13,0)</f>
        <v/>
      </c>
      <c r="J13" s="32">
        <f>MIN(MAX(I13,0),1)</f>
        <v/>
      </c>
      <c r="K13" s="32">
        <f>IF(F13=0,Policy!$B$11,1-Capacity_Usage!U13/F13)</f>
        <v/>
      </c>
      <c r="L13" s="32">
        <f>MIN(MAX(K13,0),1)</f>
        <v/>
      </c>
      <c r="M13" s="32">
        <f>IFERROR(Capacity_Usage!N13/Capacity_Usage!L13,0)</f>
        <v/>
      </c>
      <c r="N13" s="32">
        <f>MIN(MAX(M13,0),1)</f>
        <v/>
      </c>
      <c r="O13" s="32">
        <f>Capacity_Usage!E13/3</f>
        <v/>
      </c>
      <c r="P13" s="32">
        <f>MIN(MAX(O13,0),1)</f>
        <v/>
      </c>
      <c r="Q13" s="32">
        <f>Policy!$B$2*H13+Policy!$B$3*J13+Policy!$B$4*L13+Policy!$B$5*N13+Policy!$B$6*P13</f>
        <v/>
      </c>
      <c r="R13" s="11">
        <f>IF(AND(C13=1,D13=1,E13=1,A13&lt;&gt;Scoring_Prod!$U$3),Q13,-1)</f>
        <v/>
      </c>
      <c r="S13" s="11">
        <f>IF(R13&lt;0,"",COUNTIF($R$4:$R$17,"&gt;"&amp;R13)+1)</f>
        <v/>
      </c>
    </row>
    <row r="14">
      <c r="A14" s="11">
        <f>Capacity_Usage!B14</f>
        <v/>
      </c>
      <c r="B14" s="11">
        <f>Capacity_Usage!C14</f>
        <v/>
      </c>
      <c r="C14" s="11">
        <f>IF(Capacity_Usage!C14=Setup!$B$3,1,0)</f>
        <v/>
      </c>
      <c r="D14" s="11">
        <f>IF(HC_Gate!K14="YES",1,0)</f>
        <v/>
      </c>
      <c r="E14" s="11">
        <f>IF(OR(Capacity_Usage!V14="Standard",Capacity_Usage!B14=Setup!$B$8),1,0)</f>
        <v/>
      </c>
      <c r="F14" s="11">
        <f>SUMIFS(Capacity_Usage!$U$4:$U$17,Capacity_Usage!$C$4:$C$17,Capacity_Usage!C14)</f>
        <v/>
      </c>
      <c r="G14" s="32">
        <f>IFERROR(Capacity_Usage!N14/Capacity_Usage!L14,0)</f>
        <v/>
      </c>
      <c r="H14" s="32">
        <f>MIN(MAX(G14,0),1)</f>
        <v/>
      </c>
      <c r="I14" s="32">
        <f>IFERROR(Capacity_Usage!Q14/Capacity_Usage!O14,0)</f>
        <v/>
      </c>
      <c r="J14" s="32">
        <f>MIN(MAX(I14,0),1)</f>
        <v/>
      </c>
      <c r="K14" s="32">
        <f>IF(F14=0,Policy!$B$11,1-Capacity_Usage!U14/F14)</f>
        <v/>
      </c>
      <c r="L14" s="32">
        <f>MIN(MAX(K14,0),1)</f>
        <v/>
      </c>
      <c r="M14" s="32">
        <f>IFERROR(Capacity_Usage!N14/Capacity_Usage!L14,0)</f>
        <v/>
      </c>
      <c r="N14" s="32">
        <f>MIN(MAX(M14,0),1)</f>
        <v/>
      </c>
      <c r="O14" s="32">
        <f>Capacity_Usage!E14/3</f>
        <v/>
      </c>
      <c r="P14" s="32">
        <f>MIN(MAX(O14,0),1)</f>
        <v/>
      </c>
      <c r="Q14" s="32">
        <f>Policy!$B$2*H14+Policy!$B$3*J14+Policy!$B$4*L14+Policy!$B$5*N14+Policy!$B$6*P14</f>
        <v/>
      </c>
      <c r="R14" s="11">
        <f>IF(AND(C14=1,D14=1,E14=1,A14&lt;&gt;Scoring_Prod!$U$3),Q14,-1)</f>
        <v/>
      </c>
      <c r="S14" s="11">
        <f>IF(R14&lt;0,"",COUNTIF($R$4:$R$17,"&gt;"&amp;R14)+1)</f>
        <v/>
      </c>
    </row>
    <row r="15">
      <c r="A15" s="11">
        <f>Capacity_Usage!B15</f>
        <v/>
      </c>
      <c r="B15" s="11">
        <f>Capacity_Usage!C15</f>
        <v/>
      </c>
      <c r="C15" s="11">
        <f>IF(Capacity_Usage!C15=Setup!$B$3,1,0)</f>
        <v/>
      </c>
      <c r="D15" s="11">
        <f>IF(HC_Gate!K15="YES",1,0)</f>
        <v/>
      </c>
      <c r="E15" s="11">
        <f>IF(OR(Capacity_Usage!V15="Standard",Capacity_Usage!B15=Setup!$B$8),1,0)</f>
        <v/>
      </c>
      <c r="F15" s="11">
        <f>SUMIFS(Capacity_Usage!$U$4:$U$17,Capacity_Usage!$C$4:$C$17,Capacity_Usage!C15)</f>
        <v/>
      </c>
      <c r="G15" s="32">
        <f>IFERROR(Capacity_Usage!N15/Capacity_Usage!L15,0)</f>
        <v/>
      </c>
      <c r="H15" s="32">
        <f>MIN(MAX(G15,0),1)</f>
        <v/>
      </c>
      <c r="I15" s="32">
        <f>IFERROR(Capacity_Usage!Q15/Capacity_Usage!O15,0)</f>
        <v/>
      </c>
      <c r="J15" s="32">
        <f>MIN(MAX(I15,0),1)</f>
        <v/>
      </c>
      <c r="K15" s="32">
        <f>IF(F15=0,Policy!$B$11,1-Capacity_Usage!U15/F15)</f>
        <v/>
      </c>
      <c r="L15" s="32">
        <f>MIN(MAX(K15,0),1)</f>
        <v/>
      </c>
      <c r="M15" s="32">
        <f>IFERROR(Capacity_Usage!N15/Capacity_Usage!L15,0)</f>
        <v/>
      </c>
      <c r="N15" s="32">
        <f>MIN(MAX(M15,0),1)</f>
        <v/>
      </c>
      <c r="O15" s="32">
        <f>Capacity_Usage!E15/3</f>
        <v/>
      </c>
      <c r="P15" s="32">
        <f>MIN(MAX(O15,0),1)</f>
        <v/>
      </c>
      <c r="Q15" s="32">
        <f>Policy!$B$2*H15+Policy!$B$3*J15+Policy!$B$4*L15+Policy!$B$5*N15+Policy!$B$6*P15</f>
        <v/>
      </c>
      <c r="R15" s="11">
        <f>IF(AND(C15=1,D15=1,E15=1,A15&lt;&gt;Scoring_Prod!$U$3),Q15,-1)</f>
        <v/>
      </c>
      <c r="S15" s="11">
        <f>IF(R15&lt;0,"",COUNTIF($R$4:$R$17,"&gt;"&amp;R15)+1)</f>
        <v/>
      </c>
    </row>
    <row r="16">
      <c r="A16" s="11">
        <f>Capacity_Usage!B16</f>
        <v/>
      </c>
      <c r="B16" s="11">
        <f>Capacity_Usage!C16</f>
        <v/>
      </c>
      <c r="C16" s="11">
        <f>IF(Capacity_Usage!C16=Setup!$B$3,1,0)</f>
        <v/>
      </c>
      <c r="D16" s="11">
        <f>IF(HC_Gate!K16="YES",1,0)</f>
        <v/>
      </c>
      <c r="E16" s="11">
        <f>IF(OR(Capacity_Usage!V16="Standard",Capacity_Usage!B16=Setup!$B$8),1,0)</f>
        <v/>
      </c>
      <c r="F16" s="11">
        <f>SUMIFS(Capacity_Usage!$U$4:$U$17,Capacity_Usage!$C$4:$C$17,Capacity_Usage!C16)</f>
        <v/>
      </c>
      <c r="G16" s="32">
        <f>IFERROR(Capacity_Usage!N16/Capacity_Usage!L16,0)</f>
        <v/>
      </c>
      <c r="H16" s="32">
        <f>MIN(MAX(G16,0),1)</f>
        <v/>
      </c>
      <c r="I16" s="32">
        <f>IFERROR(Capacity_Usage!Q16/Capacity_Usage!O16,0)</f>
        <v/>
      </c>
      <c r="J16" s="32">
        <f>MIN(MAX(I16,0),1)</f>
        <v/>
      </c>
      <c r="K16" s="32">
        <f>IF(F16=0,Policy!$B$11,1-Capacity_Usage!U16/F16)</f>
        <v/>
      </c>
      <c r="L16" s="32">
        <f>MIN(MAX(K16,0),1)</f>
        <v/>
      </c>
      <c r="M16" s="32">
        <f>IFERROR(Capacity_Usage!N16/Capacity_Usage!L16,0)</f>
        <v/>
      </c>
      <c r="N16" s="32">
        <f>MIN(MAX(M16,0),1)</f>
        <v/>
      </c>
      <c r="O16" s="32">
        <f>Capacity_Usage!E16/3</f>
        <v/>
      </c>
      <c r="P16" s="32">
        <f>MIN(MAX(O16,0),1)</f>
        <v/>
      </c>
      <c r="Q16" s="32">
        <f>Policy!$B$2*H16+Policy!$B$3*J16+Policy!$B$4*L16+Policy!$B$5*N16+Policy!$B$6*P16</f>
        <v/>
      </c>
      <c r="R16" s="11">
        <f>IF(AND(C16=1,D16=1,E16=1,A16&lt;&gt;Scoring_Prod!$U$3),Q16,-1)</f>
        <v/>
      </c>
      <c r="S16" s="11">
        <f>IF(R16&lt;0,"",COUNTIF($R$4:$R$17,"&gt;"&amp;R16)+1)</f>
        <v/>
      </c>
    </row>
    <row r="17">
      <c r="A17" s="11">
        <f>Capacity_Usage!B17</f>
        <v/>
      </c>
      <c r="B17" s="11">
        <f>Capacity_Usage!C17</f>
        <v/>
      </c>
      <c r="C17" s="11">
        <f>IF(Capacity_Usage!C17=Setup!$B$3,1,0)</f>
        <v/>
      </c>
      <c r="D17" s="11">
        <f>IF(HC_Gate!K17="YES",1,0)</f>
        <v/>
      </c>
      <c r="E17" s="11">
        <f>IF(OR(Capacity_Usage!V17="Standard",Capacity_Usage!B17=Setup!$B$8),1,0)</f>
        <v/>
      </c>
      <c r="F17" s="11">
        <f>SUMIFS(Capacity_Usage!$U$4:$U$17,Capacity_Usage!$C$4:$C$17,Capacity_Usage!C17)</f>
        <v/>
      </c>
      <c r="G17" s="32">
        <f>IFERROR(Capacity_Usage!N17/Capacity_Usage!L17,0)</f>
        <v/>
      </c>
      <c r="H17" s="32">
        <f>MIN(MAX(G17,0),1)</f>
        <v/>
      </c>
      <c r="I17" s="32">
        <f>IFERROR(Capacity_Usage!Q17/Capacity_Usage!O17,0)</f>
        <v/>
      </c>
      <c r="J17" s="32">
        <f>MIN(MAX(I17,0),1)</f>
        <v/>
      </c>
      <c r="K17" s="32">
        <f>IF(F17=0,Policy!$B$11,1-Capacity_Usage!U17/F17)</f>
        <v/>
      </c>
      <c r="L17" s="32">
        <f>MIN(MAX(K17,0),1)</f>
        <v/>
      </c>
      <c r="M17" s="32">
        <f>IFERROR(Capacity_Usage!N17/Capacity_Usage!L17,0)</f>
        <v/>
      </c>
      <c r="N17" s="32">
        <f>MIN(MAX(M17,0),1)</f>
        <v/>
      </c>
      <c r="O17" s="32">
        <f>Capacity_Usage!E17/3</f>
        <v/>
      </c>
      <c r="P17" s="32">
        <f>MIN(MAX(O17,0),1)</f>
        <v/>
      </c>
      <c r="Q17" s="32">
        <f>Policy!$B$2*H17+Policy!$B$3*J17+Policy!$B$4*L17+Policy!$B$5*N17+Policy!$B$6*P17</f>
        <v/>
      </c>
      <c r="R17" s="11">
        <f>IF(AND(C17=1,D17=1,E17=1,A17&lt;&gt;Scoring_Prod!$U$3),Q17,-1)</f>
        <v/>
      </c>
      <c r="S17" s="11">
        <f>IF(R17&lt;0,"",COUNTIF($R$4:$R$17,"&gt;"&amp;R17)+1)</f>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U17"/>
  <sheetViews>
    <sheetView showGridLines="0" workbookViewId="0">
      <selection activeCell="A1" sqref="A1"/>
    </sheetView>
  </sheetViews>
  <sheetFormatPr baseColWidth="8" defaultRowHeight="15"/>
  <cols>
    <col width="20" customWidth="1" min="1" max="1"/>
    <col width="13"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16" customWidth="1" min="20" max="20"/>
    <col width="18" customWidth="1" min="21" max="21"/>
  </cols>
  <sheetData>
    <row r="1">
      <c r="A1" s="8" t="inlineStr">
        <is>
          <t>PS_DR — DR Placement Score  (Middle East scores EU regions cross-geo)</t>
        </is>
      </c>
      <c r="T1" s="25" t="inlineStr">
        <is>
          <t>DR WINNER</t>
        </is>
      </c>
    </row>
    <row r="2">
      <c r="T2" s="14" t="inlineStr">
        <is>
          <t>Region</t>
        </is>
      </c>
      <c r="U2">
        <f>IF(Setup!$B$10="2-region",Scoring_CVAL!$U$2,IF(MAX(R4:R17)&lt;0,"NONE ELIGIBLE",INDEX(A4:A17,MATCH(MAX(R4:R17),R4:R17,0))))</f>
        <v/>
      </c>
    </row>
    <row r="3">
      <c r="A3" s="10" t="inlineStr">
        <is>
          <t>Region</t>
        </is>
      </c>
      <c r="B3" s="10" t="inlineStr">
        <is>
          <t>Geography</t>
        </is>
      </c>
      <c r="C3" s="10" t="inlineStr">
        <is>
          <t>InScope</t>
        </is>
      </c>
      <c r="D3" s="10" t="inlineStr">
        <is>
          <t>Eligible</t>
        </is>
      </c>
      <c r="E3" s="10" t="inlineStr">
        <is>
          <t>AutoSel</t>
        </is>
      </c>
      <c r="F3" s="10" t="inlineStr">
        <is>
          <t>total_cust</t>
        </is>
      </c>
      <c r="G3" s="10" t="inlineStr">
        <is>
          <t>α_raw</t>
        </is>
      </c>
      <c r="H3" s="10" t="inlineStr">
        <is>
          <t>α_c</t>
        </is>
      </c>
      <c r="I3" s="10" t="inlineStr">
        <is>
          <t>β_raw</t>
        </is>
      </c>
      <c r="J3" s="10" t="inlineStr">
        <is>
          <t>β_c</t>
        </is>
      </c>
      <c r="K3" s="10" t="inlineStr">
        <is>
          <t>γ_raw</t>
        </is>
      </c>
      <c r="L3" s="10" t="inlineStr">
        <is>
          <t>γ_c</t>
        </is>
      </c>
      <c r="M3" s="10" t="inlineStr">
        <is>
          <t>δ_raw</t>
        </is>
      </c>
      <c r="N3" s="10" t="inlineStr">
        <is>
          <t>δ_c</t>
        </is>
      </c>
      <c r="O3" s="10" t="inlineStr">
        <is>
          <t>ε_raw</t>
        </is>
      </c>
      <c r="P3" s="10" t="inlineStr">
        <is>
          <t>ε_c</t>
        </is>
      </c>
      <c r="Q3" s="10" t="inlineStr">
        <is>
          <t>PS</t>
        </is>
      </c>
      <c r="R3" s="10" t="inlineStr">
        <is>
          <t>Candidate</t>
        </is>
      </c>
      <c r="S3" s="10" t="inlineStr">
        <is>
          <t>Rank</t>
        </is>
      </c>
      <c r="T3" s="14" t="inlineStr">
        <is>
          <t>Score</t>
        </is>
      </c>
      <c r="U3" s="33">
        <f>IF(Setup!$B$10="2-region",Scoring_CVAL!$U$3,IF(MAX(R4:R17)&lt;0,"",MAX(R4:R17)))</f>
        <v/>
      </c>
    </row>
    <row r="4">
      <c r="A4" s="11">
        <f>Capacity_Usage!B4</f>
        <v/>
      </c>
      <c r="B4" s="11">
        <f>Capacity_Usage!C4</f>
        <v/>
      </c>
      <c r="C4" s="11">
        <f>IF(Capacity_Usage!C4=Setup!$B$11,1,0)</f>
        <v/>
      </c>
      <c r="D4" s="11">
        <f>IF(HC_Gate!L4="YES",1,0)</f>
        <v/>
      </c>
      <c r="E4" s="11">
        <f>IF(OR(Capacity_Usage!V4="Standard",Capacity_Usage!B4=Setup!$B$8),1,0)</f>
        <v/>
      </c>
      <c r="F4" s="11">
        <f>SUMIFS(Capacity_Usage!$U$4:$U$17,Capacity_Usage!$C$4:$C$17,Capacity_Usage!C4)</f>
        <v/>
      </c>
      <c r="G4" s="32">
        <f>IFERROR(Capacity_Usage!S4/Capacity_Usage!R4,0)</f>
        <v/>
      </c>
      <c r="H4" s="32">
        <f>MIN(MAX(G4,0),1)</f>
        <v/>
      </c>
      <c r="I4" s="32">
        <f>IFERROR(Capacity_Usage!Q4/Capacity_Usage!O4,0)</f>
        <v/>
      </c>
      <c r="J4" s="32">
        <f>MIN(MAX(I4,0),1)</f>
        <v/>
      </c>
      <c r="K4" s="32">
        <f>IF(F4=0,Policy!$B$11,1-Capacity_Usage!U4/F4)</f>
        <v/>
      </c>
      <c r="L4" s="32">
        <f>MIN(MAX(K4,0),1)</f>
        <v/>
      </c>
      <c r="M4" s="32">
        <f>IFERROR(Capacity_Usage!T4/Policy!$B$14,0)</f>
        <v/>
      </c>
      <c r="N4" s="32">
        <f>MIN(MAX(M4,0),1)</f>
        <v/>
      </c>
      <c r="O4" s="32">
        <f>Capacity_Usage!E4/3</f>
        <v/>
      </c>
      <c r="P4" s="32">
        <f>MIN(MAX(O4,0),1)</f>
        <v/>
      </c>
      <c r="Q4" s="32">
        <f>Policy!$B$2*H4+Policy!$B$3*J4+Policy!$B$4*L4+Policy!$B$5*N4+Policy!$B$6*P4</f>
        <v/>
      </c>
      <c r="R4" s="11">
        <f>IF(AND(C4=1,D4=1,E4=1,A4&lt;&gt;Scoring_Prod!$U$3),Q4,-1)</f>
        <v/>
      </c>
      <c r="S4" s="11">
        <f>IF(R4&lt;0,"",COUNTIF($R$4:$R$17,"&gt;"&amp;R4)+1)</f>
        <v/>
      </c>
    </row>
    <row r="5">
      <c r="A5" s="11">
        <f>Capacity_Usage!B5</f>
        <v/>
      </c>
      <c r="B5" s="11">
        <f>Capacity_Usage!C5</f>
        <v/>
      </c>
      <c r="C5" s="11">
        <f>IF(Capacity_Usage!C5=Setup!$B$11,1,0)</f>
        <v/>
      </c>
      <c r="D5" s="11">
        <f>IF(HC_Gate!L5="YES",1,0)</f>
        <v/>
      </c>
      <c r="E5" s="11">
        <f>IF(OR(Capacity_Usage!V5="Standard",Capacity_Usage!B5=Setup!$B$8),1,0)</f>
        <v/>
      </c>
      <c r="F5" s="11">
        <f>SUMIFS(Capacity_Usage!$U$4:$U$17,Capacity_Usage!$C$4:$C$17,Capacity_Usage!C5)</f>
        <v/>
      </c>
      <c r="G5" s="32">
        <f>IFERROR(Capacity_Usage!S5/Capacity_Usage!R5,0)</f>
        <v/>
      </c>
      <c r="H5" s="32">
        <f>MIN(MAX(G5,0),1)</f>
        <v/>
      </c>
      <c r="I5" s="32">
        <f>IFERROR(Capacity_Usage!Q5/Capacity_Usage!O5,0)</f>
        <v/>
      </c>
      <c r="J5" s="32">
        <f>MIN(MAX(I5,0),1)</f>
        <v/>
      </c>
      <c r="K5" s="32">
        <f>IF(F5=0,Policy!$B$11,1-Capacity_Usage!U5/F5)</f>
        <v/>
      </c>
      <c r="L5" s="32">
        <f>MIN(MAX(K5,0),1)</f>
        <v/>
      </c>
      <c r="M5" s="32">
        <f>IFERROR(Capacity_Usage!T5/Policy!$B$14,0)</f>
        <v/>
      </c>
      <c r="N5" s="32">
        <f>MIN(MAX(M5,0),1)</f>
        <v/>
      </c>
      <c r="O5" s="32">
        <f>Capacity_Usage!E5/3</f>
        <v/>
      </c>
      <c r="P5" s="32">
        <f>MIN(MAX(O5,0),1)</f>
        <v/>
      </c>
      <c r="Q5" s="32">
        <f>Policy!$B$2*H5+Policy!$B$3*J5+Policy!$B$4*L5+Policy!$B$5*N5+Policy!$B$6*P5</f>
        <v/>
      </c>
      <c r="R5" s="11">
        <f>IF(AND(C5=1,D5=1,E5=1,A5&lt;&gt;Scoring_Prod!$U$3),Q5,-1)</f>
        <v/>
      </c>
      <c r="S5" s="11">
        <f>IF(R5&lt;0,"",COUNTIF($R$4:$R$17,"&gt;"&amp;R5)+1)</f>
        <v/>
      </c>
    </row>
    <row r="6">
      <c r="A6" s="11">
        <f>Capacity_Usage!B6</f>
        <v/>
      </c>
      <c r="B6" s="11">
        <f>Capacity_Usage!C6</f>
        <v/>
      </c>
      <c r="C6" s="11">
        <f>IF(Capacity_Usage!C6=Setup!$B$11,1,0)</f>
        <v/>
      </c>
      <c r="D6" s="11">
        <f>IF(HC_Gate!L6="YES",1,0)</f>
        <v/>
      </c>
      <c r="E6" s="11">
        <f>IF(OR(Capacity_Usage!V6="Standard",Capacity_Usage!B6=Setup!$B$8),1,0)</f>
        <v/>
      </c>
      <c r="F6" s="11">
        <f>SUMIFS(Capacity_Usage!$U$4:$U$17,Capacity_Usage!$C$4:$C$17,Capacity_Usage!C6)</f>
        <v/>
      </c>
      <c r="G6" s="32">
        <f>IFERROR(Capacity_Usage!S6/Capacity_Usage!R6,0)</f>
        <v/>
      </c>
      <c r="H6" s="32">
        <f>MIN(MAX(G6,0),1)</f>
        <v/>
      </c>
      <c r="I6" s="32">
        <f>IFERROR(Capacity_Usage!Q6/Capacity_Usage!O6,0)</f>
        <v/>
      </c>
      <c r="J6" s="32">
        <f>MIN(MAX(I6,0),1)</f>
        <v/>
      </c>
      <c r="K6" s="32">
        <f>IF(F6=0,Policy!$B$11,1-Capacity_Usage!U6/F6)</f>
        <v/>
      </c>
      <c r="L6" s="32">
        <f>MIN(MAX(K6,0),1)</f>
        <v/>
      </c>
      <c r="M6" s="32">
        <f>IFERROR(Capacity_Usage!T6/Policy!$B$14,0)</f>
        <v/>
      </c>
      <c r="N6" s="32">
        <f>MIN(MAX(M6,0),1)</f>
        <v/>
      </c>
      <c r="O6" s="32">
        <f>Capacity_Usage!E6/3</f>
        <v/>
      </c>
      <c r="P6" s="32">
        <f>MIN(MAX(O6,0),1)</f>
        <v/>
      </c>
      <c r="Q6" s="32">
        <f>Policy!$B$2*H6+Policy!$B$3*J6+Policy!$B$4*L6+Policy!$B$5*N6+Policy!$B$6*P6</f>
        <v/>
      </c>
      <c r="R6" s="11">
        <f>IF(AND(C6=1,D6=1,E6=1,A6&lt;&gt;Scoring_Prod!$U$3),Q6,-1)</f>
        <v/>
      </c>
      <c r="S6" s="11">
        <f>IF(R6&lt;0,"",COUNTIF($R$4:$R$17,"&gt;"&amp;R6)+1)</f>
        <v/>
      </c>
    </row>
    <row r="7">
      <c r="A7" s="11">
        <f>Capacity_Usage!B7</f>
        <v/>
      </c>
      <c r="B7" s="11">
        <f>Capacity_Usage!C7</f>
        <v/>
      </c>
      <c r="C7" s="11">
        <f>IF(Capacity_Usage!C7=Setup!$B$11,1,0)</f>
        <v/>
      </c>
      <c r="D7" s="11">
        <f>IF(HC_Gate!L7="YES",1,0)</f>
        <v/>
      </c>
      <c r="E7" s="11">
        <f>IF(OR(Capacity_Usage!V7="Standard",Capacity_Usage!B7=Setup!$B$8),1,0)</f>
        <v/>
      </c>
      <c r="F7" s="11">
        <f>SUMIFS(Capacity_Usage!$U$4:$U$17,Capacity_Usage!$C$4:$C$17,Capacity_Usage!C7)</f>
        <v/>
      </c>
      <c r="G7" s="32">
        <f>IFERROR(Capacity_Usage!S7/Capacity_Usage!R7,0)</f>
        <v/>
      </c>
      <c r="H7" s="32">
        <f>MIN(MAX(G7,0),1)</f>
        <v/>
      </c>
      <c r="I7" s="32">
        <f>IFERROR(Capacity_Usage!Q7/Capacity_Usage!O7,0)</f>
        <v/>
      </c>
      <c r="J7" s="32">
        <f>MIN(MAX(I7,0),1)</f>
        <v/>
      </c>
      <c r="K7" s="32">
        <f>IF(F7=0,Policy!$B$11,1-Capacity_Usage!U7/F7)</f>
        <v/>
      </c>
      <c r="L7" s="32">
        <f>MIN(MAX(K7,0),1)</f>
        <v/>
      </c>
      <c r="M7" s="32">
        <f>IFERROR(Capacity_Usage!T7/Policy!$B$14,0)</f>
        <v/>
      </c>
      <c r="N7" s="32">
        <f>MIN(MAX(M7,0),1)</f>
        <v/>
      </c>
      <c r="O7" s="32">
        <f>Capacity_Usage!E7/3</f>
        <v/>
      </c>
      <c r="P7" s="32">
        <f>MIN(MAX(O7,0),1)</f>
        <v/>
      </c>
      <c r="Q7" s="32">
        <f>Policy!$B$2*H7+Policy!$B$3*J7+Policy!$B$4*L7+Policy!$B$5*N7+Policy!$B$6*P7</f>
        <v/>
      </c>
      <c r="R7" s="11">
        <f>IF(AND(C7=1,D7=1,E7=1,A7&lt;&gt;Scoring_Prod!$U$3),Q7,-1)</f>
        <v/>
      </c>
      <c r="S7" s="11">
        <f>IF(R7&lt;0,"",COUNTIF($R$4:$R$17,"&gt;"&amp;R7)+1)</f>
        <v/>
      </c>
    </row>
    <row r="8">
      <c r="A8" s="11">
        <f>Capacity_Usage!B8</f>
        <v/>
      </c>
      <c r="B8" s="11">
        <f>Capacity_Usage!C8</f>
        <v/>
      </c>
      <c r="C8" s="11">
        <f>IF(Capacity_Usage!C8=Setup!$B$11,1,0)</f>
        <v/>
      </c>
      <c r="D8" s="11">
        <f>IF(HC_Gate!L8="YES",1,0)</f>
        <v/>
      </c>
      <c r="E8" s="11">
        <f>IF(OR(Capacity_Usage!V8="Standard",Capacity_Usage!B8=Setup!$B$8),1,0)</f>
        <v/>
      </c>
      <c r="F8" s="11">
        <f>SUMIFS(Capacity_Usage!$U$4:$U$17,Capacity_Usage!$C$4:$C$17,Capacity_Usage!C8)</f>
        <v/>
      </c>
      <c r="G8" s="32">
        <f>IFERROR(Capacity_Usage!S8/Capacity_Usage!R8,0)</f>
        <v/>
      </c>
      <c r="H8" s="32">
        <f>MIN(MAX(G8,0),1)</f>
        <v/>
      </c>
      <c r="I8" s="32">
        <f>IFERROR(Capacity_Usage!Q8/Capacity_Usage!O8,0)</f>
        <v/>
      </c>
      <c r="J8" s="32">
        <f>MIN(MAX(I8,0),1)</f>
        <v/>
      </c>
      <c r="K8" s="32">
        <f>IF(F8=0,Policy!$B$11,1-Capacity_Usage!U8/F8)</f>
        <v/>
      </c>
      <c r="L8" s="32">
        <f>MIN(MAX(K8,0),1)</f>
        <v/>
      </c>
      <c r="M8" s="32">
        <f>IFERROR(Capacity_Usage!T8/Policy!$B$14,0)</f>
        <v/>
      </c>
      <c r="N8" s="32">
        <f>MIN(MAX(M8,0),1)</f>
        <v/>
      </c>
      <c r="O8" s="32">
        <f>Capacity_Usage!E8/3</f>
        <v/>
      </c>
      <c r="P8" s="32">
        <f>MIN(MAX(O8,0),1)</f>
        <v/>
      </c>
      <c r="Q8" s="32">
        <f>Policy!$B$2*H8+Policy!$B$3*J8+Policy!$B$4*L8+Policy!$B$5*N8+Policy!$B$6*P8</f>
        <v/>
      </c>
      <c r="R8" s="11">
        <f>IF(AND(C8=1,D8=1,E8=1,A8&lt;&gt;Scoring_Prod!$U$3),Q8,-1)</f>
        <v/>
      </c>
      <c r="S8" s="11">
        <f>IF(R8&lt;0,"",COUNTIF($R$4:$R$17,"&gt;"&amp;R8)+1)</f>
        <v/>
      </c>
    </row>
    <row r="9">
      <c r="A9" s="11">
        <f>Capacity_Usage!B9</f>
        <v/>
      </c>
      <c r="B9" s="11">
        <f>Capacity_Usage!C9</f>
        <v/>
      </c>
      <c r="C9" s="11">
        <f>IF(Capacity_Usage!C9=Setup!$B$11,1,0)</f>
        <v/>
      </c>
      <c r="D9" s="11">
        <f>IF(HC_Gate!L9="YES",1,0)</f>
        <v/>
      </c>
      <c r="E9" s="11">
        <f>IF(OR(Capacity_Usage!V9="Standard",Capacity_Usage!B9=Setup!$B$8),1,0)</f>
        <v/>
      </c>
      <c r="F9" s="11">
        <f>SUMIFS(Capacity_Usage!$U$4:$U$17,Capacity_Usage!$C$4:$C$17,Capacity_Usage!C9)</f>
        <v/>
      </c>
      <c r="G9" s="32">
        <f>IFERROR(Capacity_Usage!S9/Capacity_Usage!R9,0)</f>
        <v/>
      </c>
      <c r="H9" s="32">
        <f>MIN(MAX(G9,0),1)</f>
        <v/>
      </c>
      <c r="I9" s="32">
        <f>IFERROR(Capacity_Usage!Q9/Capacity_Usage!O9,0)</f>
        <v/>
      </c>
      <c r="J9" s="32">
        <f>MIN(MAX(I9,0),1)</f>
        <v/>
      </c>
      <c r="K9" s="32">
        <f>IF(F9=0,Policy!$B$11,1-Capacity_Usage!U9/F9)</f>
        <v/>
      </c>
      <c r="L9" s="32">
        <f>MIN(MAX(K9,0),1)</f>
        <v/>
      </c>
      <c r="M9" s="32">
        <f>IFERROR(Capacity_Usage!T9/Policy!$B$14,0)</f>
        <v/>
      </c>
      <c r="N9" s="32">
        <f>MIN(MAX(M9,0),1)</f>
        <v/>
      </c>
      <c r="O9" s="32">
        <f>Capacity_Usage!E9/3</f>
        <v/>
      </c>
      <c r="P9" s="32">
        <f>MIN(MAX(O9,0),1)</f>
        <v/>
      </c>
      <c r="Q9" s="32">
        <f>Policy!$B$2*H9+Policy!$B$3*J9+Policy!$B$4*L9+Policy!$B$5*N9+Policy!$B$6*P9</f>
        <v/>
      </c>
      <c r="R9" s="11">
        <f>IF(AND(C9=1,D9=1,E9=1,A9&lt;&gt;Scoring_Prod!$U$3),Q9,-1)</f>
        <v/>
      </c>
      <c r="S9" s="11">
        <f>IF(R9&lt;0,"",COUNTIF($R$4:$R$17,"&gt;"&amp;R9)+1)</f>
        <v/>
      </c>
    </row>
    <row r="10">
      <c r="A10" s="11">
        <f>Capacity_Usage!B10</f>
        <v/>
      </c>
      <c r="B10" s="11">
        <f>Capacity_Usage!C10</f>
        <v/>
      </c>
      <c r="C10" s="11">
        <f>IF(Capacity_Usage!C10=Setup!$B$11,1,0)</f>
        <v/>
      </c>
      <c r="D10" s="11">
        <f>IF(HC_Gate!L10="YES",1,0)</f>
        <v/>
      </c>
      <c r="E10" s="11">
        <f>IF(OR(Capacity_Usage!V10="Standard",Capacity_Usage!B10=Setup!$B$8),1,0)</f>
        <v/>
      </c>
      <c r="F10" s="11">
        <f>SUMIFS(Capacity_Usage!$U$4:$U$17,Capacity_Usage!$C$4:$C$17,Capacity_Usage!C10)</f>
        <v/>
      </c>
      <c r="G10" s="32">
        <f>IFERROR(Capacity_Usage!S10/Capacity_Usage!R10,0)</f>
        <v/>
      </c>
      <c r="H10" s="32">
        <f>MIN(MAX(G10,0),1)</f>
        <v/>
      </c>
      <c r="I10" s="32">
        <f>IFERROR(Capacity_Usage!Q10/Capacity_Usage!O10,0)</f>
        <v/>
      </c>
      <c r="J10" s="32">
        <f>MIN(MAX(I10,0),1)</f>
        <v/>
      </c>
      <c r="K10" s="32">
        <f>IF(F10=0,Policy!$B$11,1-Capacity_Usage!U10/F10)</f>
        <v/>
      </c>
      <c r="L10" s="32">
        <f>MIN(MAX(K10,0),1)</f>
        <v/>
      </c>
      <c r="M10" s="32">
        <f>IFERROR(Capacity_Usage!T10/Policy!$B$14,0)</f>
        <v/>
      </c>
      <c r="N10" s="32">
        <f>MIN(MAX(M10,0),1)</f>
        <v/>
      </c>
      <c r="O10" s="32">
        <f>Capacity_Usage!E10/3</f>
        <v/>
      </c>
      <c r="P10" s="32">
        <f>MIN(MAX(O10,0),1)</f>
        <v/>
      </c>
      <c r="Q10" s="32">
        <f>Policy!$B$2*H10+Policy!$B$3*J10+Policy!$B$4*L10+Policy!$B$5*N10+Policy!$B$6*P10</f>
        <v/>
      </c>
      <c r="R10" s="11">
        <f>IF(AND(C10=1,D10=1,E10=1,A10&lt;&gt;Scoring_Prod!$U$3),Q10,-1)</f>
        <v/>
      </c>
      <c r="S10" s="11">
        <f>IF(R10&lt;0,"",COUNTIF($R$4:$R$17,"&gt;"&amp;R10)+1)</f>
        <v/>
      </c>
    </row>
    <row r="11">
      <c r="A11" s="11">
        <f>Capacity_Usage!B11</f>
        <v/>
      </c>
      <c r="B11" s="11">
        <f>Capacity_Usage!C11</f>
        <v/>
      </c>
      <c r="C11" s="11">
        <f>IF(Capacity_Usage!C11=Setup!$B$11,1,0)</f>
        <v/>
      </c>
      <c r="D11" s="11">
        <f>IF(HC_Gate!L11="YES",1,0)</f>
        <v/>
      </c>
      <c r="E11" s="11">
        <f>IF(OR(Capacity_Usage!V11="Standard",Capacity_Usage!B11=Setup!$B$8),1,0)</f>
        <v/>
      </c>
      <c r="F11" s="11">
        <f>SUMIFS(Capacity_Usage!$U$4:$U$17,Capacity_Usage!$C$4:$C$17,Capacity_Usage!C11)</f>
        <v/>
      </c>
      <c r="G11" s="32">
        <f>IFERROR(Capacity_Usage!S11/Capacity_Usage!R11,0)</f>
        <v/>
      </c>
      <c r="H11" s="32">
        <f>MIN(MAX(G11,0),1)</f>
        <v/>
      </c>
      <c r="I11" s="32">
        <f>IFERROR(Capacity_Usage!Q11/Capacity_Usage!O11,0)</f>
        <v/>
      </c>
      <c r="J11" s="32">
        <f>MIN(MAX(I11,0),1)</f>
        <v/>
      </c>
      <c r="K11" s="32">
        <f>IF(F11=0,Policy!$B$11,1-Capacity_Usage!U11/F11)</f>
        <v/>
      </c>
      <c r="L11" s="32">
        <f>MIN(MAX(K11,0),1)</f>
        <v/>
      </c>
      <c r="M11" s="32">
        <f>IFERROR(Capacity_Usage!T11/Policy!$B$14,0)</f>
        <v/>
      </c>
      <c r="N11" s="32">
        <f>MIN(MAX(M11,0),1)</f>
        <v/>
      </c>
      <c r="O11" s="32">
        <f>Capacity_Usage!E11/3</f>
        <v/>
      </c>
      <c r="P11" s="32">
        <f>MIN(MAX(O11,0),1)</f>
        <v/>
      </c>
      <c r="Q11" s="32">
        <f>Policy!$B$2*H11+Policy!$B$3*J11+Policy!$B$4*L11+Policy!$B$5*N11+Policy!$B$6*P11</f>
        <v/>
      </c>
      <c r="R11" s="11">
        <f>IF(AND(C11=1,D11=1,E11=1,A11&lt;&gt;Scoring_Prod!$U$3),Q11,-1)</f>
        <v/>
      </c>
      <c r="S11" s="11">
        <f>IF(R11&lt;0,"",COUNTIF($R$4:$R$17,"&gt;"&amp;R11)+1)</f>
        <v/>
      </c>
    </row>
    <row r="12">
      <c r="A12" s="11">
        <f>Capacity_Usage!B12</f>
        <v/>
      </c>
      <c r="B12" s="11">
        <f>Capacity_Usage!C12</f>
        <v/>
      </c>
      <c r="C12" s="11">
        <f>IF(Capacity_Usage!C12=Setup!$B$11,1,0)</f>
        <v/>
      </c>
      <c r="D12" s="11">
        <f>IF(HC_Gate!L12="YES",1,0)</f>
        <v/>
      </c>
      <c r="E12" s="11">
        <f>IF(OR(Capacity_Usage!V12="Standard",Capacity_Usage!B12=Setup!$B$8),1,0)</f>
        <v/>
      </c>
      <c r="F12" s="11">
        <f>SUMIFS(Capacity_Usage!$U$4:$U$17,Capacity_Usage!$C$4:$C$17,Capacity_Usage!C12)</f>
        <v/>
      </c>
      <c r="G12" s="32">
        <f>IFERROR(Capacity_Usage!S12/Capacity_Usage!R12,0)</f>
        <v/>
      </c>
      <c r="H12" s="32">
        <f>MIN(MAX(G12,0),1)</f>
        <v/>
      </c>
      <c r="I12" s="32">
        <f>IFERROR(Capacity_Usage!Q12/Capacity_Usage!O12,0)</f>
        <v/>
      </c>
      <c r="J12" s="32">
        <f>MIN(MAX(I12,0),1)</f>
        <v/>
      </c>
      <c r="K12" s="32">
        <f>IF(F12=0,Policy!$B$11,1-Capacity_Usage!U12/F12)</f>
        <v/>
      </c>
      <c r="L12" s="32">
        <f>MIN(MAX(K12,0),1)</f>
        <v/>
      </c>
      <c r="M12" s="32">
        <f>IFERROR(Capacity_Usage!T12/Policy!$B$14,0)</f>
        <v/>
      </c>
      <c r="N12" s="32">
        <f>MIN(MAX(M12,0),1)</f>
        <v/>
      </c>
      <c r="O12" s="32">
        <f>Capacity_Usage!E12/3</f>
        <v/>
      </c>
      <c r="P12" s="32">
        <f>MIN(MAX(O12,0),1)</f>
        <v/>
      </c>
      <c r="Q12" s="32">
        <f>Policy!$B$2*H12+Policy!$B$3*J12+Policy!$B$4*L12+Policy!$B$5*N12+Policy!$B$6*P12</f>
        <v/>
      </c>
      <c r="R12" s="11">
        <f>IF(AND(C12=1,D12=1,E12=1,A12&lt;&gt;Scoring_Prod!$U$3),Q12,-1)</f>
        <v/>
      </c>
      <c r="S12" s="11">
        <f>IF(R12&lt;0,"",COUNTIF($R$4:$R$17,"&gt;"&amp;R12)+1)</f>
        <v/>
      </c>
    </row>
    <row r="13">
      <c r="A13" s="11">
        <f>Capacity_Usage!B13</f>
        <v/>
      </c>
      <c r="B13" s="11">
        <f>Capacity_Usage!C13</f>
        <v/>
      </c>
      <c r="C13" s="11">
        <f>IF(Capacity_Usage!C13=Setup!$B$11,1,0)</f>
        <v/>
      </c>
      <c r="D13" s="11">
        <f>IF(HC_Gate!L13="YES",1,0)</f>
        <v/>
      </c>
      <c r="E13" s="11">
        <f>IF(OR(Capacity_Usage!V13="Standard",Capacity_Usage!B13=Setup!$B$8),1,0)</f>
        <v/>
      </c>
      <c r="F13" s="11">
        <f>SUMIFS(Capacity_Usage!$U$4:$U$17,Capacity_Usage!$C$4:$C$17,Capacity_Usage!C13)</f>
        <v/>
      </c>
      <c r="G13" s="32">
        <f>IFERROR(Capacity_Usage!S13/Capacity_Usage!R13,0)</f>
        <v/>
      </c>
      <c r="H13" s="32">
        <f>MIN(MAX(G13,0),1)</f>
        <v/>
      </c>
      <c r="I13" s="32">
        <f>IFERROR(Capacity_Usage!Q13/Capacity_Usage!O13,0)</f>
        <v/>
      </c>
      <c r="J13" s="32">
        <f>MIN(MAX(I13,0),1)</f>
        <v/>
      </c>
      <c r="K13" s="32">
        <f>IF(F13=0,Policy!$B$11,1-Capacity_Usage!U13/F13)</f>
        <v/>
      </c>
      <c r="L13" s="32">
        <f>MIN(MAX(K13,0),1)</f>
        <v/>
      </c>
      <c r="M13" s="32">
        <f>IFERROR(Capacity_Usage!T13/Policy!$B$14,0)</f>
        <v/>
      </c>
      <c r="N13" s="32">
        <f>MIN(MAX(M13,0),1)</f>
        <v/>
      </c>
      <c r="O13" s="32">
        <f>Capacity_Usage!E13/3</f>
        <v/>
      </c>
      <c r="P13" s="32">
        <f>MIN(MAX(O13,0),1)</f>
        <v/>
      </c>
      <c r="Q13" s="32">
        <f>Policy!$B$2*H13+Policy!$B$3*J13+Policy!$B$4*L13+Policy!$B$5*N13+Policy!$B$6*P13</f>
        <v/>
      </c>
      <c r="R13" s="11">
        <f>IF(AND(C13=1,D13=1,E13=1,A13&lt;&gt;Scoring_Prod!$U$3),Q13,-1)</f>
        <v/>
      </c>
      <c r="S13" s="11">
        <f>IF(R13&lt;0,"",COUNTIF($R$4:$R$17,"&gt;"&amp;R13)+1)</f>
        <v/>
      </c>
    </row>
    <row r="14">
      <c r="A14" s="11">
        <f>Capacity_Usage!B14</f>
        <v/>
      </c>
      <c r="B14" s="11">
        <f>Capacity_Usage!C14</f>
        <v/>
      </c>
      <c r="C14" s="11">
        <f>IF(Capacity_Usage!C14=Setup!$B$11,1,0)</f>
        <v/>
      </c>
      <c r="D14" s="11">
        <f>IF(HC_Gate!L14="YES",1,0)</f>
        <v/>
      </c>
      <c r="E14" s="11">
        <f>IF(OR(Capacity_Usage!V14="Standard",Capacity_Usage!B14=Setup!$B$8),1,0)</f>
        <v/>
      </c>
      <c r="F14" s="11">
        <f>SUMIFS(Capacity_Usage!$U$4:$U$17,Capacity_Usage!$C$4:$C$17,Capacity_Usage!C14)</f>
        <v/>
      </c>
      <c r="G14" s="32">
        <f>IFERROR(Capacity_Usage!S14/Capacity_Usage!R14,0)</f>
        <v/>
      </c>
      <c r="H14" s="32">
        <f>MIN(MAX(G14,0),1)</f>
        <v/>
      </c>
      <c r="I14" s="32">
        <f>IFERROR(Capacity_Usage!Q14/Capacity_Usage!O14,0)</f>
        <v/>
      </c>
      <c r="J14" s="32">
        <f>MIN(MAX(I14,0),1)</f>
        <v/>
      </c>
      <c r="K14" s="32">
        <f>IF(F14=0,Policy!$B$11,1-Capacity_Usage!U14/F14)</f>
        <v/>
      </c>
      <c r="L14" s="32">
        <f>MIN(MAX(K14,0),1)</f>
        <v/>
      </c>
      <c r="M14" s="32">
        <f>IFERROR(Capacity_Usage!T14/Policy!$B$14,0)</f>
        <v/>
      </c>
      <c r="N14" s="32">
        <f>MIN(MAX(M14,0),1)</f>
        <v/>
      </c>
      <c r="O14" s="32">
        <f>Capacity_Usage!E14/3</f>
        <v/>
      </c>
      <c r="P14" s="32">
        <f>MIN(MAX(O14,0),1)</f>
        <v/>
      </c>
      <c r="Q14" s="32">
        <f>Policy!$B$2*H14+Policy!$B$3*J14+Policy!$B$4*L14+Policy!$B$5*N14+Policy!$B$6*P14</f>
        <v/>
      </c>
      <c r="R14" s="11">
        <f>IF(AND(C14=1,D14=1,E14=1,A14&lt;&gt;Scoring_Prod!$U$3),Q14,-1)</f>
        <v/>
      </c>
      <c r="S14" s="11">
        <f>IF(R14&lt;0,"",COUNTIF($R$4:$R$17,"&gt;"&amp;R14)+1)</f>
        <v/>
      </c>
    </row>
    <row r="15">
      <c r="A15" s="11">
        <f>Capacity_Usage!B15</f>
        <v/>
      </c>
      <c r="B15" s="11">
        <f>Capacity_Usage!C15</f>
        <v/>
      </c>
      <c r="C15" s="11">
        <f>IF(Capacity_Usage!C15=Setup!$B$11,1,0)</f>
        <v/>
      </c>
      <c r="D15" s="11">
        <f>IF(HC_Gate!L15="YES",1,0)</f>
        <v/>
      </c>
      <c r="E15" s="11">
        <f>IF(OR(Capacity_Usage!V15="Standard",Capacity_Usage!B15=Setup!$B$8),1,0)</f>
        <v/>
      </c>
      <c r="F15" s="11">
        <f>SUMIFS(Capacity_Usage!$U$4:$U$17,Capacity_Usage!$C$4:$C$17,Capacity_Usage!C15)</f>
        <v/>
      </c>
      <c r="G15" s="32">
        <f>IFERROR(Capacity_Usage!S15/Capacity_Usage!R15,0)</f>
        <v/>
      </c>
      <c r="H15" s="32">
        <f>MIN(MAX(G15,0),1)</f>
        <v/>
      </c>
      <c r="I15" s="32">
        <f>IFERROR(Capacity_Usage!Q15/Capacity_Usage!O15,0)</f>
        <v/>
      </c>
      <c r="J15" s="32">
        <f>MIN(MAX(I15,0),1)</f>
        <v/>
      </c>
      <c r="K15" s="32">
        <f>IF(F15=0,Policy!$B$11,1-Capacity_Usage!U15/F15)</f>
        <v/>
      </c>
      <c r="L15" s="32">
        <f>MIN(MAX(K15,0),1)</f>
        <v/>
      </c>
      <c r="M15" s="32">
        <f>IFERROR(Capacity_Usage!T15/Policy!$B$14,0)</f>
        <v/>
      </c>
      <c r="N15" s="32">
        <f>MIN(MAX(M15,0),1)</f>
        <v/>
      </c>
      <c r="O15" s="32">
        <f>Capacity_Usage!E15/3</f>
        <v/>
      </c>
      <c r="P15" s="32">
        <f>MIN(MAX(O15,0),1)</f>
        <v/>
      </c>
      <c r="Q15" s="32">
        <f>Policy!$B$2*H15+Policy!$B$3*J15+Policy!$B$4*L15+Policy!$B$5*N15+Policy!$B$6*P15</f>
        <v/>
      </c>
      <c r="R15" s="11">
        <f>IF(AND(C15=1,D15=1,E15=1,A15&lt;&gt;Scoring_Prod!$U$3),Q15,-1)</f>
        <v/>
      </c>
      <c r="S15" s="11">
        <f>IF(R15&lt;0,"",COUNTIF($R$4:$R$17,"&gt;"&amp;R15)+1)</f>
        <v/>
      </c>
    </row>
    <row r="16">
      <c r="A16" s="11">
        <f>Capacity_Usage!B16</f>
        <v/>
      </c>
      <c r="B16" s="11">
        <f>Capacity_Usage!C16</f>
        <v/>
      </c>
      <c r="C16" s="11">
        <f>IF(Capacity_Usage!C16=Setup!$B$11,1,0)</f>
        <v/>
      </c>
      <c r="D16" s="11">
        <f>IF(HC_Gate!L16="YES",1,0)</f>
        <v/>
      </c>
      <c r="E16" s="11">
        <f>IF(OR(Capacity_Usage!V16="Standard",Capacity_Usage!B16=Setup!$B$8),1,0)</f>
        <v/>
      </c>
      <c r="F16" s="11">
        <f>SUMIFS(Capacity_Usage!$U$4:$U$17,Capacity_Usage!$C$4:$C$17,Capacity_Usage!C16)</f>
        <v/>
      </c>
      <c r="G16" s="32">
        <f>IFERROR(Capacity_Usage!S16/Capacity_Usage!R16,0)</f>
        <v/>
      </c>
      <c r="H16" s="32">
        <f>MIN(MAX(G16,0),1)</f>
        <v/>
      </c>
      <c r="I16" s="32">
        <f>IFERROR(Capacity_Usage!Q16/Capacity_Usage!O16,0)</f>
        <v/>
      </c>
      <c r="J16" s="32">
        <f>MIN(MAX(I16,0),1)</f>
        <v/>
      </c>
      <c r="K16" s="32">
        <f>IF(F16=0,Policy!$B$11,1-Capacity_Usage!U16/F16)</f>
        <v/>
      </c>
      <c r="L16" s="32">
        <f>MIN(MAX(K16,0),1)</f>
        <v/>
      </c>
      <c r="M16" s="32">
        <f>IFERROR(Capacity_Usage!T16/Policy!$B$14,0)</f>
        <v/>
      </c>
      <c r="N16" s="32">
        <f>MIN(MAX(M16,0),1)</f>
        <v/>
      </c>
      <c r="O16" s="32">
        <f>Capacity_Usage!E16/3</f>
        <v/>
      </c>
      <c r="P16" s="32">
        <f>MIN(MAX(O16,0),1)</f>
        <v/>
      </c>
      <c r="Q16" s="32">
        <f>Policy!$B$2*H16+Policy!$B$3*J16+Policy!$B$4*L16+Policy!$B$5*N16+Policy!$B$6*P16</f>
        <v/>
      </c>
      <c r="R16" s="11">
        <f>IF(AND(C16=1,D16=1,E16=1,A16&lt;&gt;Scoring_Prod!$U$3),Q16,-1)</f>
        <v/>
      </c>
      <c r="S16" s="11">
        <f>IF(R16&lt;0,"",COUNTIF($R$4:$R$17,"&gt;"&amp;R16)+1)</f>
        <v/>
      </c>
    </row>
    <row r="17">
      <c r="A17" s="11">
        <f>Capacity_Usage!B17</f>
        <v/>
      </c>
      <c r="B17" s="11">
        <f>Capacity_Usage!C17</f>
        <v/>
      </c>
      <c r="C17" s="11">
        <f>IF(Capacity_Usage!C17=Setup!$B$11,1,0)</f>
        <v/>
      </c>
      <c r="D17" s="11">
        <f>IF(HC_Gate!L17="YES",1,0)</f>
        <v/>
      </c>
      <c r="E17" s="11">
        <f>IF(OR(Capacity_Usage!V17="Standard",Capacity_Usage!B17=Setup!$B$8),1,0)</f>
        <v/>
      </c>
      <c r="F17" s="11">
        <f>SUMIFS(Capacity_Usage!$U$4:$U$17,Capacity_Usage!$C$4:$C$17,Capacity_Usage!C17)</f>
        <v/>
      </c>
      <c r="G17" s="32">
        <f>IFERROR(Capacity_Usage!S17/Capacity_Usage!R17,0)</f>
        <v/>
      </c>
      <c r="H17" s="32">
        <f>MIN(MAX(G17,0),1)</f>
        <v/>
      </c>
      <c r="I17" s="32">
        <f>IFERROR(Capacity_Usage!Q17/Capacity_Usage!O17,0)</f>
        <v/>
      </c>
      <c r="J17" s="32">
        <f>MIN(MAX(I17,0),1)</f>
        <v/>
      </c>
      <c r="K17" s="32">
        <f>IF(F17=0,Policy!$B$11,1-Capacity_Usage!U17/F17)</f>
        <v/>
      </c>
      <c r="L17" s="32">
        <f>MIN(MAX(K17,0),1)</f>
        <v/>
      </c>
      <c r="M17" s="32">
        <f>IFERROR(Capacity_Usage!T17/Policy!$B$14,0)</f>
        <v/>
      </c>
      <c r="N17" s="32">
        <f>MIN(MAX(M17,0),1)</f>
        <v/>
      </c>
      <c r="O17" s="32">
        <f>Capacity_Usage!E17/3</f>
        <v/>
      </c>
      <c r="P17" s="32">
        <f>MIN(MAX(O17,0),1)</f>
        <v/>
      </c>
      <c r="Q17" s="32">
        <f>Policy!$B$2*H17+Policy!$B$3*J17+Policy!$B$4*L17+Policy!$B$5*N17+Policy!$B$6*P17</f>
        <v/>
      </c>
      <c r="R17" s="11">
        <f>IF(AND(C17=1,D17=1,E17=1,A17&lt;&gt;Scoring_Prod!$U$3),Q17,-1)</f>
        <v/>
      </c>
      <c r="S17" s="11">
        <f>IF(R17&lt;0,"",COUNTIF($R$4:$R$17,"&gt;"&amp;R17)+1)</f>
        <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P19"/>
  <sheetViews>
    <sheetView showGridLines="0" workbookViewId="0">
      <selection activeCell="A1" sqref="A1"/>
    </sheetView>
  </sheetViews>
  <sheetFormatPr baseColWidth="8" defaultRowHeight="15"/>
  <cols>
    <col width="26" customWidth="1" min="1" max="1"/>
    <col width="28" customWidth="1" min="2" max="2"/>
    <col width="14" customWidth="1" min="3" max="3"/>
    <col width="4" customWidth="1" min="4" max="4"/>
    <col width="30" customWidth="1" min="5" max="5"/>
    <col width="16" customWidth="1" min="6" max="6"/>
    <col width="3" customWidth="1" min="7" max="7"/>
    <col width="6" customWidth="1" min="8" max="8"/>
    <col width="20" customWidth="1" min="9" max="9"/>
    <col width="9" customWidth="1" min="10" max="10"/>
    <col width="6" customWidth="1" min="11" max="11"/>
    <col width="20" customWidth="1" min="12" max="12"/>
    <col width="9" customWidth="1" min="13" max="13"/>
    <col width="6" customWidth="1" min="14" max="14"/>
    <col width="20" customWidth="1" min="15" max="15"/>
    <col width="9" customWidth="1" min="16" max="16"/>
  </cols>
  <sheetData>
    <row r="1">
      <c r="A1" s="8" t="inlineStr">
        <is>
          <t>RESULT — Region Selection (What-If, ACRME catalogue)</t>
        </is>
      </c>
    </row>
    <row r="3">
      <c r="A3" s="14" t="inlineStr">
        <is>
          <t>Customer ID</t>
        </is>
      </c>
      <c r="B3" s="11">
        <f>Setup!B9</f>
        <v/>
      </c>
      <c r="E3" s="25" t="inlineStr">
        <is>
          <t>DR SIZING (max-not-sum, A.6 / DR-017)</t>
        </is>
      </c>
      <c r="H3" s="25" t="inlineStr">
        <is>
          <t>RANKED CANDIDATE REGIONS  (Rank 1 = highest PS; blank = not a candidate for this mode)</t>
        </is>
      </c>
    </row>
    <row r="4">
      <c r="A4" s="14" t="inlineStr">
        <is>
          <t>Geography</t>
        </is>
      </c>
      <c r="B4" s="11">
        <f>Setup!B3</f>
        <v/>
      </c>
      <c r="H4" s="22" t="inlineStr">
        <is>
          <t>Prod</t>
        </is>
      </c>
      <c r="K4" s="22" t="inlineStr">
        <is>
          <t>CVAL</t>
        </is>
      </c>
      <c r="N4" s="22" t="inlineStr">
        <is>
          <t>DR</t>
        </is>
      </c>
    </row>
    <row r="5">
      <c r="A5" s="14" t="inlineStr">
        <is>
          <t>Workload SKUs</t>
        </is>
      </c>
      <c r="B5" s="11">
        <f>Setup!B6</f>
        <v/>
      </c>
      <c r="E5" s="14" t="inlineStr">
        <is>
          <t>DR region</t>
        </is>
      </c>
      <c r="F5" s="11">
        <f>B11</f>
        <v/>
      </c>
      <c r="H5" s="10" t="inlineStr">
        <is>
          <t>Rank</t>
        </is>
      </c>
      <c r="I5" s="10" t="inlineStr">
        <is>
          <t>Region</t>
        </is>
      </c>
      <c r="J5" s="10" t="inlineStr">
        <is>
          <t>PS</t>
        </is>
      </c>
      <c r="K5" s="10" t="inlineStr">
        <is>
          <t>Rank</t>
        </is>
      </c>
      <c r="L5" s="10" t="inlineStr">
        <is>
          <t>Region</t>
        </is>
      </c>
      <c r="M5" s="10" t="inlineStr">
        <is>
          <t>PS</t>
        </is>
      </c>
      <c r="N5" s="10" t="inlineStr">
        <is>
          <t>Rank</t>
        </is>
      </c>
      <c r="O5" s="10" t="inlineStr">
        <is>
          <t>Region</t>
        </is>
      </c>
      <c r="P5" s="10" t="inlineStr">
        <is>
          <t>PS</t>
        </is>
      </c>
    </row>
    <row r="6">
      <c r="A6" s="14" t="inlineStr">
        <is>
          <t>Requested vCPU</t>
        </is>
      </c>
      <c r="B6" s="11">
        <f>Setup!B7</f>
        <v/>
      </c>
      <c r="E6" s="14" t="inlineStr">
        <is>
          <t>Max source customers</t>
        </is>
      </c>
      <c r="F6" s="11">
        <f>SUMPRODUCT(MAX((Capacity_Usage!$C$4:$C$17=Setup!$B$11)*Capacity_Usage!$U$4:$U$17))</f>
        <v/>
      </c>
      <c r="H6" s="11">
        <f>IFERROR(IF(INDEX(Scoring_Prod!$S$4:$S$17,MATCH(1,Scoring_Prod!$S$4:$S$17,0))="","",1),"")</f>
        <v/>
      </c>
      <c r="I6" s="11">
        <f>IFERROR(INDEX(Scoring_Prod!$A$4:$A$17,MATCH(1,Scoring_Prod!$S$4:$S$17,0)),"")</f>
        <v/>
      </c>
      <c r="J6" s="32">
        <f>IFERROR(INDEX(Scoring_Prod!$Q$4:$Q$17,MATCH(1,Scoring_Prod!$S$4:$S$17,0)),"")</f>
        <v/>
      </c>
      <c r="K6" s="11">
        <f>IFERROR(IF(INDEX(Scoring_CVAL!$S$4:$S$17,MATCH(1,Scoring_CVAL!$S$4:$S$17,0))="","",1),"")</f>
        <v/>
      </c>
      <c r="L6" s="11">
        <f>IFERROR(INDEX(Scoring_CVAL!$A$4:$A$17,MATCH(1,Scoring_CVAL!$S$4:$S$17,0)),"")</f>
        <v/>
      </c>
      <c r="M6" s="32">
        <f>IFERROR(INDEX(Scoring_CVAL!$Q$4:$Q$17,MATCH(1,Scoring_CVAL!$S$4:$S$17,0)),"")</f>
        <v/>
      </c>
      <c r="N6" s="11">
        <f>IFERROR(IF(INDEX(Scoring_DR!$S$4:$S$17,MATCH(1,Scoring_DR!$S$4:$S$17,0))="","",1),"")</f>
        <v/>
      </c>
      <c r="O6" s="11">
        <f>IFERROR(INDEX(Scoring_DR!$A$4:$A$17,MATCH(1,Scoring_DR!$S$4:$S$17,0)),"")</f>
        <v/>
      </c>
      <c r="P6" s="32">
        <f>IFERROR(INDEX(Scoring_DR!$Q$4:$Q$17,MATCH(1,Scoring_DR!$S$4:$S$17,0)),"")</f>
        <v/>
      </c>
    </row>
    <row r="7">
      <c r="E7" s="14" t="inlineStr">
        <is>
          <t>× Requested vCPU</t>
        </is>
      </c>
      <c r="F7" s="11">
        <f>Setup!B7</f>
        <v/>
      </c>
      <c r="H7" s="11">
        <f>IFERROR(IF(INDEX(Scoring_Prod!$S$4:$S$17,MATCH(2,Scoring_Prod!$S$4:$S$17,0))="","",2),"")</f>
        <v/>
      </c>
      <c r="I7" s="11">
        <f>IFERROR(INDEX(Scoring_Prod!$A$4:$A$17,MATCH(2,Scoring_Prod!$S$4:$S$17,0)),"")</f>
        <v/>
      </c>
      <c r="J7" s="32">
        <f>IFERROR(INDEX(Scoring_Prod!$Q$4:$Q$17,MATCH(2,Scoring_Prod!$S$4:$S$17,0)),"")</f>
        <v/>
      </c>
      <c r="K7" s="11">
        <f>IFERROR(IF(INDEX(Scoring_CVAL!$S$4:$S$17,MATCH(2,Scoring_CVAL!$S$4:$S$17,0))="","",2),"")</f>
        <v/>
      </c>
      <c r="L7" s="11">
        <f>IFERROR(INDEX(Scoring_CVAL!$A$4:$A$17,MATCH(2,Scoring_CVAL!$S$4:$S$17,0)),"")</f>
        <v/>
      </c>
      <c r="M7" s="32">
        <f>IFERROR(INDEX(Scoring_CVAL!$Q$4:$Q$17,MATCH(2,Scoring_CVAL!$S$4:$S$17,0)),"")</f>
        <v/>
      </c>
      <c r="N7" s="11">
        <f>IFERROR(IF(INDEX(Scoring_DR!$S$4:$S$17,MATCH(2,Scoring_DR!$S$4:$S$17,0))="","",2),"")</f>
        <v/>
      </c>
      <c r="O7" s="11">
        <f>IFERROR(INDEX(Scoring_DR!$A$4:$A$17,MATCH(2,Scoring_DR!$S$4:$S$17,0)),"")</f>
        <v/>
      </c>
      <c r="P7" s="32">
        <f>IFERROR(INDEX(Scoring_DR!$Q$4:$Q$17,MATCH(2,Scoring_DR!$S$4:$S$17,0)),"")</f>
        <v/>
      </c>
    </row>
    <row r="8">
      <c r="A8" s="10" t="inlineStr">
        <is>
          <t>Environment</t>
        </is>
      </c>
      <c r="B8" s="10" t="inlineStr">
        <is>
          <t>Region</t>
        </is>
      </c>
      <c r="C8" s="10" t="inlineStr">
        <is>
          <t>Score</t>
        </is>
      </c>
      <c r="E8" s="14" t="inlineStr">
        <is>
          <t>DR Requirement (max-not-sum)</t>
        </is>
      </c>
      <c r="F8" s="24">
        <f>F6*F7</f>
        <v/>
      </c>
      <c r="H8" s="11">
        <f>IFERROR(IF(INDEX(Scoring_Prod!$S$4:$S$17,MATCH(3,Scoring_Prod!$S$4:$S$17,0))="","",3),"")</f>
        <v/>
      </c>
      <c r="I8" s="11">
        <f>IFERROR(INDEX(Scoring_Prod!$A$4:$A$17,MATCH(3,Scoring_Prod!$S$4:$S$17,0)),"")</f>
        <v/>
      </c>
      <c r="J8" s="32">
        <f>IFERROR(INDEX(Scoring_Prod!$Q$4:$Q$17,MATCH(3,Scoring_Prod!$S$4:$S$17,0)),"")</f>
        <v/>
      </c>
      <c r="K8" s="11">
        <f>IFERROR(IF(INDEX(Scoring_CVAL!$S$4:$S$17,MATCH(3,Scoring_CVAL!$S$4:$S$17,0))="","",3),"")</f>
        <v/>
      </c>
      <c r="L8" s="11">
        <f>IFERROR(INDEX(Scoring_CVAL!$A$4:$A$17,MATCH(3,Scoring_CVAL!$S$4:$S$17,0)),"")</f>
        <v/>
      </c>
      <c r="M8" s="32">
        <f>IFERROR(INDEX(Scoring_CVAL!$Q$4:$Q$17,MATCH(3,Scoring_CVAL!$S$4:$S$17,0)),"")</f>
        <v/>
      </c>
      <c r="N8" s="11">
        <f>IFERROR(IF(INDEX(Scoring_DR!$S$4:$S$17,MATCH(3,Scoring_DR!$S$4:$S$17,0))="","",3),"")</f>
        <v/>
      </c>
      <c r="O8" s="11">
        <f>IFERROR(INDEX(Scoring_DR!$A$4:$A$17,MATCH(3,Scoring_DR!$S$4:$S$17,0)),"")</f>
        <v/>
      </c>
      <c r="P8" s="32">
        <f>IFERROR(INDEX(Scoring_DR!$Q$4:$Q$17,MATCH(3,Scoring_DR!$S$4:$S$17,0)),"")</f>
        <v/>
      </c>
    </row>
    <row r="9">
      <c r="A9" s="14" t="inlineStr">
        <is>
          <t>Prod</t>
        </is>
      </c>
      <c r="B9" s="11">
        <f>Scoring_Prod!U3</f>
        <v/>
      </c>
      <c r="C9" s="32">
        <f>Scoring_Prod!U4</f>
        <v/>
      </c>
      <c r="E9" s="14" t="inlineStr">
        <is>
          <t>DR Reserved (region)</t>
        </is>
      </c>
      <c r="F9" s="11">
        <f>IFERROR(INDEX(Capacity_Usage!$R$4:$R$17,MATCH(B11,Capacity_Usage!$B$4:$B$17,0)),0)</f>
        <v/>
      </c>
      <c r="H9" s="11">
        <f>IFERROR(IF(INDEX(Scoring_Prod!$S$4:$S$17,MATCH(4,Scoring_Prod!$S$4:$S$17,0))="","",4),"")</f>
        <v/>
      </c>
      <c r="I9" s="11">
        <f>IFERROR(INDEX(Scoring_Prod!$A$4:$A$17,MATCH(4,Scoring_Prod!$S$4:$S$17,0)),"")</f>
        <v/>
      </c>
      <c r="J9" s="32">
        <f>IFERROR(INDEX(Scoring_Prod!$Q$4:$Q$17,MATCH(4,Scoring_Prod!$S$4:$S$17,0)),"")</f>
        <v/>
      </c>
      <c r="K9" s="11">
        <f>IFERROR(IF(INDEX(Scoring_CVAL!$S$4:$S$17,MATCH(4,Scoring_CVAL!$S$4:$S$17,0))="","",4),"")</f>
        <v/>
      </c>
      <c r="L9" s="11">
        <f>IFERROR(INDEX(Scoring_CVAL!$A$4:$A$17,MATCH(4,Scoring_CVAL!$S$4:$S$17,0)),"")</f>
        <v/>
      </c>
      <c r="M9" s="32">
        <f>IFERROR(INDEX(Scoring_CVAL!$Q$4:$Q$17,MATCH(4,Scoring_CVAL!$S$4:$S$17,0)),"")</f>
        <v/>
      </c>
      <c r="N9" s="11">
        <f>IFERROR(IF(INDEX(Scoring_DR!$S$4:$S$17,MATCH(4,Scoring_DR!$S$4:$S$17,0))="","",4),"")</f>
        <v/>
      </c>
      <c r="O9" s="11">
        <f>IFERROR(INDEX(Scoring_DR!$A$4:$A$17,MATCH(4,Scoring_DR!$S$4:$S$17,0)),"")</f>
        <v/>
      </c>
      <c r="P9" s="32">
        <f>IFERROR(INDEX(Scoring_DR!$Q$4:$Q$17,MATCH(4,Scoring_DR!$S$4:$S$17,0)),"")</f>
        <v/>
      </c>
    </row>
    <row r="10">
      <c r="A10" s="14" t="inlineStr">
        <is>
          <t>CVAL</t>
        </is>
      </c>
      <c r="B10" s="11">
        <f>Scoring_CVAL!U2</f>
        <v/>
      </c>
      <c r="C10" s="32">
        <f>Scoring_CVAL!U3</f>
        <v/>
      </c>
      <c r="E10" s="14" t="inlineStr">
        <is>
          <t>DR Gap</t>
        </is>
      </c>
      <c r="F10" s="11">
        <f>MAX(0,F8-F9)</f>
        <v/>
      </c>
      <c r="H10" s="11">
        <f>IFERROR(IF(INDEX(Scoring_Prod!$S$4:$S$17,MATCH(5,Scoring_Prod!$S$4:$S$17,0))="","",5),"")</f>
        <v/>
      </c>
      <c r="I10" s="11">
        <f>IFERROR(INDEX(Scoring_Prod!$A$4:$A$17,MATCH(5,Scoring_Prod!$S$4:$S$17,0)),"")</f>
        <v/>
      </c>
      <c r="J10" s="32">
        <f>IFERROR(INDEX(Scoring_Prod!$Q$4:$Q$17,MATCH(5,Scoring_Prod!$S$4:$S$17,0)),"")</f>
        <v/>
      </c>
      <c r="K10" s="11">
        <f>IFERROR(IF(INDEX(Scoring_CVAL!$S$4:$S$17,MATCH(5,Scoring_CVAL!$S$4:$S$17,0))="","",5),"")</f>
        <v/>
      </c>
      <c r="L10" s="11">
        <f>IFERROR(INDEX(Scoring_CVAL!$A$4:$A$17,MATCH(5,Scoring_CVAL!$S$4:$S$17,0)),"")</f>
        <v/>
      </c>
      <c r="M10" s="32">
        <f>IFERROR(INDEX(Scoring_CVAL!$Q$4:$Q$17,MATCH(5,Scoring_CVAL!$S$4:$S$17,0)),"")</f>
        <v/>
      </c>
      <c r="N10" s="11">
        <f>IFERROR(IF(INDEX(Scoring_DR!$S$4:$S$17,MATCH(5,Scoring_DR!$S$4:$S$17,0))="","",5),"")</f>
        <v/>
      </c>
      <c r="O10" s="11">
        <f>IFERROR(INDEX(Scoring_DR!$A$4:$A$17,MATCH(5,Scoring_DR!$S$4:$S$17,0)),"")</f>
        <v/>
      </c>
      <c r="P10" s="32">
        <f>IFERROR(INDEX(Scoring_DR!$Q$4:$Q$17,MATCH(5,Scoring_DR!$S$4:$S$17,0)),"")</f>
        <v/>
      </c>
    </row>
    <row r="11">
      <c r="A11" s="14" t="inlineStr">
        <is>
          <t>DR</t>
        </is>
      </c>
      <c r="B11" s="11">
        <f>Scoring_DR!U2</f>
        <v/>
      </c>
      <c r="C11" s="32">
        <f>Scoring_DR!U3</f>
        <v/>
      </c>
      <c r="E11" s="34" t="inlineStr">
        <is>
          <t>Note: illustrative — sources = regions in DR scope geography.</t>
        </is>
      </c>
      <c r="H11" s="11">
        <f>IFERROR(IF(INDEX(Scoring_Prod!$S$4:$S$17,MATCH(6,Scoring_Prod!$S$4:$S$17,0))="","",6),"")</f>
        <v/>
      </c>
      <c r="I11" s="11">
        <f>IFERROR(INDEX(Scoring_Prod!$A$4:$A$17,MATCH(6,Scoring_Prod!$S$4:$S$17,0)),"")</f>
        <v/>
      </c>
      <c r="J11" s="32">
        <f>IFERROR(INDEX(Scoring_Prod!$Q$4:$Q$17,MATCH(6,Scoring_Prod!$S$4:$S$17,0)),"")</f>
        <v/>
      </c>
      <c r="K11" s="11">
        <f>IFERROR(IF(INDEX(Scoring_CVAL!$S$4:$S$17,MATCH(6,Scoring_CVAL!$S$4:$S$17,0))="","",6),"")</f>
        <v/>
      </c>
      <c r="L11" s="11">
        <f>IFERROR(INDEX(Scoring_CVAL!$A$4:$A$17,MATCH(6,Scoring_CVAL!$S$4:$S$17,0)),"")</f>
        <v/>
      </c>
      <c r="M11" s="32">
        <f>IFERROR(INDEX(Scoring_CVAL!$Q$4:$Q$17,MATCH(6,Scoring_CVAL!$S$4:$S$17,0)),"")</f>
        <v/>
      </c>
      <c r="N11" s="11">
        <f>IFERROR(IF(INDEX(Scoring_DR!$S$4:$S$17,MATCH(6,Scoring_DR!$S$4:$S$17,0))="","",6),"")</f>
        <v/>
      </c>
      <c r="O11" s="11">
        <f>IFERROR(INDEX(Scoring_DR!$A$4:$A$17,MATCH(6,Scoring_DR!$S$4:$S$17,0)),"")</f>
        <v/>
      </c>
      <c r="P11" s="32">
        <f>IFERROR(INDEX(Scoring_DR!$Q$4:$Q$17,MATCH(6,Scoring_DR!$S$4:$S$17,0)),"")</f>
        <v/>
      </c>
    </row>
    <row r="12">
      <c r="H12" s="11">
        <f>IFERROR(IF(INDEX(Scoring_Prod!$S$4:$S$17,MATCH(7,Scoring_Prod!$S$4:$S$17,0))="","",7),"")</f>
        <v/>
      </c>
      <c r="I12" s="11">
        <f>IFERROR(INDEX(Scoring_Prod!$A$4:$A$17,MATCH(7,Scoring_Prod!$S$4:$S$17,0)),"")</f>
        <v/>
      </c>
      <c r="J12" s="32">
        <f>IFERROR(INDEX(Scoring_Prod!$Q$4:$Q$17,MATCH(7,Scoring_Prod!$S$4:$S$17,0)),"")</f>
        <v/>
      </c>
      <c r="K12" s="11">
        <f>IFERROR(IF(INDEX(Scoring_CVAL!$S$4:$S$17,MATCH(7,Scoring_CVAL!$S$4:$S$17,0))="","",7),"")</f>
        <v/>
      </c>
      <c r="L12" s="11">
        <f>IFERROR(INDEX(Scoring_CVAL!$A$4:$A$17,MATCH(7,Scoring_CVAL!$S$4:$S$17,0)),"")</f>
        <v/>
      </c>
      <c r="M12" s="32">
        <f>IFERROR(INDEX(Scoring_CVAL!$Q$4:$Q$17,MATCH(7,Scoring_CVAL!$S$4:$S$17,0)),"")</f>
        <v/>
      </c>
      <c r="N12" s="11">
        <f>IFERROR(IF(INDEX(Scoring_DR!$S$4:$S$17,MATCH(7,Scoring_DR!$S$4:$S$17,0))="","",7),"")</f>
        <v/>
      </c>
      <c r="O12" s="11">
        <f>IFERROR(INDEX(Scoring_DR!$A$4:$A$17,MATCH(7,Scoring_DR!$S$4:$S$17,0)),"")</f>
        <v/>
      </c>
      <c r="P12" s="32">
        <f>IFERROR(INDEX(Scoring_DR!$Q$4:$Q$17,MATCH(7,Scoring_DR!$S$4:$S$17,0)),"")</f>
        <v/>
      </c>
    </row>
    <row r="13">
      <c r="A13" s="14" t="inlineStr">
        <is>
          <t>Readiness State</t>
        </is>
      </c>
      <c r="B13" s="24">
        <f>IF(B9="NONE ELIGIBLE","QUOTA_DEFICIT / NEEDS EXPLICIT REGION (Prod)",IF(B10="NONE ELIGIBLE","CAPACITY_UNAVAILABLE (CVAL)",IF(B11="NONE ELIGIBLE","READY_WITH_RISK (no DR region)","READY")))</f>
        <v/>
      </c>
      <c r="H13" s="11">
        <f>IFERROR(IF(INDEX(Scoring_Prod!$S$4:$S$17,MATCH(8,Scoring_Prod!$S$4:$S$17,0))="","",8),"")</f>
        <v/>
      </c>
      <c r="I13" s="11">
        <f>IFERROR(INDEX(Scoring_Prod!$A$4:$A$17,MATCH(8,Scoring_Prod!$S$4:$S$17,0)),"")</f>
        <v/>
      </c>
      <c r="J13" s="32">
        <f>IFERROR(INDEX(Scoring_Prod!$Q$4:$Q$17,MATCH(8,Scoring_Prod!$S$4:$S$17,0)),"")</f>
        <v/>
      </c>
      <c r="K13" s="11">
        <f>IFERROR(IF(INDEX(Scoring_CVAL!$S$4:$S$17,MATCH(8,Scoring_CVAL!$S$4:$S$17,0))="","",8),"")</f>
        <v/>
      </c>
      <c r="L13" s="11">
        <f>IFERROR(INDEX(Scoring_CVAL!$A$4:$A$17,MATCH(8,Scoring_CVAL!$S$4:$S$17,0)),"")</f>
        <v/>
      </c>
      <c r="M13" s="32">
        <f>IFERROR(INDEX(Scoring_CVAL!$Q$4:$Q$17,MATCH(8,Scoring_CVAL!$S$4:$S$17,0)),"")</f>
        <v/>
      </c>
      <c r="N13" s="11">
        <f>IFERROR(IF(INDEX(Scoring_DR!$S$4:$S$17,MATCH(8,Scoring_DR!$S$4:$S$17,0))="","",8),"")</f>
        <v/>
      </c>
      <c r="O13" s="11">
        <f>IFERROR(INDEX(Scoring_DR!$A$4:$A$17,MATCH(8,Scoring_DR!$S$4:$S$17,0)),"")</f>
        <v/>
      </c>
      <c r="P13" s="32">
        <f>IFERROR(INDEX(Scoring_DR!$Q$4:$Q$17,MATCH(8,Scoring_DR!$S$4:$S$17,0)),"")</f>
        <v/>
      </c>
    </row>
    <row r="14">
      <c r="H14" s="11">
        <f>IFERROR(IF(INDEX(Scoring_Prod!$S$4:$S$17,MATCH(9,Scoring_Prod!$S$4:$S$17,0))="","",9),"")</f>
        <v/>
      </c>
      <c r="I14" s="11">
        <f>IFERROR(INDEX(Scoring_Prod!$A$4:$A$17,MATCH(9,Scoring_Prod!$S$4:$S$17,0)),"")</f>
        <v/>
      </c>
      <c r="J14" s="32">
        <f>IFERROR(INDEX(Scoring_Prod!$Q$4:$Q$17,MATCH(9,Scoring_Prod!$S$4:$S$17,0)),"")</f>
        <v/>
      </c>
      <c r="K14" s="11">
        <f>IFERROR(IF(INDEX(Scoring_CVAL!$S$4:$S$17,MATCH(9,Scoring_CVAL!$S$4:$S$17,0))="","",9),"")</f>
        <v/>
      </c>
      <c r="L14" s="11">
        <f>IFERROR(INDEX(Scoring_CVAL!$A$4:$A$17,MATCH(9,Scoring_CVAL!$S$4:$S$17,0)),"")</f>
        <v/>
      </c>
      <c r="M14" s="32">
        <f>IFERROR(INDEX(Scoring_CVAL!$Q$4:$Q$17,MATCH(9,Scoring_CVAL!$S$4:$S$17,0)),"")</f>
        <v/>
      </c>
      <c r="N14" s="11">
        <f>IFERROR(IF(INDEX(Scoring_DR!$S$4:$S$17,MATCH(9,Scoring_DR!$S$4:$S$17,0))="","",9),"")</f>
        <v/>
      </c>
      <c r="O14" s="11">
        <f>IFERROR(INDEX(Scoring_DR!$A$4:$A$17,MATCH(9,Scoring_DR!$S$4:$S$17,0)),"")</f>
        <v/>
      </c>
      <c r="P14" s="32">
        <f>IFERROR(INDEX(Scoring_DR!$Q$4:$Q$17,MATCH(9,Scoring_DR!$S$4:$S$17,0)),"")</f>
        <v/>
      </c>
    </row>
    <row r="15">
      <c r="A15" s="14" t="inlineStr">
        <is>
          <t>Policy version</t>
        </is>
      </c>
      <c r="B15" s="11">
        <f>"whatif-catalogue-v1  (weights "&amp;TEXT(Policy!B7,"0.00")&amp;" — "&amp;Policy!B8&amp;")"</f>
        <v/>
      </c>
      <c r="H15" s="11">
        <f>IFERROR(IF(INDEX(Scoring_Prod!$S$4:$S$17,MATCH(10,Scoring_Prod!$S$4:$S$17,0))="","",10),"")</f>
        <v/>
      </c>
      <c r="I15" s="11">
        <f>IFERROR(INDEX(Scoring_Prod!$A$4:$A$17,MATCH(10,Scoring_Prod!$S$4:$S$17,0)),"")</f>
        <v/>
      </c>
      <c r="J15" s="32">
        <f>IFERROR(INDEX(Scoring_Prod!$Q$4:$Q$17,MATCH(10,Scoring_Prod!$S$4:$S$17,0)),"")</f>
        <v/>
      </c>
      <c r="K15" s="11">
        <f>IFERROR(IF(INDEX(Scoring_CVAL!$S$4:$S$17,MATCH(10,Scoring_CVAL!$S$4:$S$17,0))="","",10),"")</f>
        <v/>
      </c>
      <c r="L15" s="11">
        <f>IFERROR(INDEX(Scoring_CVAL!$A$4:$A$17,MATCH(10,Scoring_CVAL!$S$4:$S$17,0)),"")</f>
        <v/>
      </c>
      <c r="M15" s="32">
        <f>IFERROR(INDEX(Scoring_CVAL!$Q$4:$Q$17,MATCH(10,Scoring_CVAL!$S$4:$S$17,0)),"")</f>
        <v/>
      </c>
      <c r="N15" s="11">
        <f>IFERROR(IF(INDEX(Scoring_DR!$S$4:$S$17,MATCH(10,Scoring_DR!$S$4:$S$17,0))="","",10),"")</f>
        <v/>
      </c>
      <c r="O15" s="11">
        <f>IFERROR(INDEX(Scoring_DR!$A$4:$A$17,MATCH(10,Scoring_DR!$S$4:$S$17,0)),"")</f>
        <v/>
      </c>
      <c r="P15" s="32">
        <f>IFERROR(INDEX(Scoring_DR!$Q$4:$Q$17,MATCH(10,Scoring_DR!$S$4:$S$17,0)),"")</f>
        <v/>
      </c>
    </row>
    <row r="16">
      <c r="H16" s="11">
        <f>IFERROR(IF(INDEX(Scoring_Prod!$S$4:$S$17,MATCH(11,Scoring_Prod!$S$4:$S$17,0))="","",11),"")</f>
        <v/>
      </c>
      <c r="I16" s="11">
        <f>IFERROR(INDEX(Scoring_Prod!$A$4:$A$17,MATCH(11,Scoring_Prod!$S$4:$S$17,0)),"")</f>
        <v/>
      </c>
      <c r="J16" s="32">
        <f>IFERROR(INDEX(Scoring_Prod!$Q$4:$Q$17,MATCH(11,Scoring_Prod!$S$4:$S$17,0)),"")</f>
        <v/>
      </c>
      <c r="K16" s="11">
        <f>IFERROR(IF(INDEX(Scoring_CVAL!$S$4:$S$17,MATCH(11,Scoring_CVAL!$S$4:$S$17,0))="","",11),"")</f>
        <v/>
      </c>
      <c r="L16" s="11">
        <f>IFERROR(INDEX(Scoring_CVAL!$A$4:$A$17,MATCH(11,Scoring_CVAL!$S$4:$S$17,0)),"")</f>
        <v/>
      </c>
      <c r="M16" s="32">
        <f>IFERROR(INDEX(Scoring_CVAL!$Q$4:$Q$17,MATCH(11,Scoring_CVAL!$S$4:$S$17,0)),"")</f>
        <v/>
      </c>
      <c r="N16" s="11">
        <f>IFERROR(IF(INDEX(Scoring_DR!$S$4:$S$17,MATCH(11,Scoring_DR!$S$4:$S$17,0))="","",11),"")</f>
        <v/>
      </c>
      <c r="O16" s="11">
        <f>IFERROR(INDEX(Scoring_DR!$A$4:$A$17,MATCH(11,Scoring_DR!$S$4:$S$17,0)),"")</f>
        <v/>
      </c>
      <c r="P16" s="32">
        <f>IFERROR(INDEX(Scoring_DR!$Q$4:$Q$17,MATCH(11,Scoring_DR!$S$4:$S$17,0)),"")</f>
        <v/>
      </c>
    </row>
    <row r="17">
      <c r="H17" s="11">
        <f>IFERROR(IF(INDEX(Scoring_Prod!$S$4:$S$17,MATCH(12,Scoring_Prod!$S$4:$S$17,0))="","",12),"")</f>
        <v/>
      </c>
      <c r="I17" s="11">
        <f>IFERROR(INDEX(Scoring_Prod!$A$4:$A$17,MATCH(12,Scoring_Prod!$S$4:$S$17,0)),"")</f>
        <v/>
      </c>
      <c r="J17" s="32">
        <f>IFERROR(INDEX(Scoring_Prod!$Q$4:$Q$17,MATCH(12,Scoring_Prod!$S$4:$S$17,0)),"")</f>
        <v/>
      </c>
      <c r="K17" s="11">
        <f>IFERROR(IF(INDEX(Scoring_CVAL!$S$4:$S$17,MATCH(12,Scoring_CVAL!$S$4:$S$17,0))="","",12),"")</f>
        <v/>
      </c>
      <c r="L17" s="11">
        <f>IFERROR(INDEX(Scoring_CVAL!$A$4:$A$17,MATCH(12,Scoring_CVAL!$S$4:$S$17,0)),"")</f>
        <v/>
      </c>
      <c r="M17" s="32">
        <f>IFERROR(INDEX(Scoring_CVAL!$Q$4:$Q$17,MATCH(12,Scoring_CVAL!$S$4:$S$17,0)),"")</f>
        <v/>
      </c>
      <c r="N17" s="11">
        <f>IFERROR(IF(INDEX(Scoring_DR!$S$4:$S$17,MATCH(12,Scoring_DR!$S$4:$S$17,0))="","",12),"")</f>
        <v/>
      </c>
      <c r="O17" s="11">
        <f>IFERROR(INDEX(Scoring_DR!$A$4:$A$17,MATCH(12,Scoring_DR!$S$4:$S$17,0)),"")</f>
        <v/>
      </c>
      <c r="P17" s="32">
        <f>IFERROR(INDEX(Scoring_DR!$Q$4:$Q$17,MATCH(12,Scoring_DR!$S$4:$S$17,0)),"")</f>
        <v/>
      </c>
    </row>
    <row r="18">
      <c r="H18" s="11">
        <f>IFERROR(IF(INDEX(Scoring_Prod!$S$4:$S$17,MATCH(13,Scoring_Prod!$S$4:$S$17,0))="","",13),"")</f>
        <v/>
      </c>
      <c r="I18" s="11">
        <f>IFERROR(INDEX(Scoring_Prod!$A$4:$A$17,MATCH(13,Scoring_Prod!$S$4:$S$17,0)),"")</f>
        <v/>
      </c>
      <c r="J18" s="32">
        <f>IFERROR(INDEX(Scoring_Prod!$Q$4:$Q$17,MATCH(13,Scoring_Prod!$S$4:$S$17,0)),"")</f>
        <v/>
      </c>
      <c r="K18" s="11">
        <f>IFERROR(IF(INDEX(Scoring_CVAL!$S$4:$S$17,MATCH(13,Scoring_CVAL!$S$4:$S$17,0))="","",13),"")</f>
        <v/>
      </c>
      <c r="L18" s="11">
        <f>IFERROR(INDEX(Scoring_CVAL!$A$4:$A$17,MATCH(13,Scoring_CVAL!$S$4:$S$17,0)),"")</f>
        <v/>
      </c>
      <c r="M18" s="32">
        <f>IFERROR(INDEX(Scoring_CVAL!$Q$4:$Q$17,MATCH(13,Scoring_CVAL!$S$4:$S$17,0)),"")</f>
        <v/>
      </c>
      <c r="N18" s="11">
        <f>IFERROR(IF(INDEX(Scoring_DR!$S$4:$S$17,MATCH(13,Scoring_DR!$S$4:$S$17,0))="","",13),"")</f>
        <v/>
      </c>
      <c r="O18" s="11">
        <f>IFERROR(INDEX(Scoring_DR!$A$4:$A$17,MATCH(13,Scoring_DR!$S$4:$S$17,0)),"")</f>
        <v/>
      </c>
      <c r="P18" s="32">
        <f>IFERROR(INDEX(Scoring_DR!$Q$4:$Q$17,MATCH(13,Scoring_DR!$S$4:$S$17,0)),"")</f>
        <v/>
      </c>
    </row>
    <row r="19">
      <c r="H19" s="11">
        <f>IFERROR(IF(INDEX(Scoring_Prod!$S$4:$S$17,MATCH(14,Scoring_Prod!$S$4:$S$17,0))="","",14),"")</f>
        <v/>
      </c>
      <c r="I19" s="11">
        <f>IFERROR(INDEX(Scoring_Prod!$A$4:$A$17,MATCH(14,Scoring_Prod!$S$4:$S$17,0)),"")</f>
        <v/>
      </c>
      <c r="J19" s="32">
        <f>IFERROR(INDEX(Scoring_Prod!$Q$4:$Q$17,MATCH(14,Scoring_Prod!$S$4:$S$17,0)),"")</f>
        <v/>
      </c>
      <c r="K19" s="11">
        <f>IFERROR(IF(INDEX(Scoring_CVAL!$S$4:$S$17,MATCH(14,Scoring_CVAL!$S$4:$S$17,0))="","",14),"")</f>
        <v/>
      </c>
      <c r="L19" s="11">
        <f>IFERROR(INDEX(Scoring_CVAL!$A$4:$A$17,MATCH(14,Scoring_CVAL!$S$4:$S$17,0)),"")</f>
        <v/>
      </c>
      <c r="M19" s="32">
        <f>IFERROR(INDEX(Scoring_CVAL!$Q$4:$Q$17,MATCH(14,Scoring_CVAL!$S$4:$S$17,0)),"")</f>
        <v/>
      </c>
      <c r="N19" s="11">
        <f>IFERROR(IF(INDEX(Scoring_DR!$S$4:$S$17,MATCH(14,Scoring_DR!$S$4:$S$17,0))="","",14),"")</f>
        <v/>
      </c>
      <c r="O19" s="11">
        <f>IFERROR(INDEX(Scoring_DR!$A$4:$A$17,MATCH(14,Scoring_DR!$S$4:$S$17,0)),"")</f>
        <v/>
      </c>
      <c r="P19" s="32">
        <f>IFERROR(INDEX(Scoring_DR!$Q$4:$Q$17,MATCH(14,Scoring_DR!$S$4:$S$17,0)),"")</f>
        <v/>
      </c>
    </row>
  </sheetData>
  <mergeCells count="6">
    <mergeCell ref="K4:M4"/>
    <mergeCell ref="E11:F11"/>
    <mergeCell ref="H4:J4"/>
    <mergeCell ref="N4:P4"/>
    <mergeCell ref="H3:P3"/>
    <mergeCell ref="E3:F3"/>
  </mergeCells>
  <conditionalFormatting sqref="B13">
    <cfRule type="cellIs" priority="1" operator="equal" dxfId="0">
      <formula>"READY"</formula>
    </cfRule>
    <cfRule type="expression" priority="2" dxfId="1">
      <formula>ISNUMBER(SEARCH("DEFICIT",B13))</formula>
    </cfRule>
    <cfRule type="expression" priority="3" dxfId="1">
      <formula>ISNUMBER(SEARCH("UNAVAILABLE",B13))</formula>
    </cfRule>
    <cfRule type="expression" priority="4" dxfId="3">
      <formula>ISNUMBER(SEARCH("RISK",B13))</formula>
    </cfRule>
  </conditionalFormatting>
  <pageMargins left="0.75" right="0.75" top="1" bottom="1" header="0.5" footer="0.5"/>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F44"/>
  <sheetViews>
    <sheetView showGridLines="0" workbookViewId="0">
      <selection activeCell="A1" sqref="A1"/>
    </sheetView>
  </sheetViews>
  <sheetFormatPr baseColWidth="8" defaultRowHeight="15"/>
  <cols>
    <col width="12" customWidth="1" min="1" max="1"/>
    <col width="30" customWidth="1" min="2" max="2"/>
    <col width="50" customWidth="1" min="3" max="3"/>
    <col width="10" customWidth="1" min="4" max="4"/>
    <col width="60" customWidth="1" min="5" max="5"/>
    <col width="35" customWidth="1" min="6" max="6"/>
  </cols>
  <sheetData>
    <row r="1">
      <c r="A1" s="8" t="inlineStr">
        <is>
          <t>PLACEMENT SCORING FORMULA REFERENCE</t>
        </is>
      </c>
    </row>
    <row r="3">
      <c r="A3" s="35" t="inlineStr">
        <is>
          <t>This sheet explains the three placement scoring (PS) formulas used by the ACRME region-selection engine.</t>
        </is>
      </c>
    </row>
    <row r="4">
      <c r="A4" s="35" t="inlineStr">
        <is>
          <t>Each formula evaluates candidate regions across five weighted components (α, β, γ, δ, ε) that sum to 1.0.</t>
        </is>
      </c>
    </row>
    <row r="5">
      <c r="A5" s="35" t="inlineStr">
        <is>
          <t>All components are clamped to [0, 1] to prevent outliers from dominating the score.</t>
        </is>
      </c>
    </row>
    <row r="7">
      <c r="A7" s="36" t="inlineStr">
        <is>
          <t>PS_Prod — PRODUCTION REGION SCORING</t>
        </is>
      </c>
    </row>
    <row r="8">
      <c r="A8" s="37" t="inlineStr">
        <is>
          <t>Component</t>
        </is>
      </c>
      <c r="B8" s="37" t="inlineStr">
        <is>
          <t>What It Measures</t>
        </is>
      </c>
      <c r="C8" s="37" t="inlineStr">
        <is>
          <t>Signal / Formula</t>
        </is>
      </c>
      <c r="D8" s="37" t="inlineStr">
        <is>
          <t>Weight</t>
        </is>
      </c>
      <c r="E8" s="37" t="inlineStr">
        <is>
          <t>Explanation</t>
        </is>
      </c>
      <c r="F8" s="37" t="inlineStr">
        <is>
          <t>Excel Column References</t>
        </is>
      </c>
    </row>
    <row r="9" ht="90" customHeight="1">
      <c r="A9" s="38" t="inlineStr">
        <is>
          <t>α</t>
        </is>
      </c>
      <c r="B9" s="39" t="inlineStr">
        <is>
          <t>Capacity headroom (forward-looking regional health)</t>
        </is>
      </c>
      <c r="C9" s="40" t="inlineStr">
        <is>
          <t>Clamp(nonprod_crg.effective_free / prod_crg.quantity)</t>
        </is>
      </c>
      <c r="D9" s="41" t="inlineStr">
        <is>
          <t>0.30</t>
        </is>
      </c>
      <c r="E9" s="39" t="inlineStr">
        <is>
          <t>Uses NonProd effective free capacity as a regional health indicator. A region with ample NonProd headroom signals overall capacity health, overflow capacity for Prod spikes, and readiness for future CVAL co-location (2-region model). This is NOT self-referential — it evaluates regional capacity resilience, not just Prod-specific capacity.</t>
        </is>
      </c>
      <c r="F9" s="42" t="inlineStr">
        <is>
          <t>Capacity_Usage: N (NP Eff-Free) ÷ F (Prod Reserved)
Scoring_Prod: G (α_raw), H (α_c)</t>
        </is>
      </c>
    </row>
    <row r="10" ht="90" customHeight="1">
      <c r="A10" s="38" t="inlineStr">
        <is>
          <t>β</t>
        </is>
      </c>
      <c r="B10" s="39" t="inlineStr">
        <is>
          <t>Quota headroom (direct Prod capacity readiness)</t>
        </is>
      </c>
      <c r="C10" s="40" t="inlineStr">
        <is>
          <t>Clamp(prod_crg.quota_headroom / prod_crg.quota_limit)</t>
        </is>
      </c>
      <c r="D10" s="41" t="inlineStr">
        <is>
          <t>0.20</t>
        </is>
      </c>
      <c r="E10" s="39" t="inlineStr">
        <is>
          <t>Direct measure of Prod quota availability. High quota headroom means the region can accommodate the Prod workload without quota exhaustion. This complements α by providing a Prod-specific capacity signal while α measures regional health.</t>
        </is>
      </c>
      <c r="F10" s="42" t="inlineStr">
        <is>
          <t>Capacity_Usage: K (Prod Q-Headroom) ÷ I (Prod Q-Limit)
Scoring_Prod: I (β_raw), J (β_c)</t>
        </is>
      </c>
    </row>
    <row r="11" ht="90" customHeight="1">
      <c r="A11" s="38" t="inlineStr">
        <is>
          <t>γ</t>
        </is>
      </c>
      <c r="B11" s="39" t="inlineStr">
        <is>
          <t>Distribution fairness (load balancing)</t>
        </is>
      </c>
      <c r="C11" s="40" t="inlineStr">
        <is>
          <t>Clamp(1 - prod_customer_count / total_customers)</t>
        </is>
      </c>
      <c r="D11" s="41" t="inlineStr">
        <is>
          <t>0.25</t>
        </is>
      </c>
      <c r="E11" s="39" t="inlineStr">
        <is>
          <t>Rewards regions with fewer existing Prod customers, promoting even distribution of workload across the geography. A region with lower customer count scores higher, preventing concentration in a single region. total_customers(g) = live count of customers in the geography (PLC-012, A.10); γ = 1 when it is zero.</t>
        </is>
      </c>
      <c r="F11" s="42" t="inlineStr">
        <is>
          <t>Capacity_Usage: U (Cust Count)
Scoring_Prod: F (total_cust for denominator), K (γ_raw), L (γ_c)
total_customers scope: geography (PLC-012); γ = 1 when zero</t>
        </is>
      </c>
    </row>
    <row r="12" ht="90" customHeight="1">
      <c r="A12" s="38" t="inlineStr">
        <is>
          <t>δ</t>
        </is>
      </c>
      <c r="B12" s="39" t="inlineStr">
        <is>
          <t>DR readiness signal (destination DR coverage)</t>
        </is>
      </c>
      <c r="C12" s="40" t="inlineStr">
        <is>
          <t>Clamp(dr_crg.coverage_ratio)</t>
        </is>
      </c>
      <c r="D12" s="41" t="inlineStr">
        <is>
          <t>0.15</t>
        </is>
      </c>
      <c r="E12" s="39" t="inlineStr">
        <is>
          <t>Measures the region's existing DR coverage ratio — how much of its DR requirement is already met. A region with good DR coverage is more resilient and can potentially host additional DR workloads (multi-source DR hosting, DR-016).</t>
        </is>
      </c>
      <c r="F12" s="42" t="inlineStr">
        <is>
          <t>Capacity_Usage: T (DR Coverage)
Scoring_Prod: M (δ_raw), N (δ_c)</t>
        </is>
      </c>
    </row>
    <row r="13" ht="90" customHeight="1">
      <c r="A13" s="38" t="inlineStr">
        <is>
          <t>ε</t>
        </is>
      </c>
      <c r="B13" s="39" t="inlineStr">
        <is>
          <t>Zone diversity (availability zone count)</t>
        </is>
      </c>
      <c r="C13" s="40" t="inlineStr">
        <is>
          <t>Clamp(az_count / 3)</t>
        </is>
      </c>
      <c r="D13" s="41" t="inlineStr">
        <is>
          <t>0.10</t>
        </is>
      </c>
      <c r="E13" s="39" t="inlineStr">
        <is>
          <t>Favors regions with more availability zones (max 3 in Azure). Higher zone count provides better fault isolation and distributes VMs more evenly (PLC-011 even zone-distribution target). A 3-AZ region scores 1.0; 2-AZ scores 0.67; 1-AZ scores 0.33.</t>
        </is>
      </c>
      <c r="F13" s="42" t="inlineStr">
        <is>
          <t>Capacity_Usage: E (AZ)
Scoring_Prod: O (ε_raw), P (ε_c)</t>
        </is>
      </c>
    </row>
    <row r="14" ht="50" customHeight="1">
      <c r="A14" s="43" t="inlineStr">
        <is>
          <t>FINAL SCORE</t>
        </is>
      </c>
      <c r="B14" s="44" t="inlineStr">
        <is>
          <t>Weighted sum of all five components</t>
        </is>
      </c>
      <c r="C14" s="45" t="inlineStr">
        <is>
          <t>PS_Prod = 0.30×α + 0.20×β + 0.25×γ + 0.15×δ + 0.10×ε</t>
        </is>
      </c>
      <c r="D14" s="46" t="inlineStr">
        <is>
          <t>1.00</t>
        </is>
      </c>
      <c r="E14" s="47" t="inlineStr">
        <is>
          <t>Range: [0, 1]. Highest score = best candidate. Winner = argmax(PS_Prod) over eligible Standard regions.</t>
        </is>
      </c>
      <c r="F14" s="48" t="inlineStr">
        <is>
          <t>Scoring_Prod: Q (PS)</t>
        </is>
      </c>
    </row>
    <row r="17">
      <c r="A17" s="36" t="inlineStr">
        <is>
          <t>PS_NonProd — CVAL (NON-PRODUCTION) REGION SCORING</t>
        </is>
      </c>
    </row>
    <row r="18">
      <c r="A18" s="37" t="inlineStr">
        <is>
          <t>Component</t>
        </is>
      </c>
      <c r="B18" s="37" t="inlineStr">
        <is>
          <t>What It Measures</t>
        </is>
      </c>
      <c r="C18" s="37" t="inlineStr">
        <is>
          <t>Signal / Formula</t>
        </is>
      </c>
      <c r="D18" s="37" t="inlineStr">
        <is>
          <t>Weight</t>
        </is>
      </c>
      <c r="E18" s="37" t="inlineStr">
        <is>
          <t>Explanation</t>
        </is>
      </c>
      <c r="F18" s="37" t="inlineStr">
        <is>
          <t>Excel Column References</t>
        </is>
      </c>
    </row>
    <row r="19" ht="90" customHeight="1">
      <c r="A19" s="38" t="inlineStr">
        <is>
          <t>α</t>
        </is>
      </c>
      <c r="B19" s="39" t="inlineStr">
        <is>
          <t>Capacity headroom (direct NonProd capacity)</t>
        </is>
      </c>
      <c r="C19" s="40" t="inlineStr">
        <is>
          <t>Clamp(nonprod_crg.effective_free / nonprod_crg.quantity)</t>
        </is>
      </c>
      <c r="D19" s="41" t="inlineStr">
        <is>
          <t>0.30</t>
        </is>
      </c>
      <c r="E19" s="39" t="inlineStr">
        <is>
          <t>Direct measure of NonProd effective free capacity. Unlike PS_Prod (which uses NonProd as a regional health signal), here we evaluate NonProd capacity directly for CVAL placement. High NonProd headroom = region can accommodate CVAL workload.</t>
        </is>
      </c>
      <c r="F19" s="42" t="inlineStr">
        <is>
          <t>Capacity_Usage: N (NP Eff-Free) ÷ L (NP Reserved)
Scoring_CVAL: G (α_raw), H (α_c)</t>
        </is>
      </c>
    </row>
    <row r="20" ht="90" customHeight="1">
      <c r="A20" s="38" t="inlineStr">
        <is>
          <t>β</t>
        </is>
      </c>
      <c r="B20" s="39" t="inlineStr">
        <is>
          <t>Quota headroom (NonProd quota availability)</t>
        </is>
      </c>
      <c r="C20" s="40" t="inlineStr">
        <is>
          <t>Clamp(nonprod_crg.quota_headroom / nonprod_crg.quota_limit)</t>
        </is>
      </c>
      <c r="D20" s="41" t="inlineStr">
        <is>
          <t>0.20</t>
        </is>
      </c>
      <c r="E20" s="39" t="inlineStr">
        <is>
          <t>NonProd quota headroom. Ensures the region has sufficient NonProd quota to accommodate the CVAL workload without hitting quota limits.</t>
        </is>
      </c>
      <c r="F20" s="42" t="inlineStr">
        <is>
          <t>Capacity_Usage: Q (NP Q-Headroom) ÷ O (NP Q-Limit)
Scoring_CVAL: I (β_raw), J (β_c)</t>
        </is>
      </c>
    </row>
    <row r="21" ht="90" customHeight="1">
      <c r="A21" s="38" t="inlineStr">
        <is>
          <t>γ</t>
        </is>
      </c>
      <c r="B21" s="39" t="inlineStr">
        <is>
          <t>Distribution fairness (load balancing)</t>
        </is>
      </c>
      <c r="C21" s="40" t="inlineStr">
        <is>
          <t>Clamp(1 - nonprod_customer_count / total_customers)</t>
        </is>
      </c>
      <c r="D21" s="41" t="inlineStr">
        <is>
          <t>0.25</t>
        </is>
      </c>
      <c r="E21" s="39" t="inlineStr">
        <is>
          <t>Rewards regions with fewer existing NonProd customers, promoting even CVAL distribution. Identical logic to PS_Prod but evaluated against NonProd customer counts. Same geography denominator (PLC-012).</t>
        </is>
      </c>
      <c r="F21" s="42" t="inlineStr">
        <is>
          <t>Capacity_Usage: U (Cust Count)
Scoring_CVAL: F (total_cust for denominator), K (γ_raw), L (γ_c)
total_customers scope: geography (PLC-012); γ = 1 when zero</t>
        </is>
      </c>
    </row>
    <row r="22" ht="90" customHeight="1">
      <c r="A22" s="38" t="inlineStr">
        <is>
          <t>δ</t>
        </is>
      </c>
      <c r="B22" s="39" t="inlineStr">
        <is>
          <t>Overflow capacity health (redundant with α)</t>
        </is>
      </c>
      <c r="C22" s="40" t="inlineStr">
        <is>
          <t>Clamp(nonprod_crg.effective_free / nonprod_crg.quantity)</t>
        </is>
      </c>
      <c r="D22" s="41" t="inlineStr">
        <is>
          <t>0.15</t>
        </is>
      </c>
      <c r="E22" s="39" t="inlineStr">
        <is>
          <t>⚠️ DUPLICATE: This is identical to α. Combined α+δ weight = 0.45. This is the design-of-record formula (baseline v2.4). A pilot variant exists that removes this duplication and reallocates the weight.</t>
        </is>
      </c>
      <c r="F22" s="42" t="inlineStr">
        <is>
          <t>Capacity_Usage: N (NP Eff-Free) ÷ L (NP Reserved)
Scoring_CVAL: M (δ_raw), N (δ_c)
⚠️ Same as α — duplication acknowledged in Calculation Logic Reference</t>
        </is>
      </c>
    </row>
    <row r="23" ht="90" customHeight="1">
      <c r="A23" s="38" t="inlineStr">
        <is>
          <t>ε</t>
        </is>
      </c>
      <c r="B23" s="39" t="inlineStr">
        <is>
          <t>Zone diversity (availability zone count)</t>
        </is>
      </c>
      <c r="C23" s="40" t="inlineStr">
        <is>
          <t>Clamp(az_count / 3)</t>
        </is>
      </c>
      <c r="D23" s="41" t="inlineStr">
        <is>
          <t>0.10</t>
        </is>
      </c>
      <c r="E23" s="39" t="inlineStr">
        <is>
          <t>Identical to PS_Prod. Favors regions with more availability zones for better fault isolation.</t>
        </is>
      </c>
      <c r="F23" s="42" t="inlineStr">
        <is>
          <t>Capacity_Usage: E (AZ)
Scoring_CVAL: O (ε_raw), P (ε_c)</t>
        </is>
      </c>
    </row>
    <row r="24" ht="60" customHeight="1">
      <c r="A24" s="43" t="inlineStr">
        <is>
          <t>FINAL SCORE</t>
        </is>
      </c>
      <c r="B24" s="44" t="inlineStr">
        <is>
          <t>Weighted sum of all five components</t>
        </is>
      </c>
      <c r="C24" s="45" t="inlineStr">
        <is>
          <t>PS_NonProd = 0.30×α + 0.20×β + 0.25×γ + 0.15×δ + 0.10×ε</t>
        </is>
      </c>
      <c r="D24" s="46" t="inlineStr">
        <is>
          <t>1.00</t>
        </is>
      </c>
      <c r="E24" s="47" t="inlineStr">
        <is>
          <t>Range: [0, 1]. Highest score = best CVAL candidate. Winner = argmax(PS_NonProd) over eligible Standard regions (excluding Prod region). In 2-region model (EU, AU, AP): CVAL placement is deterministic (the other Standard region).</t>
        </is>
      </c>
      <c r="F24" s="48" t="inlineStr">
        <is>
          <t>Scoring_CVAL: Q (PS)</t>
        </is>
      </c>
    </row>
    <row r="27">
      <c r="A27" s="36" t="inlineStr">
        <is>
          <t>PS_DR — DR (DISASTER RECOVERY) REGION SCORING</t>
        </is>
      </c>
    </row>
    <row r="28">
      <c r="A28" s="37" t="inlineStr">
        <is>
          <t>Component</t>
        </is>
      </c>
      <c r="B28" s="37" t="inlineStr">
        <is>
          <t>What It Measures</t>
        </is>
      </c>
      <c r="C28" s="37" t="inlineStr">
        <is>
          <t>Signal / Formula</t>
        </is>
      </c>
      <c r="D28" s="37" t="inlineStr">
        <is>
          <t>Weight</t>
        </is>
      </c>
      <c r="E28" s="37" t="inlineStr">
        <is>
          <t>Explanation</t>
        </is>
      </c>
      <c r="F28" s="37" t="inlineStr">
        <is>
          <t>Excel Column References</t>
        </is>
      </c>
    </row>
    <row r="29" ht="90" customHeight="1">
      <c r="A29" s="38" t="inlineStr">
        <is>
          <t>α</t>
        </is>
      </c>
      <c r="B29" s="39" t="inlineStr">
        <is>
          <t>Capacity headroom (DR CRG free slots)</t>
        </is>
      </c>
      <c r="C29" s="40" t="inlineStr">
        <is>
          <t>Clamp(dr_crg.free_slots / dr_crg.quantity)</t>
        </is>
      </c>
      <c r="D29" s="41" t="inlineStr">
        <is>
          <t>0.30</t>
        </is>
      </c>
      <c r="E29" s="39" t="inlineStr">
        <is>
          <t>Direct measure of DR capacity headroom. High DR free slots = region can accommodate additional DR workload. This evaluates the region's ability to serve as a DR destination (multi-source DR hosting, DR-016).</t>
        </is>
      </c>
      <c r="F29" s="42" t="inlineStr">
        <is>
          <t>Capacity_Usage: S (DR Free) ÷ R (DR Reserved)
Scoring_DR: G (α_raw), H (α_c)</t>
        </is>
      </c>
    </row>
    <row r="30" ht="90" customHeight="1">
      <c r="A30" s="38" t="inlineStr">
        <is>
          <t>β</t>
        </is>
      </c>
      <c r="B30" s="39" t="inlineStr">
        <is>
          <t>Quota headroom (DR quota availability)</t>
        </is>
      </c>
      <c r="C30" s="40" t="inlineStr">
        <is>
          <t>Clamp(dr_crg.quota_headroom / dr_crg.quota_limit)</t>
        </is>
      </c>
      <c r="D30" s="41" t="inlineStr">
        <is>
          <t>0.20</t>
        </is>
      </c>
      <c r="E30" s="39" t="inlineStr">
        <is>
          <t>DR quota headroom. In practice, DR uses NonProd quota (DR VMs are in a NonProd environment), so this typically references NP Q-Headroom. Ensures the region has sufficient quota to accommodate the DR workload.</t>
        </is>
      </c>
      <c r="F30" s="42" t="inlineStr">
        <is>
          <t>Capacity_Usage: Q (NP Q-Headroom) ÷ O (NP Q-Limit)
Scoring_DR: I (β_raw), J (β_c)
(DR uses NonProd quota per ENV-002)</t>
        </is>
      </c>
    </row>
    <row r="31" ht="90" customHeight="1">
      <c r="A31" s="38" t="inlineStr">
        <is>
          <t>γ</t>
        </is>
      </c>
      <c r="B31" s="39" t="inlineStr">
        <is>
          <t>Distribution fairness (load balancing)</t>
        </is>
      </c>
      <c r="C31" s="40" t="inlineStr">
        <is>
          <t>Clamp(1 - dr_customer_count / total_customers)</t>
        </is>
      </c>
      <c r="D31" s="41" t="inlineStr">
        <is>
          <t>0.25</t>
        </is>
      </c>
      <c r="E31" s="39" t="inlineStr">
        <is>
          <t>Rewards regions with fewer existing DR customers, promoting even DR distribution. Prevents DR concentration in a single destination region. Same geography denominator (PLC-012).</t>
        </is>
      </c>
      <c r="F31" s="42" t="inlineStr">
        <is>
          <t>Capacity_Usage: U (Cust Count)
Scoring_DR: F (total_cust for denominator), K (γ_raw), L (γ_c)
total_customers scope: geography (PLC-012); γ = 1 when zero</t>
        </is>
      </c>
    </row>
    <row r="32" ht="90" customHeight="1">
      <c r="A32" s="38" t="inlineStr">
        <is>
          <t>δ</t>
        </is>
      </c>
      <c r="B32" s="39" t="inlineStr">
        <is>
          <t>Coverage ratio health (DR sizing adequacy)</t>
        </is>
      </c>
      <c r="C32" s="40" t="inlineStr">
        <is>
          <t>min(1.0, dr_crg.coverage_ratio / dr_coverage_target)</t>
        </is>
      </c>
      <c r="D32" s="41" t="inlineStr">
        <is>
          <t>0.15</t>
        </is>
      </c>
      <c r="E32" s="39" t="inlineStr">
        <is>
          <t>Measures how close the region's existing DR coverage is to the configured target. Uses min(1.0, ...) instead of Clamp() for normalization. dr_coverage_target is a configurable scoring reference (per customer/product), NOT the retired 30-40% dr_ratio. DR sizing uses max-not-sum (A.6, DR-017).</t>
        </is>
      </c>
      <c r="F32" s="42" t="inlineStr">
        <is>
          <t>Capacity_Usage: T (DR Coverage)
Scoring_DR: M (δ_raw), N (δ_c)
dr_coverage_target = configurable scoring parameter (Policy sheet or config)</t>
        </is>
      </c>
    </row>
    <row r="33" ht="90" customHeight="1">
      <c r="A33" s="38" t="inlineStr">
        <is>
          <t>ε</t>
        </is>
      </c>
      <c r="B33" s="39" t="inlineStr">
        <is>
          <t>Zone diversity (availability zone count)</t>
        </is>
      </c>
      <c r="C33" s="40" t="inlineStr">
        <is>
          <t>Clamp(az_count / 3)</t>
        </is>
      </c>
      <c r="D33" s="41" t="inlineStr">
        <is>
          <t>0.10</t>
        </is>
      </c>
      <c r="E33" s="39" t="inlineStr">
        <is>
          <t>Identical to PS_Prod and PS_NonProd. Favors regions with more availability zones for better DR fault isolation.</t>
        </is>
      </c>
      <c r="F33" s="42" t="inlineStr">
        <is>
          <t>Capacity_Usage: E (AZ)
Scoring_DR: O (ε_raw), P (ε_c)</t>
        </is>
      </c>
    </row>
    <row r="34" ht="60" customHeight="1">
      <c r="A34" s="43" t="inlineStr">
        <is>
          <t>FINAL SCORE</t>
        </is>
      </c>
      <c r="B34" s="44" t="inlineStr">
        <is>
          <t>Weighted sum of all five components</t>
        </is>
      </c>
      <c r="C34" s="45" t="inlineStr">
        <is>
          <t>PS_DR = 0.30×α + 0.20×β + 0.25×γ + 0.15×δ + 0.10×ε</t>
        </is>
      </c>
      <c r="D34" s="46" t="inlineStr">
        <is>
          <t>1.00</t>
        </is>
      </c>
      <c r="E34" s="47" t="inlineStr">
        <is>
          <t>Range: [0, 1]. Highest score = best DR candidate. Winner = argmax(PS_DR) over eligible Standard regions (excluding Prod, CVAL). In 2-region model (EU, AU, AP): DR co-locates with CVAL (PLC-010a mandatory). Middle East: DR cross-geo in Europe (weighted-selected).</t>
        </is>
      </c>
      <c r="F34" s="48" t="inlineStr">
        <is>
          <t>Scoring_DR: Q (PS)</t>
        </is>
      </c>
    </row>
    <row r="36">
      <c r="A36" s="49" t="inlineStr">
        <is>
          <t>KEY NOTES</t>
        </is>
      </c>
    </row>
    <row r="37" ht="30" customHeight="1">
      <c r="A37" s="3" t="inlineStr">
        <is>
          <t>1. Clamp(x) = MIN(MAX(x, 0), 1) — ensures all component values stay in [0, 1] range to prevent outliers from dominating.</t>
        </is>
      </c>
    </row>
    <row r="38" ht="30" customHeight="1">
      <c r="A38" s="3" t="inlineStr">
        <is>
          <t>2. Weight sum constraint: α + β + γ + δ + ε = 1.0 (enforced by Policy sheet validation).</t>
        </is>
      </c>
    </row>
    <row r="39" ht="30" customHeight="1">
      <c r="A39" s="3" t="inlineStr">
        <is>
          <t>3. The three PS formulas are IDENTICAL across all region models (2-region, 3-region, 4-region, cross-geo). What changes: number of argmax passes, candidate pool, HC gate constraints.</t>
        </is>
      </c>
    </row>
    <row r="40" ht="30" customHeight="1">
      <c r="A40" s="3" t="inlineStr">
        <is>
          <t>4. total_customers (γ denominator) is DECIDED in baseline v2.5 amended (PLC-012, A.10): live count of customers with any environment provisioned or deploying in the geography, shared by all three scores; γ = 1 when the count is zero.</t>
        </is>
      </c>
    </row>
    <row r="41" ht="30" customHeight="1">
      <c r="A41" s="3" t="inlineStr">
        <is>
          <t>5. PS_NonProd α and δ are identical (design-of-record v2.4) — combined weight 0.45. A pilot variant exists that removes this duplication.</t>
        </is>
      </c>
    </row>
    <row r="42" ht="30" customHeight="1">
      <c r="A42" s="3" t="inlineStr">
        <is>
          <t>6. PS_DR δ uses min(1.0, ...) instead of Clamp() for coverage-ratio normalization.</t>
        </is>
      </c>
    </row>
    <row r="43" ht="30" customHeight="1">
      <c r="A43" s="3" t="inlineStr">
        <is>
          <t>7. Column references: _raw = unclamped component; _c = clamped component; PS = final placement score.</t>
        </is>
      </c>
    </row>
    <row r="44" ht="30" customHeight="1">
      <c r="A44" s="3" t="inlineStr">
        <is>
          <t>8. Winner selection: argmax(PS) over eligible Standard regions (or deterministic in 2-region co-located model).</t>
        </is>
      </c>
    </row>
  </sheetData>
  <mergeCells count="16">
    <mergeCell ref="A38:F38"/>
    <mergeCell ref="A41:F41"/>
    <mergeCell ref="A42:F42"/>
    <mergeCell ref="A36:F36"/>
    <mergeCell ref="A44:F44"/>
    <mergeCell ref="A1:F1"/>
    <mergeCell ref="A5:F5"/>
    <mergeCell ref="A37:F37"/>
    <mergeCell ref="A27:F27"/>
    <mergeCell ref="A17:F17"/>
    <mergeCell ref="A40:F40"/>
    <mergeCell ref="A4:F4"/>
    <mergeCell ref="A3:F3"/>
    <mergeCell ref="A39:F39"/>
    <mergeCell ref="A7:F7"/>
    <mergeCell ref="A43:F43"/>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1"/>
  <sheetViews>
    <sheetView showGridLines="0" workbookViewId="0">
      <selection activeCell="A1" sqref="A1"/>
    </sheetView>
  </sheetViews>
  <sheetFormatPr baseColWidth="8" defaultRowHeight="15"/>
  <cols>
    <col width="24" customWidth="1" min="1" max="1"/>
    <col width="16" customWidth="1" min="2" max="2"/>
  </cols>
  <sheetData>
    <row r="1">
      <c r="A1" s="8" t="inlineStr">
        <is>
          <t>SKU → QUOTA FAMILY MAP (drives all lookups)</t>
        </is>
      </c>
    </row>
    <row r="2">
      <c r="A2" s="9" t="inlineStr">
        <is>
          <t>Capacity reservations are per SKU; quota is per VM/quota family. Many SKUs roll up to one family (QUA-002).</t>
        </is>
      </c>
    </row>
    <row r="3">
      <c r="A3" s="10" t="inlineStr">
        <is>
          <t>SKU</t>
        </is>
      </c>
      <c r="B3" s="10" t="inlineStr">
        <is>
          <t>Quota Family</t>
        </is>
      </c>
    </row>
    <row r="4">
      <c r="A4" s="20" t="inlineStr">
        <is>
          <t>Standard_E32ads_v5</t>
        </is>
      </c>
      <c r="B4" s="11" t="inlineStr">
        <is>
          <t>Eadsv5</t>
        </is>
      </c>
    </row>
    <row r="5">
      <c r="A5" s="20" t="inlineStr">
        <is>
          <t>Standard_E64ads_v5</t>
        </is>
      </c>
      <c r="B5" s="11" t="inlineStr">
        <is>
          <t>Eadsv5</t>
        </is>
      </c>
    </row>
    <row r="6">
      <c r="A6" s="20" t="inlineStr">
        <is>
          <t>Standard_E16ads_v5</t>
        </is>
      </c>
      <c r="B6" s="11" t="inlineStr">
        <is>
          <t>Eadsv5</t>
        </is>
      </c>
    </row>
    <row r="7">
      <c r="A7" s="20" t="inlineStr">
        <is>
          <t>Standard_E32ads_v6</t>
        </is>
      </c>
      <c r="B7" s="11" t="inlineStr">
        <is>
          <t>Eadsv6</t>
        </is>
      </c>
    </row>
    <row r="8">
      <c r="A8" s="20" t="inlineStr">
        <is>
          <t>Standard_D8ads_v5</t>
        </is>
      </c>
      <c r="B8" s="11" t="inlineStr">
        <is>
          <t>Dadsv5</t>
        </is>
      </c>
    </row>
    <row r="9">
      <c r="A9" s="20" t="inlineStr">
        <is>
          <t>Standard_D16ads_v5</t>
        </is>
      </c>
      <c r="B9" s="11" t="inlineStr">
        <is>
          <t>Dadsv5</t>
        </is>
      </c>
    </row>
    <row r="10">
      <c r="A10" s="20" t="inlineStr">
        <is>
          <t>Standard_D8as_v5</t>
        </is>
      </c>
      <c r="B10" s="11" t="inlineStr">
        <is>
          <t>Dasv5</t>
        </is>
      </c>
    </row>
    <row r="11">
      <c r="A11" s="20" t="inlineStr">
        <is>
          <t>Standard_D16as_v5</t>
        </is>
      </c>
      <c r="B11" s="11" t="inlineStr">
        <is>
          <t>Dasv5</t>
        </is>
      </c>
    </row>
  </sheetData>
  <mergeCells count="2">
    <mergeCell ref="A2:B2"/>
    <mergeCell ref="A1:B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1"/>
  <sheetViews>
    <sheetView showGridLines="0" workbookViewId="0">
      <selection activeCell="A1" sqref="A1"/>
    </sheetView>
  </sheetViews>
  <sheetFormatPr baseColWidth="8" defaultRowHeight="15"/>
  <cols>
    <col width="24" customWidth="1" min="1" max="1"/>
    <col width="15" customWidth="1" min="2" max="2"/>
    <col width="14" customWidth="1" min="3" max="3"/>
    <col width="16" customWidth="1" min="4" max="4"/>
    <col width="10" customWidth="1" min="5" max="5"/>
    <col width="20" customWidth="1" min="6" max="6"/>
    <col width="34" customWidth="1" min="7" max="7"/>
  </cols>
  <sheetData>
    <row r="1">
      <c r="A1" s="8" t="inlineStr">
        <is>
          <t>SKU CATALOGUE (seed-matrix view, CAP-022)</t>
        </is>
      </c>
    </row>
    <row r="2">
      <c r="A2" s="9" t="inlineStr">
        <is>
          <t>Managed SKU set. Reservation eligibility requires zonal placement or regional where the SKU has no zonal support (CAP-020/CAP-022). 'Real Cores' = total from the usage export (all regions).</t>
        </is>
      </c>
    </row>
    <row r="3">
      <c r="A3" s="50" t="inlineStr">
        <is>
          <t>SKU</t>
        </is>
      </c>
      <c r="B3" s="50" t="inlineStr">
        <is>
          <t>vCPU / instance</t>
        </is>
      </c>
      <c r="C3" s="50" t="inlineStr">
        <is>
          <t>Quota Family</t>
        </is>
      </c>
      <c r="D3" s="50" t="inlineStr">
        <is>
          <t>Zonal? (CAP-020)</t>
        </is>
      </c>
      <c r="E3" s="50" t="inlineStr">
        <is>
          <t>Eligible?</t>
        </is>
      </c>
      <c r="F3" s="50" t="inlineStr">
        <is>
          <t>Real Cores (all regions)</t>
        </is>
      </c>
      <c r="G3" s="50" t="inlineStr">
        <is>
          <t>Notes</t>
        </is>
      </c>
    </row>
    <row r="4">
      <c r="A4" s="11" t="inlineStr">
        <is>
          <t>Standard_E32ads_v5</t>
        </is>
      </c>
      <c r="B4" s="11" t="n">
        <v>32</v>
      </c>
      <c r="C4" s="11" t="inlineStr">
        <is>
          <t>Eadsv5</t>
        </is>
      </c>
      <c r="D4" s="11" t="inlineStr">
        <is>
          <t>Yes</t>
        </is>
      </c>
      <c r="E4" s="11" t="inlineStr">
        <is>
          <t>Yes</t>
        </is>
      </c>
      <c r="F4" s="12" t="n">
        <v>155200</v>
      </c>
      <c r="G4" s="11" t="inlineStr">
        <is>
          <t>General-purpose (D) / memory-optimised (E)</t>
        </is>
      </c>
    </row>
    <row r="5">
      <c r="A5" s="11" t="inlineStr">
        <is>
          <t>Standard_E64ads_v5</t>
        </is>
      </c>
      <c r="B5" s="11" t="n">
        <v>64</v>
      </c>
      <c r="C5" s="11" t="inlineStr">
        <is>
          <t>Eadsv5</t>
        </is>
      </c>
      <c r="D5" s="11" t="inlineStr">
        <is>
          <t>Yes</t>
        </is>
      </c>
      <c r="E5" s="11" t="inlineStr">
        <is>
          <t>Yes</t>
        </is>
      </c>
      <c r="F5" s="12" t="n">
        <v>108352</v>
      </c>
      <c r="G5" s="11" t="inlineStr">
        <is>
          <t>General-purpose (D) / memory-optimised (E)</t>
        </is>
      </c>
    </row>
    <row r="6">
      <c r="A6" s="11" t="inlineStr">
        <is>
          <t>Standard_E16ads_v5</t>
        </is>
      </c>
      <c r="B6" s="11" t="n">
        <v>16</v>
      </c>
      <c r="C6" s="11" t="inlineStr">
        <is>
          <t>Eadsv5</t>
        </is>
      </c>
      <c r="D6" s="11" t="inlineStr">
        <is>
          <t>Yes</t>
        </is>
      </c>
      <c r="E6" s="11" t="inlineStr">
        <is>
          <t>Yes</t>
        </is>
      </c>
      <c r="F6" s="12" t="n">
        <v>52336</v>
      </c>
      <c r="G6" s="11" t="inlineStr">
        <is>
          <t>General-purpose (D) / memory-optimised (E)</t>
        </is>
      </c>
    </row>
    <row r="7">
      <c r="A7" s="11" t="inlineStr">
        <is>
          <t>Standard_E32ads_v6</t>
        </is>
      </c>
      <c r="B7" s="11" t="n">
        <v>32</v>
      </c>
      <c r="C7" s="11" t="inlineStr">
        <is>
          <t>Eadsv6</t>
        </is>
      </c>
      <c r="D7" s="11" t="inlineStr">
        <is>
          <t>Yes</t>
        </is>
      </c>
      <c r="E7" s="11" t="inlineStr">
        <is>
          <t>Yes</t>
        </is>
      </c>
      <c r="F7" s="12" t="n">
        <v>66240</v>
      </c>
      <c r="G7" s="11" t="inlineStr">
        <is>
          <t>General-purpose (D) / memory-optimised (E)</t>
        </is>
      </c>
    </row>
    <row r="8">
      <c r="A8" s="11" t="inlineStr">
        <is>
          <t>Standard_D8ads_v5</t>
        </is>
      </c>
      <c r="B8" s="11" t="n">
        <v>8</v>
      </c>
      <c r="C8" s="11" t="inlineStr">
        <is>
          <t>Dadsv5</t>
        </is>
      </c>
      <c r="D8" s="11" t="inlineStr">
        <is>
          <t>Yes</t>
        </is>
      </c>
      <c r="E8" s="11" t="inlineStr">
        <is>
          <t>Yes</t>
        </is>
      </c>
      <c r="F8" s="12" t="n">
        <v>48592</v>
      </c>
      <c r="G8" s="11" t="inlineStr">
        <is>
          <t>General-purpose (D) / memory-optimised (E)</t>
        </is>
      </c>
    </row>
    <row r="9">
      <c r="A9" s="11" t="inlineStr">
        <is>
          <t>Standard_D16ads_v5</t>
        </is>
      </c>
      <c r="B9" s="11" t="n">
        <v>16</v>
      </c>
      <c r="C9" s="11" t="inlineStr">
        <is>
          <t>Dadsv5</t>
        </is>
      </c>
      <c r="D9" s="11" t="inlineStr">
        <is>
          <t>Yes</t>
        </is>
      </c>
      <c r="E9" s="11" t="inlineStr">
        <is>
          <t>Yes</t>
        </is>
      </c>
      <c r="F9" s="12" t="n">
        <v>21856</v>
      </c>
      <c r="G9" s="11" t="inlineStr">
        <is>
          <t>General-purpose (D) / memory-optimised (E)</t>
        </is>
      </c>
    </row>
    <row r="10">
      <c r="A10" s="11" t="inlineStr">
        <is>
          <t>Standard_D8as_v5</t>
        </is>
      </c>
      <c r="B10" s="11" t="n">
        <v>8</v>
      </c>
      <c r="C10" s="11" t="inlineStr">
        <is>
          <t>Dasv5</t>
        </is>
      </c>
      <c r="D10" s="11" t="inlineStr">
        <is>
          <t>Yes</t>
        </is>
      </c>
      <c r="E10" s="11" t="inlineStr">
        <is>
          <t>Yes</t>
        </is>
      </c>
      <c r="F10" s="12" t="n">
        <v>36192</v>
      </c>
      <c r="G10" s="11" t="inlineStr">
        <is>
          <t>General-purpose (D) / memory-optimised (E)</t>
        </is>
      </c>
    </row>
    <row r="11">
      <c r="A11" s="11" t="inlineStr">
        <is>
          <t>Standard_D16as_v5</t>
        </is>
      </c>
      <c r="B11" s="11" t="n">
        <v>16</v>
      </c>
      <c r="C11" s="11" t="inlineStr">
        <is>
          <t>Dasv5</t>
        </is>
      </c>
      <c r="D11" s="11" t="inlineStr">
        <is>
          <t>Yes</t>
        </is>
      </c>
      <c r="E11" s="11" t="inlineStr">
        <is>
          <t>Yes</t>
        </is>
      </c>
      <c r="F11" s="12" t="n">
        <v>16304</v>
      </c>
      <c r="G11" s="11" t="inlineStr">
        <is>
          <t>General-purpose (D) / memory-optimised (E)</t>
        </is>
      </c>
    </row>
  </sheetData>
  <mergeCells count="2">
    <mergeCell ref="A2:G2"/>
    <mergeCell ref="A1:G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P196"/>
  <sheetViews>
    <sheetView showGridLines="0" workbookViewId="0">
      <pane ySplit="4" topLeftCell="A5" activePane="bottomLeft" state="frozen"/>
      <selection pane="bottomLeft" activeCell="A1" sqref="A1"/>
    </sheetView>
  </sheetViews>
  <sheetFormatPr baseColWidth="8" defaultRowHeight="15"/>
  <cols>
    <col width="15" customWidth="1" min="1" max="1"/>
    <col width="11" customWidth="1" min="2" max="2"/>
    <col width="12" customWidth="1" min="3" max="3"/>
    <col width="20" customWidth="1" min="4" max="4"/>
    <col width="10" customWidth="1" min="5" max="5"/>
    <col width="18" customWidth="1" min="6" max="6"/>
    <col width="9" customWidth="1" min="7" max="7"/>
    <col width="11" customWidth="1" min="8" max="8"/>
    <col width="9" customWidth="1" min="9" max="9"/>
    <col width="11" customWidth="1" min="10" max="10"/>
    <col width="12" customWidth="1" min="11" max="11"/>
    <col width="14" customWidth="1" min="12" max="12"/>
    <col width="15" customWidth="1" min="13" max="13"/>
    <col width="16" customWidth="1" min="14" max="14"/>
    <col width="20" customWidth="1" min="15" max="15"/>
    <col width="26" customWidth="1" min="16" max="16"/>
  </cols>
  <sheetData>
    <row r="1">
      <c r="A1" s="8" t="inlineStr">
        <is>
          <t>CAPACITY RESERVATIONS BY SKU  +  GROUP AVAILABILITY DURING ALLOCATION</t>
        </is>
      </c>
    </row>
    <row r="2">
      <c r="A2" s="9" t="inlineStr">
        <is>
          <t>Grain = Region × Environment × SKU (separate CRG per environment, ENV-003 capacity plane; CAP-023). Allocated = real usage from export (DR = 30% bootstrap of Prod, ENV-005; Canada Central = mock, absent in data). Reserved = Allocated + Buffer (CAP-003). GROUP AVAILABILITY = MIN(SKU reserved-free, family quota-available) — the number that actually gates a placement.</t>
        </is>
      </c>
    </row>
    <row r="3">
      <c r="A3" s="51" t="inlineStr">
        <is>
          <t>NOTE: Phase 1 models the CRG at REGIONAL scope (crg-…-reg). Per-availability-zone CRGs (crg-…-az1/az2/az3, CAP-023/CAP-011) are the documented next increment; quota has no zone dimension so the join stays at region+family.</t>
        </is>
      </c>
    </row>
    <row r="4">
      <c r="A4" s="50" t="inlineStr">
        <is>
          <t>Region</t>
        </is>
      </c>
      <c r="B4" s="50" t="inlineStr">
        <is>
          <t>Geography</t>
        </is>
      </c>
      <c r="C4" s="50" t="inlineStr">
        <is>
          <t>Environment</t>
        </is>
      </c>
      <c r="D4" s="50" t="inlineStr">
        <is>
          <t>SKU</t>
        </is>
      </c>
      <c r="E4" s="50" t="inlineStr">
        <is>
          <t>Family</t>
        </is>
      </c>
      <c r="F4" s="50" t="inlineStr">
        <is>
          <t>CRG (CAP-023)</t>
        </is>
      </c>
      <c r="G4" s="50" t="inlineStr">
        <is>
          <t>vCPU/inst</t>
        </is>
      </c>
      <c r="H4" s="50" t="inlineStr">
        <is>
          <t>Allocated</t>
        </is>
      </c>
      <c r="I4" s="50" t="inlineStr">
        <is>
          <t>Buffer</t>
        </is>
      </c>
      <c r="J4" s="50" t="inlineStr">
        <is>
          <t>Reserved</t>
        </is>
      </c>
      <c r="K4" s="50" t="inlineStr">
        <is>
          <t>Reserved-Free</t>
        </is>
      </c>
      <c r="L4" s="50" t="inlineStr">
        <is>
          <t>Family Quota-Avail</t>
        </is>
      </c>
      <c r="M4" s="50" t="inlineStr">
        <is>
          <t>GROUP AVAIL (MIN)</t>
        </is>
      </c>
      <c r="N4" s="50" t="inlineStr">
        <is>
          <t>Binding Constraint</t>
        </is>
      </c>
      <c r="O4" s="50" t="inlineStr">
        <is>
          <t>Readiness (RDY-002)</t>
        </is>
      </c>
      <c r="P4" s="50" t="inlineStr">
        <is>
          <t>Notes</t>
        </is>
      </c>
    </row>
    <row r="5">
      <c r="A5" s="11" t="inlineStr">
        <is>
          <t>West US 3</t>
        </is>
      </c>
      <c r="B5" s="11" t="inlineStr">
        <is>
          <t>US</t>
        </is>
      </c>
      <c r="C5" s="11" t="inlineStr">
        <is>
          <t>Prod</t>
        </is>
      </c>
      <c r="D5" s="11" t="inlineStr">
        <is>
          <t>Standard_E32ads_v5</t>
        </is>
      </c>
      <c r="E5" s="11">
        <f>VLOOKUP(D5,SKU_Family_Map!$A:$B,2,FALSE)</f>
        <v/>
      </c>
      <c r="F5" s="11" t="inlineStr">
        <is>
          <t>crg-pr-wus3-reg</t>
        </is>
      </c>
      <c r="G5" s="11" t="n">
        <v>32</v>
      </c>
      <c r="H5" s="29" t="n">
        <v>0</v>
      </c>
      <c r="I5" s="29" t="n">
        <v>8</v>
      </c>
      <c r="J5" s="52">
        <f>H5+I5</f>
        <v/>
      </c>
      <c r="K5" s="52">
        <f>J5-H5</f>
        <v/>
      </c>
      <c r="L5" s="52">
        <f>SUMIFS(Quota_Groups!$G:$G,Quota_Groups!$B:$B,A5,Quota_Groups!$D:$D,E5)</f>
        <v/>
      </c>
      <c r="M5" s="53">
        <f>MIN(K5,L5)</f>
        <v/>
      </c>
      <c r="N5" s="11">
        <f>IF(K5&lt;=L5,"CAPACITY","QUOTA")</f>
        <v/>
      </c>
      <c r="O5" s="11">
        <f>IF(K5&lt;=0,"RESERVATION_DEFICIT",IF(L5&lt;=0,"QUOTA_DEFICIT",IF(M5&lt;I5*0.5,"READY_WITH_RISK","READY")))</f>
        <v/>
      </c>
      <c r="P5" s="39" t="inlineStr"/>
    </row>
    <row r="6">
      <c r="A6" s="11" t="inlineStr">
        <is>
          <t>West US 3</t>
        </is>
      </c>
      <c r="B6" s="11" t="inlineStr">
        <is>
          <t>US</t>
        </is>
      </c>
      <c r="C6" s="11" t="inlineStr">
        <is>
          <t>Prod</t>
        </is>
      </c>
      <c r="D6" s="11" t="inlineStr">
        <is>
          <t>Standard_E64ads_v5</t>
        </is>
      </c>
      <c r="E6" s="11">
        <f>VLOOKUP(D6,SKU_Family_Map!$A:$B,2,FALSE)</f>
        <v/>
      </c>
      <c r="F6" s="11" t="inlineStr">
        <is>
          <t>crg-pr-wus3-reg</t>
        </is>
      </c>
      <c r="G6" s="11" t="n">
        <v>64</v>
      </c>
      <c r="H6" s="29" t="n">
        <v>0</v>
      </c>
      <c r="I6" s="29" t="n">
        <v>8</v>
      </c>
      <c r="J6" s="52">
        <f>H6+I6</f>
        <v/>
      </c>
      <c r="K6" s="52">
        <f>J6-H6</f>
        <v/>
      </c>
      <c r="L6" s="52">
        <f>SUMIFS(Quota_Groups!$G:$G,Quota_Groups!$B:$B,A6,Quota_Groups!$D:$D,E6)</f>
        <v/>
      </c>
      <c r="M6" s="53">
        <f>MIN(K6,L6)</f>
        <v/>
      </c>
      <c r="N6" s="11">
        <f>IF(K6&lt;=L6,"CAPACITY","QUOTA")</f>
        <v/>
      </c>
      <c r="O6" s="11">
        <f>IF(K6&lt;=0,"RESERVATION_DEFICIT",IF(L6&lt;=0,"QUOTA_DEFICIT",IF(M6&lt;I6*0.5,"READY_WITH_RISK","READY")))</f>
        <v/>
      </c>
      <c r="P6" s="39" t="inlineStr"/>
    </row>
    <row r="7">
      <c r="A7" s="11" t="inlineStr">
        <is>
          <t>West US 3</t>
        </is>
      </c>
      <c r="B7" s="11" t="inlineStr">
        <is>
          <t>US</t>
        </is>
      </c>
      <c r="C7" s="11" t="inlineStr">
        <is>
          <t>Prod</t>
        </is>
      </c>
      <c r="D7" s="11" t="inlineStr">
        <is>
          <t>Standard_E16ads_v5</t>
        </is>
      </c>
      <c r="E7" s="11">
        <f>VLOOKUP(D7,SKU_Family_Map!$A:$B,2,FALSE)</f>
        <v/>
      </c>
      <c r="F7" s="11" t="inlineStr">
        <is>
          <t>crg-pr-wus3-reg</t>
        </is>
      </c>
      <c r="G7" s="11" t="n">
        <v>16</v>
      </c>
      <c r="H7" s="29" t="n">
        <v>0</v>
      </c>
      <c r="I7" s="29" t="n">
        <v>8</v>
      </c>
      <c r="J7" s="52">
        <f>H7+I7</f>
        <v/>
      </c>
      <c r="K7" s="52">
        <f>J7-H7</f>
        <v/>
      </c>
      <c r="L7" s="52">
        <f>SUMIFS(Quota_Groups!$G:$G,Quota_Groups!$B:$B,A7,Quota_Groups!$D:$D,E7)</f>
        <v/>
      </c>
      <c r="M7" s="53">
        <f>MIN(K7,L7)</f>
        <v/>
      </c>
      <c r="N7" s="11">
        <f>IF(K7&lt;=L7,"CAPACITY","QUOTA")</f>
        <v/>
      </c>
      <c r="O7" s="11">
        <f>IF(K7&lt;=0,"RESERVATION_DEFICIT",IF(L7&lt;=0,"QUOTA_DEFICIT",IF(M7&lt;I7*0.5,"READY_WITH_RISK","READY")))</f>
        <v/>
      </c>
      <c r="P7" s="39" t="inlineStr"/>
    </row>
    <row r="8">
      <c r="A8" s="11" t="inlineStr">
        <is>
          <t>West US 3</t>
        </is>
      </c>
      <c r="B8" s="11" t="inlineStr">
        <is>
          <t>US</t>
        </is>
      </c>
      <c r="C8" s="11" t="inlineStr">
        <is>
          <t>Prod</t>
        </is>
      </c>
      <c r="D8" s="11" t="inlineStr">
        <is>
          <t>Standard_E32ads_v6</t>
        </is>
      </c>
      <c r="E8" s="11">
        <f>VLOOKUP(D8,SKU_Family_Map!$A:$B,2,FALSE)</f>
        <v/>
      </c>
      <c r="F8" s="11" t="inlineStr">
        <is>
          <t>crg-pr-wus3-reg</t>
        </is>
      </c>
      <c r="G8" s="11" t="n">
        <v>32</v>
      </c>
      <c r="H8" s="29" t="n">
        <v>0</v>
      </c>
      <c r="I8" s="29" t="n">
        <v>8</v>
      </c>
      <c r="J8" s="52">
        <f>H8+I8</f>
        <v/>
      </c>
      <c r="K8" s="52">
        <f>J8-H8</f>
        <v/>
      </c>
      <c r="L8" s="52">
        <f>SUMIFS(Quota_Groups!$G:$G,Quota_Groups!$B:$B,A8,Quota_Groups!$D:$D,E8)</f>
        <v/>
      </c>
      <c r="M8" s="53">
        <f>MIN(K8,L8)</f>
        <v/>
      </c>
      <c r="N8" s="11">
        <f>IF(K8&lt;=L8,"CAPACITY","QUOTA")</f>
        <v/>
      </c>
      <c r="O8" s="11">
        <f>IF(K8&lt;=0,"RESERVATION_DEFICIT",IF(L8&lt;=0,"QUOTA_DEFICIT",IF(M8&lt;I8*0.5,"READY_WITH_RISK","READY")))</f>
        <v/>
      </c>
      <c r="P8" s="39" t="inlineStr"/>
    </row>
    <row r="9">
      <c r="A9" s="11" t="inlineStr">
        <is>
          <t>West US 3</t>
        </is>
      </c>
      <c r="B9" s="11" t="inlineStr">
        <is>
          <t>US</t>
        </is>
      </c>
      <c r="C9" s="11" t="inlineStr">
        <is>
          <t>Prod</t>
        </is>
      </c>
      <c r="D9" s="11" t="inlineStr">
        <is>
          <t>Standard_D8ads_v5</t>
        </is>
      </c>
      <c r="E9" s="11">
        <f>VLOOKUP(D9,SKU_Family_Map!$A:$B,2,FALSE)</f>
        <v/>
      </c>
      <c r="F9" s="11" t="inlineStr">
        <is>
          <t>crg-pr-wus3-reg</t>
        </is>
      </c>
      <c r="G9" s="11" t="n">
        <v>8</v>
      </c>
      <c r="H9" s="29" t="n">
        <v>0</v>
      </c>
      <c r="I9" s="29" t="n">
        <v>8</v>
      </c>
      <c r="J9" s="52">
        <f>H9+I9</f>
        <v/>
      </c>
      <c r="K9" s="52">
        <f>J9-H9</f>
        <v/>
      </c>
      <c r="L9" s="52">
        <f>SUMIFS(Quota_Groups!$G:$G,Quota_Groups!$B:$B,A9,Quota_Groups!$D:$D,E9)</f>
        <v/>
      </c>
      <c r="M9" s="53">
        <f>MIN(K9,L9)</f>
        <v/>
      </c>
      <c r="N9" s="11">
        <f>IF(K9&lt;=L9,"CAPACITY","QUOTA")</f>
        <v/>
      </c>
      <c r="O9" s="11">
        <f>IF(K9&lt;=0,"RESERVATION_DEFICIT",IF(L9&lt;=0,"QUOTA_DEFICIT",IF(M9&lt;I9*0.5,"READY_WITH_RISK","READY")))</f>
        <v/>
      </c>
      <c r="P9" s="39" t="inlineStr"/>
    </row>
    <row r="10">
      <c r="A10" s="11" t="inlineStr">
        <is>
          <t>West US 3</t>
        </is>
      </c>
      <c r="B10" s="11" t="inlineStr">
        <is>
          <t>US</t>
        </is>
      </c>
      <c r="C10" s="11" t="inlineStr">
        <is>
          <t>Prod</t>
        </is>
      </c>
      <c r="D10" s="11" t="inlineStr">
        <is>
          <t>Standard_D16ads_v5</t>
        </is>
      </c>
      <c r="E10" s="11">
        <f>VLOOKUP(D10,SKU_Family_Map!$A:$B,2,FALSE)</f>
        <v/>
      </c>
      <c r="F10" s="11" t="inlineStr">
        <is>
          <t>crg-pr-wus3-reg</t>
        </is>
      </c>
      <c r="G10" s="11" t="n">
        <v>16</v>
      </c>
      <c r="H10" s="29" t="n">
        <v>0</v>
      </c>
      <c r="I10" s="29" t="n">
        <v>8</v>
      </c>
      <c r="J10" s="52">
        <f>H10+I10</f>
        <v/>
      </c>
      <c r="K10" s="52">
        <f>J10-H10</f>
        <v/>
      </c>
      <c r="L10" s="52">
        <f>SUMIFS(Quota_Groups!$G:$G,Quota_Groups!$B:$B,A10,Quota_Groups!$D:$D,E10)</f>
        <v/>
      </c>
      <c r="M10" s="53">
        <f>MIN(K10,L10)</f>
        <v/>
      </c>
      <c r="N10" s="11">
        <f>IF(K10&lt;=L10,"CAPACITY","QUOTA")</f>
        <v/>
      </c>
      <c r="O10" s="11">
        <f>IF(K10&lt;=0,"RESERVATION_DEFICIT",IF(L10&lt;=0,"QUOTA_DEFICIT",IF(M10&lt;I10*0.5,"READY_WITH_RISK","READY")))</f>
        <v/>
      </c>
      <c r="P10" s="39" t="inlineStr"/>
    </row>
    <row r="11">
      <c r="A11" s="11" t="inlineStr">
        <is>
          <t>West US 3</t>
        </is>
      </c>
      <c r="B11" s="11" t="inlineStr">
        <is>
          <t>US</t>
        </is>
      </c>
      <c r="C11" s="11" t="inlineStr">
        <is>
          <t>Prod</t>
        </is>
      </c>
      <c r="D11" s="11" t="inlineStr">
        <is>
          <t>Standard_D8as_v5</t>
        </is>
      </c>
      <c r="E11" s="11">
        <f>VLOOKUP(D11,SKU_Family_Map!$A:$B,2,FALSE)</f>
        <v/>
      </c>
      <c r="F11" s="11" t="inlineStr">
        <is>
          <t>crg-pr-wus3-reg</t>
        </is>
      </c>
      <c r="G11" s="11" t="n">
        <v>8</v>
      </c>
      <c r="H11" s="29" t="n">
        <v>0</v>
      </c>
      <c r="I11" s="29" t="n">
        <v>8</v>
      </c>
      <c r="J11" s="52">
        <f>H11+I11</f>
        <v/>
      </c>
      <c r="K11" s="52">
        <f>J11-H11</f>
        <v/>
      </c>
      <c r="L11" s="52">
        <f>SUMIFS(Quota_Groups!$G:$G,Quota_Groups!$B:$B,A11,Quota_Groups!$D:$D,E11)</f>
        <v/>
      </c>
      <c r="M11" s="53">
        <f>MIN(K11,L11)</f>
        <v/>
      </c>
      <c r="N11" s="11">
        <f>IF(K11&lt;=L11,"CAPACITY","QUOTA")</f>
        <v/>
      </c>
      <c r="O11" s="11">
        <f>IF(K11&lt;=0,"RESERVATION_DEFICIT",IF(L11&lt;=0,"QUOTA_DEFICIT",IF(M11&lt;I11*0.5,"READY_WITH_RISK","READY")))</f>
        <v/>
      </c>
      <c r="P11" s="39" t="inlineStr"/>
    </row>
    <row r="12">
      <c r="A12" s="11" t="inlineStr">
        <is>
          <t>West US 3</t>
        </is>
      </c>
      <c r="B12" s="11" t="inlineStr">
        <is>
          <t>US</t>
        </is>
      </c>
      <c r="C12" s="11" t="inlineStr">
        <is>
          <t>Prod</t>
        </is>
      </c>
      <c r="D12" s="11" t="inlineStr">
        <is>
          <t>Standard_D16as_v5</t>
        </is>
      </c>
      <c r="E12" s="11">
        <f>VLOOKUP(D12,SKU_Family_Map!$A:$B,2,FALSE)</f>
        <v/>
      </c>
      <c r="F12" s="11" t="inlineStr">
        <is>
          <t>crg-pr-wus3-reg</t>
        </is>
      </c>
      <c r="G12" s="11" t="n">
        <v>16</v>
      </c>
      <c r="H12" s="29" t="n">
        <v>0</v>
      </c>
      <c r="I12" s="29" t="n">
        <v>8</v>
      </c>
      <c r="J12" s="52">
        <f>H12+I12</f>
        <v/>
      </c>
      <c r="K12" s="52">
        <f>J12-H12</f>
        <v/>
      </c>
      <c r="L12" s="52">
        <f>SUMIFS(Quota_Groups!$G:$G,Quota_Groups!$B:$B,A12,Quota_Groups!$D:$D,E12)</f>
        <v/>
      </c>
      <c r="M12" s="53">
        <f>MIN(K12,L12)</f>
        <v/>
      </c>
      <c r="N12" s="11">
        <f>IF(K12&lt;=L12,"CAPACITY","QUOTA")</f>
        <v/>
      </c>
      <c r="O12" s="11">
        <f>IF(K12&lt;=0,"RESERVATION_DEFICIT",IF(L12&lt;=0,"QUOTA_DEFICIT",IF(M12&lt;I12*0.5,"READY_WITH_RISK","READY")))</f>
        <v/>
      </c>
      <c r="P12" s="39" t="inlineStr"/>
    </row>
    <row r="13">
      <c r="A13" s="11" t="inlineStr">
        <is>
          <t>West US 3</t>
        </is>
      </c>
      <c r="B13" s="11" t="inlineStr">
        <is>
          <t>US</t>
        </is>
      </c>
      <c r="C13" s="11" t="inlineStr">
        <is>
          <t>NonProd</t>
        </is>
      </c>
      <c r="D13" s="11" t="inlineStr">
        <is>
          <t>Standard_E32ads_v5</t>
        </is>
      </c>
      <c r="E13" s="11">
        <f>VLOOKUP(D13,SKU_Family_Map!$A:$B,2,FALSE)</f>
        <v/>
      </c>
      <c r="F13" s="11" t="inlineStr">
        <is>
          <t>crg-np-wus3-reg</t>
        </is>
      </c>
      <c r="G13" s="11" t="n">
        <v>32</v>
      </c>
      <c r="H13" s="29" t="n">
        <v>0</v>
      </c>
      <c r="I13" s="29" t="n">
        <v>8</v>
      </c>
      <c r="J13" s="52">
        <f>H13+I13</f>
        <v/>
      </c>
      <c r="K13" s="52">
        <f>J13-H13</f>
        <v/>
      </c>
      <c r="L13" s="52">
        <f>SUMIFS(Quota_Groups!$G:$G,Quota_Groups!$B:$B,A13,Quota_Groups!$D:$D,E13)</f>
        <v/>
      </c>
      <c r="M13" s="53">
        <f>MIN(K13,L13)</f>
        <v/>
      </c>
      <c r="N13" s="11">
        <f>IF(K13&lt;=L13,"CAPACITY","QUOTA")</f>
        <v/>
      </c>
      <c r="O13" s="11">
        <f>IF(K13&lt;=0,"RESERVATION_DEFICIT",IF(L13&lt;=0,"QUOTA_DEFICIT",IF(M13&lt;I13*0.5,"READY_WITH_RISK","READY")))</f>
        <v/>
      </c>
      <c r="P13" s="39" t="inlineStr"/>
    </row>
    <row r="14">
      <c r="A14" s="11" t="inlineStr">
        <is>
          <t>West US 3</t>
        </is>
      </c>
      <c r="B14" s="11" t="inlineStr">
        <is>
          <t>US</t>
        </is>
      </c>
      <c r="C14" s="11" t="inlineStr">
        <is>
          <t>NonProd</t>
        </is>
      </c>
      <c r="D14" s="11" t="inlineStr">
        <is>
          <t>Standard_E64ads_v5</t>
        </is>
      </c>
      <c r="E14" s="11">
        <f>VLOOKUP(D14,SKU_Family_Map!$A:$B,2,FALSE)</f>
        <v/>
      </c>
      <c r="F14" s="11" t="inlineStr">
        <is>
          <t>crg-np-wus3-reg</t>
        </is>
      </c>
      <c r="G14" s="11" t="n">
        <v>64</v>
      </c>
      <c r="H14" s="29" t="n">
        <v>0</v>
      </c>
      <c r="I14" s="29" t="n">
        <v>8</v>
      </c>
      <c r="J14" s="52">
        <f>H14+I14</f>
        <v/>
      </c>
      <c r="K14" s="52">
        <f>J14-H14</f>
        <v/>
      </c>
      <c r="L14" s="52">
        <f>SUMIFS(Quota_Groups!$G:$G,Quota_Groups!$B:$B,A14,Quota_Groups!$D:$D,E14)</f>
        <v/>
      </c>
      <c r="M14" s="53">
        <f>MIN(K14,L14)</f>
        <v/>
      </c>
      <c r="N14" s="11">
        <f>IF(K14&lt;=L14,"CAPACITY","QUOTA")</f>
        <v/>
      </c>
      <c r="O14" s="11">
        <f>IF(K14&lt;=0,"RESERVATION_DEFICIT",IF(L14&lt;=0,"QUOTA_DEFICIT",IF(M14&lt;I14*0.5,"READY_WITH_RISK","READY")))</f>
        <v/>
      </c>
      <c r="P14" s="39" t="inlineStr"/>
    </row>
    <row r="15">
      <c r="A15" s="11" t="inlineStr">
        <is>
          <t>West US 3</t>
        </is>
      </c>
      <c r="B15" s="11" t="inlineStr">
        <is>
          <t>US</t>
        </is>
      </c>
      <c r="C15" s="11" t="inlineStr">
        <is>
          <t>NonProd</t>
        </is>
      </c>
      <c r="D15" s="11" t="inlineStr">
        <is>
          <t>Standard_E16ads_v5</t>
        </is>
      </c>
      <c r="E15" s="11">
        <f>VLOOKUP(D15,SKU_Family_Map!$A:$B,2,FALSE)</f>
        <v/>
      </c>
      <c r="F15" s="11" t="inlineStr">
        <is>
          <t>crg-np-wus3-reg</t>
        </is>
      </c>
      <c r="G15" s="11" t="n">
        <v>16</v>
      </c>
      <c r="H15" s="29" t="n">
        <v>0</v>
      </c>
      <c r="I15" s="29" t="n">
        <v>8</v>
      </c>
      <c r="J15" s="52">
        <f>H15+I15</f>
        <v/>
      </c>
      <c r="K15" s="52">
        <f>J15-H15</f>
        <v/>
      </c>
      <c r="L15" s="52">
        <f>SUMIFS(Quota_Groups!$G:$G,Quota_Groups!$B:$B,A15,Quota_Groups!$D:$D,E15)</f>
        <v/>
      </c>
      <c r="M15" s="53">
        <f>MIN(K15,L15)</f>
        <v/>
      </c>
      <c r="N15" s="11">
        <f>IF(K15&lt;=L15,"CAPACITY","QUOTA")</f>
        <v/>
      </c>
      <c r="O15" s="11">
        <f>IF(K15&lt;=0,"RESERVATION_DEFICIT",IF(L15&lt;=0,"QUOTA_DEFICIT",IF(M15&lt;I15*0.5,"READY_WITH_RISK","READY")))</f>
        <v/>
      </c>
      <c r="P15" s="39" t="inlineStr"/>
    </row>
    <row r="16">
      <c r="A16" s="11" t="inlineStr">
        <is>
          <t>West US 3</t>
        </is>
      </c>
      <c r="B16" s="11" t="inlineStr">
        <is>
          <t>US</t>
        </is>
      </c>
      <c r="C16" s="11" t="inlineStr">
        <is>
          <t>NonProd</t>
        </is>
      </c>
      <c r="D16" s="11" t="inlineStr">
        <is>
          <t>Standard_E32ads_v6</t>
        </is>
      </c>
      <c r="E16" s="11">
        <f>VLOOKUP(D16,SKU_Family_Map!$A:$B,2,FALSE)</f>
        <v/>
      </c>
      <c r="F16" s="11" t="inlineStr">
        <is>
          <t>crg-np-wus3-reg</t>
        </is>
      </c>
      <c r="G16" s="11" t="n">
        <v>32</v>
      </c>
      <c r="H16" s="29" t="n">
        <v>0</v>
      </c>
      <c r="I16" s="29" t="n">
        <v>8</v>
      </c>
      <c r="J16" s="52">
        <f>H16+I16</f>
        <v/>
      </c>
      <c r="K16" s="52">
        <f>J16-H16</f>
        <v/>
      </c>
      <c r="L16" s="52">
        <f>SUMIFS(Quota_Groups!$G:$G,Quota_Groups!$B:$B,A16,Quota_Groups!$D:$D,E16)</f>
        <v/>
      </c>
      <c r="M16" s="53">
        <f>MIN(K16,L16)</f>
        <v/>
      </c>
      <c r="N16" s="11">
        <f>IF(K16&lt;=L16,"CAPACITY","QUOTA")</f>
        <v/>
      </c>
      <c r="O16" s="11">
        <f>IF(K16&lt;=0,"RESERVATION_DEFICIT",IF(L16&lt;=0,"QUOTA_DEFICIT",IF(M16&lt;I16*0.5,"READY_WITH_RISK","READY")))</f>
        <v/>
      </c>
      <c r="P16" s="39" t="inlineStr"/>
    </row>
    <row r="17">
      <c r="A17" s="11" t="inlineStr">
        <is>
          <t>West US 3</t>
        </is>
      </c>
      <c r="B17" s="11" t="inlineStr">
        <is>
          <t>US</t>
        </is>
      </c>
      <c r="C17" s="11" t="inlineStr">
        <is>
          <t>NonProd</t>
        </is>
      </c>
      <c r="D17" s="11" t="inlineStr">
        <is>
          <t>Standard_D8ads_v5</t>
        </is>
      </c>
      <c r="E17" s="11">
        <f>VLOOKUP(D17,SKU_Family_Map!$A:$B,2,FALSE)</f>
        <v/>
      </c>
      <c r="F17" s="11" t="inlineStr">
        <is>
          <t>crg-np-wus3-reg</t>
        </is>
      </c>
      <c r="G17" s="11" t="n">
        <v>8</v>
      </c>
      <c r="H17" s="29" t="n">
        <v>0</v>
      </c>
      <c r="I17" s="29" t="n">
        <v>8</v>
      </c>
      <c r="J17" s="52">
        <f>H17+I17</f>
        <v/>
      </c>
      <c r="K17" s="52">
        <f>J17-H17</f>
        <v/>
      </c>
      <c r="L17" s="52">
        <f>SUMIFS(Quota_Groups!$G:$G,Quota_Groups!$B:$B,A17,Quota_Groups!$D:$D,E17)</f>
        <v/>
      </c>
      <c r="M17" s="53">
        <f>MIN(K17,L17)</f>
        <v/>
      </c>
      <c r="N17" s="11">
        <f>IF(K17&lt;=L17,"CAPACITY","QUOTA")</f>
        <v/>
      </c>
      <c r="O17" s="11">
        <f>IF(K17&lt;=0,"RESERVATION_DEFICIT",IF(L17&lt;=0,"QUOTA_DEFICIT",IF(M17&lt;I17*0.5,"READY_WITH_RISK","READY")))</f>
        <v/>
      </c>
      <c r="P17" s="39" t="inlineStr"/>
    </row>
    <row r="18">
      <c r="A18" s="11" t="inlineStr">
        <is>
          <t>West US 3</t>
        </is>
      </c>
      <c r="B18" s="11" t="inlineStr">
        <is>
          <t>US</t>
        </is>
      </c>
      <c r="C18" s="11" t="inlineStr">
        <is>
          <t>NonProd</t>
        </is>
      </c>
      <c r="D18" s="11" t="inlineStr">
        <is>
          <t>Standard_D16ads_v5</t>
        </is>
      </c>
      <c r="E18" s="11">
        <f>VLOOKUP(D18,SKU_Family_Map!$A:$B,2,FALSE)</f>
        <v/>
      </c>
      <c r="F18" s="11" t="inlineStr">
        <is>
          <t>crg-np-wus3-reg</t>
        </is>
      </c>
      <c r="G18" s="11" t="n">
        <v>16</v>
      </c>
      <c r="H18" s="29" t="n">
        <v>0</v>
      </c>
      <c r="I18" s="29" t="n">
        <v>8</v>
      </c>
      <c r="J18" s="52">
        <f>H18+I18</f>
        <v/>
      </c>
      <c r="K18" s="52">
        <f>J18-H18</f>
        <v/>
      </c>
      <c r="L18" s="52">
        <f>SUMIFS(Quota_Groups!$G:$G,Quota_Groups!$B:$B,A18,Quota_Groups!$D:$D,E18)</f>
        <v/>
      </c>
      <c r="M18" s="53">
        <f>MIN(K18,L18)</f>
        <v/>
      </c>
      <c r="N18" s="11">
        <f>IF(K18&lt;=L18,"CAPACITY","QUOTA")</f>
        <v/>
      </c>
      <c r="O18" s="11">
        <f>IF(K18&lt;=0,"RESERVATION_DEFICIT",IF(L18&lt;=0,"QUOTA_DEFICIT",IF(M18&lt;I18*0.5,"READY_WITH_RISK","READY")))</f>
        <v/>
      </c>
      <c r="P18" s="39" t="inlineStr"/>
    </row>
    <row r="19">
      <c r="A19" s="11" t="inlineStr">
        <is>
          <t>West US 3</t>
        </is>
      </c>
      <c r="B19" s="11" t="inlineStr">
        <is>
          <t>US</t>
        </is>
      </c>
      <c r="C19" s="11" t="inlineStr">
        <is>
          <t>NonProd</t>
        </is>
      </c>
      <c r="D19" s="11" t="inlineStr">
        <is>
          <t>Standard_D8as_v5</t>
        </is>
      </c>
      <c r="E19" s="11">
        <f>VLOOKUP(D19,SKU_Family_Map!$A:$B,2,FALSE)</f>
        <v/>
      </c>
      <c r="F19" s="11" t="inlineStr">
        <is>
          <t>crg-np-wus3-reg</t>
        </is>
      </c>
      <c r="G19" s="11" t="n">
        <v>8</v>
      </c>
      <c r="H19" s="29" t="n">
        <v>0</v>
      </c>
      <c r="I19" s="29" t="n">
        <v>8</v>
      </c>
      <c r="J19" s="52">
        <f>H19+I19</f>
        <v/>
      </c>
      <c r="K19" s="52">
        <f>J19-H19</f>
        <v/>
      </c>
      <c r="L19" s="52">
        <f>SUMIFS(Quota_Groups!$G:$G,Quota_Groups!$B:$B,A19,Quota_Groups!$D:$D,E19)</f>
        <v/>
      </c>
      <c r="M19" s="53">
        <f>MIN(K19,L19)</f>
        <v/>
      </c>
      <c r="N19" s="11">
        <f>IF(K19&lt;=L19,"CAPACITY","QUOTA")</f>
        <v/>
      </c>
      <c r="O19" s="11">
        <f>IF(K19&lt;=0,"RESERVATION_DEFICIT",IF(L19&lt;=0,"QUOTA_DEFICIT",IF(M19&lt;I19*0.5,"READY_WITH_RISK","READY")))</f>
        <v/>
      </c>
      <c r="P19" s="39" t="inlineStr"/>
    </row>
    <row r="20">
      <c r="A20" s="11" t="inlineStr">
        <is>
          <t>West US 3</t>
        </is>
      </c>
      <c r="B20" s="11" t="inlineStr">
        <is>
          <t>US</t>
        </is>
      </c>
      <c r="C20" s="11" t="inlineStr">
        <is>
          <t>NonProd</t>
        </is>
      </c>
      <c r="D20" s="11" t="inlineStr">
        <is>
          <t>Standard_D16as_v5</t>
        </is>
      </c>
      <c r="E20" s="11">
        <f>VLOOKUP(D20,SKU_Family_Map!$A:$B,2,FALSE)</f>
        <v/>
      </c>
      <c r="F20" s="11" t="inlineStr">
        <is>
          <t>crg-np-wus3-reg</t>
        </is>
      </c>
      <c r="G20" s="11" t="n">
        <v>16</v>
      </c>
      <c r="H20" s="29" t="n">
        <v>0</v>
      </c>
      <c r="I20" s="29" t="n">
        <v>8</v>
      </c>
      <c r="J20" s="52">
        <f>H20+I20</f>
        <v/>
      </c>
      <c r="K20" s="52">
        <f>J20-H20</f>
        <v/>
      </c>
      <c r="L20" s="52">
        <f>SUMIFS(Quota_Groups!$G:$G,Quota_Groups!$B:$B,A20,Quota_Groups!$D:$D,E20)</f>
        <v/>
      </c>
      <c r="M20" s="53">
        <f>MIN(K20,L20)</f>
        <v/>
      </c>
      <c r="N20" s="11">
        <f>IF(K20&lt;=L20,"CAPACITY","QUOTA")</f>
        <v/>
      </c>
      <c r="O20" s="11">
        <f>IF(K20&lt;=0,"RESERVATION_DEFICIT",IF(L20&lt;=0,"QUOTA_DEFICIT",IF(M20&lt;I20*0.5,"READY_WITH_RISK","READY")))</f>
        <v/>
      </c>
      <c r="P20" s="39" t="inlineStr"/>
    </row>
    <row r="21">
      <c r="A21" s="11" t="inlineStr">
        <is>
          <t>West US 3</t>
        </is>
      </c>
      <c r="B21" s="11" t="inlineStr">
        <is>
          <t>US</t>
        </is>
      </c>
      <c r="C21" s="11" t="inlineStr">
        <is>
          <t>DR</t>
        </is>
      </c>
      <c r="D21" s="11" t="inlineStr">
        <is>
          <t>Standard_E32ads_v5</t>
        </is>
      </c>
      <c r="E21" s="11">
        <f>VLOOKUP(D21,SKU_Family_Map!$A:$B,2,FALSE)</f>
        <v/>
      </c>
      <c r="F21" s="11" t="inlineStr">
        <is>
          <t>crg-dr-wus3-reg</t>
        </is>
      </c>
      <c r="G21" s="11" t="n">
        <v>32</v>
      </c>
      <c r="H21" s="29" t="n">
        <v>0</v>
      </c>
      <c r="I21" s="29" t="n">
        <v>8</v>
      </c>
      <c r="J21" s="52">
        <f>H21+I21</f>
        <v/>
      </c>
      <c r="K21" s="52">
        <f>J21-H21</f>
        <v/>
      </c>
      <c r="L21" s="52">
        <f>SUMIFS(Quota_Groups!$G:$G,Quota_Groups!$B:$B,A21,Quota_Groups!$D:$D,E21)</f>
        <v/>
      </c>
      <c r="M21" s="53">
        <f>MIN(K21,L21)</f>
        <v/>
      </c>
      <c r="N21" s="11">
        <f>IF(K21&lt;=L21,"CAPACITY","QUOTA")</f>
        <v/>
      </c>
      <c r="O21" s="11">
        <f>IF(K21&lt;=0,"RESERVATION_DEFICIT",IF(L21&lt;=0,"QUOTA_DEFICIT",IF(M21&lt;I21*0.5,"READY_WITH_RISK","READY")))</f>
        <v/>
      </c>
      <c r="P21" s="39" t="inlineStr">
        <is>
          <t>DR 30% bootstrap (ENV-005)</t>
        </is>
      </c>
    </row>
    <row r="22">
      <c r="A22" s="11" t="inlineStr">
        <is>
          <t>West US 3</t>
        </is>
      </c>
      <c r="B22" s="11" t="inlineStr">
        <is>
          <t>US</t>
        </is>
      </c>
      <c r="C22" s="11" t="inlineStr">
        <is>
          <t>DR</t>
        </is>
      </c>
      <c r="D22" s="11" t="inlineStr">
        <is>
          <t>Standard_E64ads_v5</t>
        </is>
      </c>
      <c r="E22" s="11">
        <f>VLOOKUP(D22,SKU_Family_Map!$A:$B,2,FALSE)</f>
        <v/>
      </c>
      <c r="F22" s="11" t="inlineStr">
        <is>
          <t>crg-dr-wus3-reg</t>
        </is>
      </c>
      <c r="G22" s="11" t="n">
        <v>64</v>
      </c>
      <c r="H22" s="29" t="n">
        <v>0</v>
      </c>
      <c r="I22" s="29" t="n">
        <v>8</v>
      </c>
      <c r="J22" s="52">
        <f>H22+I22</f>
        <v/>
      </c>
      <c r="K22" s="52">
        <f>J22-H22</f>
        <v/>
      </c>
      <c r="L22" s="52">
        <f>SUMIFS(Quota_Groups!$G:$G,Quota_Groups!$B:$B,A22,Quota_Groups!$D:$D,E22)</f>
        <v/>
      </c>
      <c r="M22" s="53">
        <f>MIN(K22,L22)</f>
        <v/>
      </c>
      <c r="N22" s="11">
        <f>IF(K22&lt;=L22,"CAPACITY","QUOTA")</f>
        <v/>
      </c>
      <c r="O22" s="11">
        <f>IF(K22&lt;=0,"RESERVATION_DEFICIT",IF(L22&lt;=0,"QUOTA_DEFICIT",IF(M22&lt;I22*0.5,"READY_WITH_RISK","READY")))</f>
        <v/>
      </c>
      <c r="P22" s="39" t="inlineStr">
        <is>
          <t>DR 30% bootstrap (ENV-005)</t>
        </is>
      </c>
    </row>
    <row r="23">
      <c r="A23" s="11" t="inlineStr">
        <is>
          <t>West US 3</t>
        </is>
      </c>
      <c r="B23" s="11" t="inlineStr">
        <is>
          <t>US</t>
        </is>
      </c>
      <c r="C23" s="11" t="inlineStr">
        <is>
          <t>DR</t>
        </is>
      </c>
      <c r="D23" s="11" t="inlineStr">
        <is>
          <t>Standard_E16ads_v5</t>
        </is>
      </c>
      <c r="E23" s="11">
        <f>VLOOKUP(D23,SKU_Family_Map!$A:$B,2,FALSE)</f>
        <v/>
      </c>
      <c r="F23" s="11" t="inlineStr">
        <is>
          <t>crg-dr-wus3-reg</t>
        </is>
      </c>
      <c r="G23" s="11" t="n">
        <v>16</v>
      </c>
      <c r="H23" s="29" t="n">
        <v>0</v>
      </c>
      <c r="I23" s="29" t="n">
        <v>8</v>
      </c>
      <c r="J23" s="52">
        <f>H23+I23</f>
        <v/>
      </c>
      <c r="K23" s="52">
        <f>J23-H23</f>
        <v/>
      </c>
      <c r="L23" s="52">
        <f>SUMIFS(Quota_Groups!$G:$G,Quota_Groups!$B:$B,A23,Quota_Groups!$D:$D,E23)</f>
        <v/>
      </c>
      <c r="M23" s="53">
        <f>MIN(K23,L23)</f>
        <v/>
      </c>
      <c r="N23" s="11">
        <f>IF(K23&lt;=L23,"CAPACITY","QUOTA")</f>
        <v/>
      </c>
      <c r="O23" s="11">
        <f>IF(K23&lt;=0,"RESERVATION_DEFICIT",IF(L23&lt;=0,"QUOTA_DEFICIT",IF(M23&lt;I23*0.5,"READY_WITH_RISK","READY")))</f>
        <v/>
      </c>
      <c r="P23" s="39" t="inlineStr">
        <is>
          <t>DR 30% bootstrap (ENV-005)</t>
        </is>
      </c>
    </row>
    <row r="24">
      <c r="A24" s="11" t="inlineStr">
        <is>
          <t>West US 3</t>
        </is>
      </c>
      <c r="B24" s="11" t="inlineStr">
        <is>
          <t>US</t>
        </is>
      </c>
      <c r="C24" s="11" t="inlineStr">
        <is>
          <t>DR</t>
        </is>
      </c>
      <c r="D24" s="11" t="inlineStr">
        <is>
          <t>Standard_E32ads_v6</t>
        </is>
      </c>
      <c r="E24" s="11">
        <f>VLOOKUP(D24,SKU_Family_Map!$A:$B,2,FALSE)</f>
        <v/>
      </c>
      <c r="F24" s="11" t="inlineStr">
        <is>
          <t>crg-dr-wus3-reg</t>
        </is>
      </c>
      <c r="G24" s="11" t="n">
        <v>32</v>
      </c>
      <c r="H24" s="29" t="n">
        <v>0</v>
      </c>
      <c r="I24" s="29" t="n">
        <v>8</v>
      </c>
      <c r="J24" s="52">
        <f>H24+I24</f>
        <v/>
      </c>
      <c r="K24" s="52">
        <f>J24-H24</f>
        <v/>
      </c>
      <c r="L24" s="52">
        <f>SUMIFS(Quota_Groups!$G:$G,Quota_Groups!$B:$B,A24,Quota_Groups!$D:$D,E24)</f>
        <v/>
      </c>
      <c r="M24" s="53">
        <f>MIN(K24,L24)</f>
        <v/>
      </c>
      <c r="N24" s="11">
        <f>IF(K24&lt;=L24,"CAPACITY","QUOTA")</f>
        <v/>
      </c>
      <c r="O24" s="11">
        <f>IF(K24&lt;=0,"RESERVATION_DEFICIT",IF(L24&lt;=0,"QUOTA_DEFICIT",IF(M24&lt;I24*0.5,"READY_WITH_RISK","READY")))</f>
        <v/>
      </c>
      <c r="P24" s="39" t="inlineStr">
        <is>
          <t>DR 30% bootstrap (ENV-005)</t>
        </is>
      </c>
    </row>
    <row r="25">
      <c r="A25" s="11" t="inlineStr">
        <is>
          <t>West US 3</t>
        </is>
      </c>
      <c r="B25" s="11" t="inlineStr">
        <is>
          <t>US</t>
        </is>
      </c>
      <c r="C25" s="11" t="inlineStr">
        <is>
          <t>DR</t>
        </is>
      </c>
      <c r="D25" s="11" t="inlineStr">
        <is>
          <t>Standard_D8ads_v5</t>
        </is>
      </c>
      <c r="E25" s="11">
        <f>VLOOKUP(D25,SKU_Family_Map!$A:$B,2,FALSE)</f>
        <v/>
      </c>
      <c r="F25" s="11" t="inlineStr">
        <is>
          <t>crg-dr-wus3-reg</t>
        </is>
      </c>
      <c r="G25" s="11" t="n">
        <v>8</v>
      </c>
      <c r="H25" s="29" t="n">
        <v>0</v>
      </c>
      <c r="I25" s="29" t="n">
        <v>8</v>
      </c>
      <c r="J25" s="52">
        <f>H25+I25</f>
        <v/>
      </c>
      <c r="K25" s="52">
        <f>J25-H25</f>
        <v/>
      </c>
      <c r="L25" s="52">
        <f>SUMIFS(Quota_Groups!$G:$G,Quota_Groups!$B:$B,A25,Quota_Groups!$D:$D,E25)</f>
        <v/>
      </c>
      <c r="M25" s="53">
        <f>MIN(K25,L25)</f>
        <v/>
      </c>
      <c r="N25" s="11">
        <f>IF(K25&lt;=L25,"CAPACITY","QUOTA")</f>
        <v/>
      </c>
      <c r="O25" s="11">
        <f>IF(K25&lt;=0,"RESERVATION_DEFICIT",IF(L25&lt;=0,"QUOTA_DEFICIT",IF(M25&lt;I25*0.5,"READY_WITH_RISK","READY")))</f>
        <v/>
      </c>
      <c r="P25" s="39" t="inlineStr">
        <is>
          <t>DR 30% bootstrap (ENV-005)</t>
        </is>
      </c>
    </row>
    <row r="26">
      <c r="A26" s="11" t="inlineStr">
        <is>
          <t>West US 3</t>
        </is>
      </c>
      <c r="B26" s="11" t="inlineStr">
        <is>
          <t>US</t>
        </is>
      </c>
      <c r="C26" s="11" t="inlineStr">
        <is>
          <t>DR</t>
        </is>
      </c>
      <c r="D26" s="11" t="inlineStr">
        <is>
          <t>Standard_D16ads_v5</t>
        </is>
      </c>
      <c r="E26" s="11">
        <f>VLOOKUP(D26,SKU_Family_Map!$A:$B,2,FALSE)</f>
        <v/>
      </c>
      <c r="F26" s="11" t="inlineStr">
        <is>
          <t>crg-dr-wus3-reg</t>
        </is>
      </c>
      <c r="G26" s="11" t="n">
        <v>16</v>
      </c>
      <c r="H26" s="29" t="n">
        <v>0</v>
      </c>
      <c r="I26" s="29" t="n">
        <v>8</v>
      </c>
      <c r="J26" s="52">
        <f>H26+I26</f>
        <v/>
      </c>
      <c r="K26" s="52">
        <f>J26-H26</f>
        <v/>
      </c>
      <c r="L26" s="52">
        <f>SUMIFS(Quota_Groups!$G:$G,Quota_Groups!$B:$B,A26,Quota_Groups!$D:$D,E26)</f>
        <v/>
      </c>
      <c r="M26" s="53">
        <f>MIN(K26,L26)</f>
        <v/>
      </c>
      <c r="N26" s="11">
        <f>IF(K26&lt;=L26,"CAPACITY","QUOTA")</f>
        <v/>
      </c>
      <c r="O26" s="11">
        <f>IF(K26&lt;=0,"RESERVATION_DEFICIT",IF(L26&lt;=0,"QUOTA_DEFICIT",IF(M26&lt;I26*0.5,"READY_WITH_RISK","READY")))</f>
        <v/>
      </c>
      <c r="P26" s="39" t="inlineStr">
        <is>
          <t>DR 30% bootstrap (ENV-005)</t>
        </is>
      </c>
    </row>
    <row r="27">
      <c r="A27" s="11" t="inlineStr">
        <is>
          <t>West US 3</t>
        </is>
      </c>
      <c r="B27" s="11" t="inlineStr">
        <is>
          <t>US</t>
        </is>
      </c>
      <c r="C27" s="11" t="inlineStr">
        <is>
          <t>DR</t>
        </is>
      </c>
      <c r="D27" s="11" t="inlineStr">
        <is>
          <t>Standard_D8as_v5</t>
        </is>
      </c>
      <c r="E27" s="11">
        <f>VLOOKUP(D27,SKU_Family_Map!$A:$B,2,FALSE)</f>
        <v/>
      </c>
      <c r="F27" s="11" t="inlineStr">
        <is>
          <t>crg-dr-wus3-reg</t>
        </is>
      </c>
      <c r="G27" s="11" t="n">
        <v>8</v>
      </c>
      <c r="H27" s="29" t="n">
        <v>0</v>
      </c>
      <c r="I27" s="29" t="n">
        <v>8</v>
      </c>
      <c r="J27" s="52">
        <f>H27+I27</f>
        <v/>
      </c>
      <c r="K27" s="52">
        <f>J27-H27</f>
        <v/>
      </c>
      <c r="L27" s="52">
        <f>SUMIFS(Quota_Groups!$G:$G,Quota_Groups!$B:$B,A27,Quota_Groups!$D:$D,E27)</f>
        <v/>
      </c>
      <c r="M27" s="53">
        <f>MIN(K27,L27)</f>
        <v/>
      </c>
      <c r="N27" s="11">
        <f>IF(K27&lt;=L27,"CAPACITY","QUOTA")</f>
        <v/>
      </c>
      <c r="O27" s="11">
        <f>IF(K27&lt;=0,"RESERVATION_DEFICIT",IF(L27&lt;=0,"QUOTA_DEFICIT",IF(M27&lt;I27*0.5,"READY_WITH_RISK","READY")))</f>
        <v/>
      </c>
      <c r="P27" s="39" t="inlineStr">
        <is>
          <t>DR 30% bootstrap (ENV-005)</t>
        </is>
      </c>
    </row>
    <row r="28">
      <c r="A28" s="11" t="inlineStr">
        <is>
          <t>West US 3</t>
        </is>
      </c>
      <c r="B28" s="11" t="inlineStr">
        <is>
          <t>US</t>
        </is>
      </c>
      <c r="C28" s="11" t="inlineStr">
        <is>
          <t>DR</t>
        </is>
      </c>
      <c r="D28" s="11" t="inlineStr">
        <is>
          <t>Standard_D16as_v5</t>
        </is>
      </c>
      <c r="E28" s="11">
        <f>VLOOKUP(D28,SKU_Family_Map!$A:$B,2,FALSE)</f>
        <v/>
      </c>
      <c r="F28" s="11" t="inlineStr">
        <is>
          <t>crg-dr-wus3-reg</t>
        </is>
      </c>
      <c r="G28" s="11" t="n">
        <v>16</v>
      </c>
      <c r="H28" s="29" t="n">
        <v>0</v>
      </c>
      <c r="I28" s="29" t="n">
        <v>8</v>
      </c>
      <c r="J28" s="52">
        <f>H28+I28</f>
        <v/>
      </c>
      <c r="K28" s="52">
        <f>J28-H28</f>
        <v/>
      </c>
      <c r="L28" s="52">
        <f>SUMIFS(Quota_Groups!$G:$G,Quota_Groups!$B:$B,A28,Quota_Groups!$D:$D,E28)</f>
        <v/>
      </c>
      <c r="M28" s="53">
        <f>MIN(K28,L28)</f>
        <v/>
      </c>
      <c r="N28" s="11">
        <f>IF(K28&lt;=L28,"CAPACITY","QUOTA")</f>
        <v/>
      </c>
      <c r="O28" s="11">
        <f>IF(K28&lt;=0,"RESERVATION_DEFICIT",IF(L28&lt;=0,"QUOTA_DEFICIT",IF(M28&lt;I28*0.5,"READY_WITH_RISK","READY")))</f>
        <v/>
      </c>
      <c r="P28" s="39" t="inlineStr">
        <is>
          <t>DR 30% bootstrap (ENV-005)</t>
        </is>
      </c>
    </row>
    <row r="29">
      <c r="A29" s="11" t="inlineStr">
        <is>
          <t>Central US</t>
        </is>
      </c>
      <c r="B29" s="11" t="inlineStr">
        <is>
          <t>US</t>
        </is>
      </c>
      <c r="C29" s="11" t="inlineStr">
        <is>
          <t>Prod</t>
        </is>
      </c>
      <c r="D29" s="11" t="inlineStr">
        <is>
          <t>Standard_E32ads_v5</t>
        </is>
      </c>
      <c r="E29" s="11">
        <f>VLOOKUP(D29,SKU_Family_Map!$A:$B,2,FALSE)</f>
        <v/>
      </c>
      <c r="F29" s="11" t="inlineStr">
        <is>
          <t>crg-pr-cus-reg</t>
        </is>
      </c>
      <c r="G29" s="11" t="n">
        <v>32</v>
      </c>
      <c r="H29" s="29" t="n">
        <v>0</v>
      </c>
      <c r="I29" s="29" t="n">
        <v>8</v>
      </c>
      <c r="J29" s="52">
        <f>H29+I29</f>
        <v/>
      </c>
      <c r="K29" s="52">
        <f>J29-H29</f>
        <v/>
      </c>
      <c r="L29" s="52">
        <f>SUMIFS(Quota_Groups!$G:$G,Quota_Groups!$B:$B,A29,Quota_Groups!$D:$D,E29)</f>
        <v/>
      </c>
      <c r="M29" s="53">
        <f>MIN(K29,L29)</f>
        <v/>
      </c>
      <c r="N29" s="11">
        <f>IF(K29&lt;=L29,"CAPACITY","QUOTA")</f>
        <v/>
      </c>
      <c r="O29" s="11">
        <f>IF(K29&lt;=0,"RESERVATION_DEFICIT",IF(L29&lt;=0,"QUOTA_DEFICIT",IF(M29&lt;I29*0.5,"READY_WITH_RISK","READY")))</f>
        <v/>
      </c>
      <c r="P29" s="39" t="inlineStr"/>
    </row>
    <row r="30">
      <c r="A30" s="11" t="inlineStr">
        <is>
          <t>Central US</t>
        </is>
      </c>
      <c r="B30" s="11" t="inlineStr">
        <is>
          <t>US</t>
        </is>
      </c>
      <c r="C30" s="11" t="inlineStr">
        <is>
          <t>Prod</t>
        </is>
      </c>
      <c r="D30" s="11" t="inlineStr">
        <is>
          <t>Standard_E64ads_v5</t>
        </is>
      </c>
      <c r="E30" s="11">
        <f>VLOOKUP(D30,SKU_Family_Map!$A:$B,2,FALSE)</f>
        <v/>
      </c>
      <c r="F30" s="11" t="inlineStr">
        <is>
          <t>crg-pr-cus-reg</t>
        </is>
      </c>
      <c r="G30" s="11" t="n">
        <v>64</v>
      </c>
      <c r="H30" s="29" t="n">
        <v>0</v>
      </c>
      <c r="I30" s="29" t="n">
        <v>8</v>
      </c>
      <c r="J30" s="52">
        <f>H30+I30</f>
        <v/>
      </c>
      <c r="K30" s="52">
        <f>J30-H30</f>
        <v/>
      </c>
      <c r="L30" s="52">
        <f>SUMIFS(Quota_Groups!$G:$G,Quota_Groups!$B:$B,A30,Quota_Groups!$D:$D,E30)</f>
        <v/>
      </c>
      <c r="M30" s="53">
        <f>MIN(K30,L30)</f>
        <v/>
      </c>
      <c r="N30" s="11">
        <f>IF(K30&lt;=L30,"CAPACITY","QUOTA")</f>
        <v/>
      </c>
      <c r="O30" s="11">
        <f>IF(K30&lt;=0,"RESERVATION_DEFICIT",IF(L30&lt;=0,"QUOTA_DEFICIT",IF(M30&lt;I30*0.5,"READY_WITH_RISK","READY")))</f>
        <v/>
      </c>
      <c r="P30" s="39" t="inlineStr"/>
    </row>
    <row r="31">
      <c r="A31" s="11" t="inlineStr">
        <is>
          <t>Central US</t>
        </is>
      </c>
      <c r="B31" s="11" t="inlineStr">
        <is>
          <t>US</t>
        </is>
      </c>
      <c r="C31" s="11" t="inlineStr">
        <is>
          <t>Prod</t>
        </is>
      </c>
      <c r="D31" s="11" t="inlineStr">
        <is>
          <t>Standard_E16ads_v5</t>
        </is>
      </c>
      <c r="E31" s="11">
        <f>VLOOKUP(D31,SKU_Family_Map!$A:$B,2,FALSE)</f>
        <v/>
      </c>
      <c r="F31" s="11" t="inlineStr">
        <is>
          <t>crg-pr-cus-reg</t>
        </is>
      </c>
      <c r="G31" s="11" t="n">
        <v>16</v>
      </c>
      <c r="H31" s="29" t="n">
        <v>96</v>
      </c>
      <c r="I31" s="29" t="n">
        <v>12</v>
      </c>
      <c r="J31" s="52">
        <f>H31+I31</f>
        <v/>
      </c>
      <c r="K31" s="52">
        <f>J31-H31</f>
        <v/>
      </c>
      <c r="L31" s="52">
        <f>SUMIFS(Quota_Groups!$G:$G,Quota_Groups!$B:$B,A31,Quota_Groups!$D:$D,E31)</f>
        <v/>
      </c>
      <c r="M31" s="53">
        <f>MIN(K31,L31)</f>
        <v/>
      </c>
      <c r="N31" s="11">
        <f>IF(K31&lt;=L31,"CAPACITY","QUOTA")</f>
        <v/>
      </c>
      <c r="O31" s="11">
        <f>IF(K31&lt;=0,"RESERVATION_DEFICIT",IF(L31&lt;=0,"QUOTA_DEFICIT",IF(M31&lt;I31*0.5,"READY_WITH_RISK","READY")))</f>
        <v/>
      </c>
      <c r="P31" s="39" t="inlineStr"/>
    </row>
    <row r="32">
      <c r="A32" s="11" t="inlineStr">
        <is>
          <t>Central US</t>
        </is>
      </c>
      <c r="B32" s="11" t="inlineStr">
        <is>
          <t>US</t>
        </is>
      </c>
      <c r="C32" s="11" t="inlineStr">
        <is>
          <t>Prod</t>
        </is>
      </c>
      <c r="D32" s="11" t="inlineStr">
        <is>
          <t>Standard_E32ads_v6</t>
        </is>
      </c>
      <c r="E32" s="11">
        <f>VLOOKUP(D32,SKU_Family_Map!$A:$B,2,FALSE)</f>
        <v/>
      </c>
      <c r="F32" s="11" t="inlineStr">
        <is>
          <t>crg-pr-cus-reg</t>
        </is>
      </c>
      <c r="G32" s="11" t="n">
        <v>32</v>
      </c>
      <c r="H32" s="29" t="n">
        <v>512</v>
      </c>
      <c r="I32" s="29" t="n">
        <v>61</v>
      </c>
      <c r="J32" s="52">
        <f>H32+I32</f>
        <v/>
      </c>
      <c r="K32" s="52">
        <f>J32-H32</f>
        <v/>
      </c>
      <c r="L32" s="52">
        <f>SUMIFS(Quota_Groups!$G:$G,Quota_Groups!$B:$B,A32,Quota_Groups!$D:$D,E32)</f>
        <v/>
      </c>
      <c r="M32" s="53">
        <f>MIN(K32,L32)</f>
        <v/>
      </c>
      <c r="N32" s="11">
        <f>IF(K32&lt;=L32,"CAPACITY","QUOTA")</f>
        <v/>
      </c>
      <c r="O32" s="11">
        <f>IF(K32&lt;=0,"RESERVATION_DEFICIT",IF(L32&lt;=0,"QUOTA_DEFICIT",IF(M32&lt;I32*0.5,"READY_WITH_RISK","READY")))</f>
        <v/>
      </c>
      <c r="P32" s="39" t="inlineStr"/>
    </row>
    <row r="33">
      <c r="A33" s="11" t="inlineStr">
        <is>
          <t>Central US</t>
        </is>
      </c>
      <c r="B33" s="11" t="inlineStr">
        <is>
          <t>US</t>
        </is>
      </c>
      <c r="C33" s="11" t="inlineStr">
        <is>
          <t>Prod</t>
        </is>
      </c>
      <c r="D33" s="11" t="inlineStr">
        <is>
          <t>Standard_D8ads_v5</t>
        </is>
      </c>
      <c r="E33" s="11">
        <f>VLOOKUP(D33,SKU_Family_Map!$A:$B,2,FALSE)</f>
        <v/>
      </c>
      <c r="F33" s="11" t="inlineStr">
        <is>
          <t>crg-pr-cus-reg</t>
        </is>
      </c>
      <c r="G33" s="11" t="n">
        <v>8</v>
      </c>
      <c r="H33" s="29" t="n">
        <v>416</v>
      </c>
      <c r="I33" s="29" t="n">
        <v>50</v>
      </c>
      <c r="J33" s="52">
        <f>H33+I33</f>
        <v/>
      </c>
      <c r="K33" s="52">
        <f>J33-H33</f>
        <v/>
      </c>
      <c r="L33" s="52">
        <f>SUMIFS(Quota_Groups!$G:$G,Quota_Groups!$B:$B,A33,Quota_Groups!$D:$D,E33)</f>
        <v/>
      </c>
      <c r="M33" s="53">
        <f>MIN(K33,L33)</f>
        <v/>
      </c>
      <c r="N33" s="11">
        <f>IF(K33&lt;=L33,"CAPACITY","QUOTA")</f>
        <v/>
      </c>
      <c r="O33" s="11">
        <f>IF(K33&lt;=0,"RESERVATION_DEFICIT",IF(L33&lt;=0,"QUOTA_DEFICIT",IF(M33&lt;I33*0.5,"READY_WITH_RISK","READY")))</f>
        <v/>
      </c>
      <c r="P33" s="39" t="inlineStr"/>
    </row>
    <row r="34">
      <c r="A34" s="11" t="inlineStr">
        <is>
          <t>Central US</t>
        </is>
      </c>
      <c r="B34" s="11" t="inlineStr">
        <is>
          <t>US</t>
        </is>
      </c>
      <c r="C34" s="11" t="inlineStr">
        <is>
          <t>Prod</t>
        </is>
      </c>
      <c r="D34" s="11" t="inlineStr">
        <is>
          <t>Standard_D16ads_v5</t>
        </is>
      </c>
      <c r="E34" s="11">
        <f>VLOOKUP(D34,SKU_Family_Map!$A:$B,2,FALSE)</f>
        <v/>
      </c>
      <c r="F34" s="11" t="inlineStr">
        <is>
          <t>crg-pr-cus-reg</t>
        </is>
      </c>
      <c r="G34" s="11" t="n">
        <v>16</v>
      </c>
      <c r="H34" s="29" t="n">
        <v>112</v>
      </c>
      <c r="I34" s="29" t="n">
        <v>13</v>
      </c>
      <c r="J34" s="52">
        <f>H34+I34</f>
        <v/>
      </c>
      <c r="K34" s="52">
        <f>J34-H34</f>
        <v/>
      </c>
      <c r="L34" s="52">
        <f>SUMIFS(Quota_Groups!$G:$G,Quota_Groups!$B:$B,A34,Quota_Groups!$D:$D,E34)</f>
        <v/>
      </c>
      <c r="M34" s="53">
        <f>MIN(K34,L34)</f>
        <v/>
      </c>
      <c r="N34" s="11">
        <f>IF(K34&lt;=L34,"CAPACITY","QUOTA")</f>
        <v/>
      </c>
      <c r="O34" s="11">
        <f>IF(K34&lt;=0,"RESERVATION_DEFICIT",IF(L34&lt;=0,"QUOTA_DEFICIT",IF(M34&lt;I34*0.5,"READY_WITH_RISK","READY")))</f>
        <v/>
      </c>
      <c r="P34" s="39" t="inlineStr"/>
    </row>
    <row r="35">
      <c r="A35" s="11" t="inlineStr">
        <is>
          <t>Central US</t>
        </is>
      </c>
      <c r="B35" s="11" t="inlineStr">
        <is>
          <t>US</t>
        </is>
      </c>
      <c r="C35" s="11" t="inlineStr">
        <is>
          <t>Prod</t>
        </is>
      </c>
      <c r="D35" s="11" t="inlineStr">
        <is>
          <t>Standard_D8as_v5</t>
        </is>
      </c>
      <c r="E35" s="11">
        <f>VLOOKUP(D35,SKU_Family_Map!$A:$B,2,FALSE)</f>
        <v/>
      </c>
      <c r="F35" s="11" t="inlineStr">
        <is>
          <t>crg-pr-cus-reg</t>
        </is>
      </c>
      <c r="G35" s="11" t="n">
        <v>8</v>
      </c>
      <c r="H35" s="29" t="n">
        <v>5112</v>
      </c>
      <c r="I35" s="29" t="n">
        <v>613</v>
      </c>
      <c r="J35" s="52">
        <f>H35+I35</f>
        <v/>
      </c>
      <c r="K35" s="52">
        <f>J35-H35</f>
        <v/>
      </c>
      <c r="L35" s="52">
        <f>SUMIFS(Quota_Groups!$G:$G,Quota_Groups!$B:$B,A35,Quota_Groups!$D:$D,E35)</f>
        <v/>
      </c>
      <c r="M35" s="53">
        <f>MIN(K35,L35)</f>
        <v/>
      </c>
      <c r="N35" s="11">
        <f>IF(K35&lt;=L35,"CAPACITY","QUOTA")</f>
        <v/>
      </c>
      <c r="O35" s="11">
        <f>IF(K35&lt;=0,"RESERVATION_DEFICIT",IF(L35&lt;=0,"QUOTA_DEFICIT",IF(M35&lt;I35*0.5,"READY_WITH_RISK","READY")))</f>
        <v/>
      </c>
      <c r="P35" s="39" t="inlineStr"/>
    </row>
    <row r="36">
      <c r="A36" s="11" t="inlineStr">
        <is>
          <t>Central US</t>
        </is>
      </c>
      <c r="B36" s="11" t="inlineStr">
        <is>
          <t>US</t>
        </is>
      </c>
      <c r="C36" s="11" t="inlineStr">
        <is>
          <t>Prod</t>
        </is>
      </c>
      <c r="D36" s="11" t="inlineStr">
        <is>
          <t>Standard_D16as_v5</t>
        </is>
      </c>
      <c r="E36" s="11">
        <f>VLOOKUP(D36,SKU_Family_Map!$A:$B,2,FALSE)</f>
        <v/>
      </c>
      <c r="F36" s="11" t="inlineStr">
        <is>
          <t>crg-pr-cus-reg</t>
        </is>
      </c>
      <c r="G36" s="11" t="n">
        <v>16</v>
      </c>
      <c r="H36" s="29" t="n">
        <v>4352</v>
      </c>
      <c r="I36" s="29" t="n">
        <v>522</v>
      </c>
      <c r="J36" s="52">
        <f>H36+I36</f>
        <v/>
      </c>
      <c r="K36" s="52">
        <f>J36-H36</f>
        <v/>
      </c>
      <c r="L36" s="52">
        <f>SUMIFS(Quota_Groups!$G:$G,Quota_Groups!$B:$B,A36,Quota_Groups!$D:$D,E36)</f>
        <v/>
      </c>
      <c r="M36" s="53">
        <f>MIN(K36,L36)</f>
        <v/>
      </c>
      <c r="N36" s="11">
        <f>IF(K36&lt;=L36,"CAPACITY","QUOTA")</f>
        <v/>
      </c>
      <c r="O36" s="11">
        <f>IF(K36&lt;=0,"RESERVATION_DEFICIT",IF(L36&lt;=0,"QUOTA_DEFICIT",IF(M36&lt;I36*0.5,"READY_WITH_RISK","READY")))</f>
        <v/>
      </c>
      <c r="P36" s="39" t="inlineStr"/>
    </row>
    <row r="37">
      <c r="A37" s="11" t="inlineStr">
        <is>
          <t>Central US</t>
        </is>
      </c>
      <c r="B37" s="11" t="inlineStr">
        <is>
          <t>US</t>
        </is>
      </c>
      <c r="C37" s="11" t="inlineStr">
        <is>
          <t>NonProd</t>
        </is>
      </c>
      <c r="D37" s="11" t="inlineStr">
        <is>
          <t>Standard_E32ads_v5</t>
        </is>
      </c>
      <c r="E37" s="11">
        <f>VLOOKUP(D37,SKU_Family_Map!$A:$B,2,FALSE)</f>
        <v/>
      </c>
      <c r="F37" s="11" t="inlineStr">
        <is>
          <t>crg-np-cus-reg</t>
        </is>
      </c>
      <c r="G37" s="11" t="n">
        <v>32</v>
      </c>
      <c r="H37" s="29" t="n">
        <v>5248</v>
      </c>
      <c r="I37" s="29" t="n">
        <v>630</v>
      </c>
      <c r="J37" s="52">
        <f>H37+I37</f>
        <v/>
      </c>
      <c r="K37" s="52">
        <f>J37-H37</f>
        <v/>
      </c>
      <c r="L37" s="52">
        <f>SUMIFS(Quota_Groups!$G:$G,Quota_Groups!$B:$B,A37,Quota_Groups!$D:$D,E37)</f>
        <v/>
      </c>
      <c r="M37" s="53">
        <f>MIN(K37,L37)</f>
        <v/>
      </c>
      <c r="N37" s="11">
        <f>IF(K37&lt;=L37,"CAPACITY","QUOTA")</f>
        <v/>
      </c>
      <c r="O37" s="11">
        <f>IF(K37&lt;=0,"RESERVATION_DEFICIT",IF(L37&lt;=0,"QUOTA_DEFICIT",IF(M37&lt;I37*0.5,"READY_WITH_RISK","READY")))</f>
        <v/>
      </c>
      <c r="P37" s="39" t="inlineStr"/>
    </row>
    <row r="38">
      <c r="A38" s="11" t="inlineStr">
        <is>
          <t>Central US</t>
        </is>
      </c>
      <c r="B38" s="11" t="inlineStr">
        <is>
          <t>US</t>
        </is>
      </c>
      <c r="C38" s="11" t="inlineStr">
        <is>
          <t>NonProd</t>
        </is>
      </c>
      <c r="D38" s="11" t="inlineStr">
        <is>
          <t>Standard_E64ads_v5</t>
        </is>
      </c>
      <c r="E38" s="11">
        <f>VLOOKUP(D38,SKU_Family_Map!$A:$B,2,FALSE)</f>
        <v/>
      </c>
      <c r="F38" s="11" t="inlineStr">
        <is>
          <t>crg-np-cus-reg</t>
        </is>
      </c>
      <c r="G38" s="11" t="n">
        <v>64</v>
      </c>
      <c r="H38" s="29" t="n">
        <v>384</v>
      </c>
      <c r="I38" s="29" t="n">
        <v>46</v>
      </c>
      <c r="J38" s="52">
        <f>H38+I38</f>
        <v/>
      </c>
      <c r="K38" s="52">
        <f>J38-H38</f>
        <v/>
      </c>
      <c r="L38" s="52">
        <f>SUMIFS(Quota_Groups!$G:$G,Quota_Groups!$B:$B,A38,Quota_Groups!$D:$D,E38)</f>
        <v/>
      </c>
      <c r="M38" s="53">
        <f>MIN(K38,L38)</f>
        <v/>
      </c>
      <c r="N38" s="11">
        <f>IF(K38&lt;=L38,"CAPACITY","QUOTA")</f>
        <v/>
      </c>
      <c r="O38" s="11">
        <f>IF(K38&lt;=0,"RESERVATION_DEFICIT",IF(L38&lt;=0,"QUOTA_DEFICIT",IF(M38&lt;I38*0.5,"READY_WITH_RISK","READY")))</f>
        <v/>
      </c>
      <c r="P38" s="39" t="inlineStr"/>
    </row>
    <row r="39">
      <c r="A39" s="11" t="inlineStr">
        <is>
          <t>Central US</t>
        </is>
      </c>
      <c r="B39" s="11" t="inlineStr">
        <is>
          <t>US</t>
        </is>
      </c>
      <c r="C39" s="11" t="inlineStr">
        <is>
          <t>NonProd</t>
        </is>
      </c>
      <c r="D39" s="11" t="inlineStr">
        <is>
          <t>Standard_E16ads_v5</t>
        </is>
      </c>
      <c r="E39" s="11">
        <f>VLOOKUP(D39,SKU_Family_Map!$A:$B,2,FALSE)</f>
        <v/>
      </c>
      <c r="F39" s="11" t="inlineStr">
        <is>
          <t>crg-np-cus-reg</t>
        </is>
      </c>
      <c r="G39" s="11" t="n">
        <v>16</v>
      </c>
      <c r="H39" s="29" t="n">
        <v>5200</v>
      </c>
      <c r="I39" s="29" t="n">
        <v>624</v>
      </c>
      <c r="J39" s="52">
        <f>H39+I39</f>
        <v/>
      </c>
      <c r="K39" s="52">
        <f>J39-H39</f>
        <v/>
      </c>
      <c r="L39" s="52">
        <f>SUMIFS(Quota_Groups!$G:$G,Quota_Groups!$B:$B,A39,Quota_Groups!$D:$D,E39)</f>
        <v/>
      </c>
      <c r="M39" s="53">
        <f>MIN(K39,L39)</f>
        <v/>
      </c>
      <c r="N39" s="11">
        <f>IF(K39&lt;=L39,"CAPACITY","QUOTA")</f>
        <v/>
      </c>
      <c r="O39" s="11">
        <f>IF(K39&lt;=0,"RESERVATION_DEFICIT",IF(L39&lt;=0,"QUOTA_DEFICIT",IF(M39&lt;I39*0.5,"READY_WITH_RISK","READY")))</f>
        <v/>
      </c>
      <c r="P39" s="39" t="inlineStr"/>
    </row>
    <row r="40">
      <c r="A40" s="11" t="inlineStr">
        <is>
          <t>Central US</t>
        </is>
      </c>
      <c r="B40" s="11" t="inlineStr">
        <is>
          <t>US</t>
        </is>
      </c>
      <c r="C40" s="11" t="inlineStr">
        <is>
          <t>NonProd</t>
        </is>
      </c>
      <c r="D40" s="11" t="inlineStr">
        <is>
          <t>Standard_E32ads_v6</t>
        </is>
      </c>
      <c r="E40" s="11">
        <f>VLOOKUP(D40,SKU_Family_Map!$A:$B,2,FALSE)</f>
        <v/>
      </c>
      <c r="F40" s="11" t="inlineStr">
        <is>
          <t>crg-np-cus-reg</t>
        </is>
      </c>
      <c r="G40" s="11" t="n">
        <v>32</v>
      </c>
      <c r="H40" s="29" t="n">
        <v>384</v>
      </c>
      <c r="I40" s="29" t="n">
        <v>46</v>
      </c>
      <c r="J40" s="52">
        <f>H40+I40</f>
        <v/>
      </c>
      <c r="K40" s="52">
        <f>J40-H40</f>
        <v/>
      </c>
      <c r="L40" s="52">
        <f>SUMIFS(Quota_Groups!$G:$G,Quota_Groups!$B:$B,A40,Quota_Groups!$D:$D,E40)</f>
        <v/>
      </c>
      <c r="M40" s="53">
        <f>MIN(K40,L40)</f>
        <v/>
      </c>
      <c r="N40" s="11">
        <f>IF(K40&lt;=L40,"CAPACITY","QUOTA")</f>
        <v/>
      </c>
      <c r="O40" s="11">
        <f>IF(K40&lt;=0,"RESERVATION_DEFICIT",IF(L40&lt;=0,"QUOTA_DEFICIT",IF(M40&lt;I40*0.5,"READY_WITH_RISK","READY")))</f>
        <v/>
      </c>
      <c r="P40" s="39" t="inlineStr"/>
    </row>
    <row r="41">
      <c r="A41" s="11" t="inlineStr">
        <is>
          <t>Central US</t>
        </is>
      </c>
      <c r="B41" s="11" t="inlineStr">
        <is>
          <t>US</t>
        </is>
      </c>
      <c r="C41" s="11" t="inlineStr">
        <is>
          <t>NonProd</t>
        </is>
      </c>
      <c r="D41" s="11" t="inlineStr">
        <is>
          <t>Standard_D8ads_v5</t>
        </is>
      </c>
      <c r="E41" s="11">
        <f>VLOOKUP(D41,SKU_Family_Map!$A:$B,2,FALSE)</f>
        <v/>
      </c>
      <c r="F41" s="11" t="inlineStr">
        <is>
          <t>crg-np-cus-reg</t>
        </is>
      </c>
      <c r="G41" s="11" t="n">
        <v>8</v>
      </c>
      <c r="H41" s="29" t="n">
        <v>1840</v>
      </c>
      <c r="I41" s="29" t="n">
        <v>221</v>
      </c>
      <c r="J41" s="52">
        <f>H41+I41</f>
        <v/>
      </c>
      <c r="K41" s="52">
        <f>J41-H41</f>
        <v/>
      </c>
      <c r="L41" s="52">
        <f>SUMIFS(Quota_Groups!$G:$G,Quota_Groups!$B:$B,A41,Quota_Groups!$D:$D,E41)</f>
        <v/>
      </c>
      <c r="M41" s="53">
        <f>MIN(K41,L41)</f>
        <v/>
      </c>
      <c r="N41" s="11">
        <f>IF(K41&lt;=L41,"CAPACITY","QUOTA")</f>
        <v/>
      </c>
      <c r="O41" s="11">
        <f>IF(K41&lt;=0,"RESERVATION_DEFICIT",IF(L41&lt;=0,"QUOTA_DEFICIT",IF(M41&lt;I41*0.5,"READY_WITH_RISK","READY")))</f>
        <v/>
      </c>
      <c r="P41" s="39" t="inlineStr"/>
    </row>
    <row r="42">
      <c r="A42" s="11" t="inlineStr">
        <is>
          <t>Central US</t>
        </is>
      </c>
      <c r="B42" s="11" t="inlineStr">
        <is>
          <t>US</t>
        </is>
      </c>
      <c r="C42" s="11" t="inlineStr">
        <is>
          <t>NonProd</t>
        </is>
      </c>
      <c r="D42" s="11" t="inlineStr">
        <is>
          <t>Standard_D16ads_v5</t>
        </is>
      </c>
      <c r="E42" s="11">
        <f>VLOOKUP(D42,SKU_Family_Map!$A:$B,2,FALSE)</f>
        <v/>
      </c>
      <c r="F42" s="11" t="inlineStr">
        <is>
          <t>crg-np-cus-reg</t>
        </is>
      </c>
      <c r="G42" s="11" t="n">
        <v>16</v>
      </c>
      <c r="H42" s="29" t="n">
        <v>2432</v>
      </c>
      <c r="I42" s="29" t="n">
        <v>292</v>
      </c>
      <c r="J42" s="52">
        <f>H42+I42</f>
        <v/>
      </c>
      <c r="K42" s="52">
        <f>J42-H42</f>
        <v/>
      </c>
      <c r="L42" s="52">
        <f>SUMIFS(Quota_Groups!$G:$G,Quota_Groups!$B:$B,A42,Quota_Groups!$D:$D,E42)</f>
        <v/>
      </c>
      <c r="M42" s="53">
        <f>MIN(K42,L42)</f>
        <v/>
      </c>
      <c r="N42" s="11">
        <f>IF(K42&lt;=L42,"CAPACITY","QUOTA")</f>
        <v/>
      </c>
      <c r="O42" s="11">
        <f>IF(K42&lt;=0,"RESERVATION_DEFICIT",IF(L42&lt;=0,"QUOTA_DEFICIT",IF(M42&lt;I42*0.5,"READY_WITH_RISK","READY")))</f>
        <v/>
      </c>
      <c r="P42" s="39" t="inlineStr"/>
    </row>
    <row r="43">
      <c r="A43" s="11" t="inlineStr">
        <is>
          <t>Central US</t>
        </is>
      </c>
      <c r="B43" s="11" t="inlineStr">
        <is>
          <t>US</t>
        </is>
      </c>
      <c r="C43" s="11" t="inlineStr">
        <is>
          <t>NonProd</t>
        </is>
      </c>
      <c r="D43" s="11" t="inlineStr">
        <is>
          <t>Standard_D8as_v5</t>
        </is>
      </c>
      <c r="E43" s="11">
        <f>VLOOKUP(D43,SKU_Family_Map!$A:$B,2,FALSE)</f>
        <v/>
      </c>
      <c r="F43" s="11" t="inlineStr">
        <is>
          <t>crg-np-cus-reg</t>
        </is>
      </c>
      <c r="G43" s="11" t="n">
        <v>8</v>
      </c>
      <c r="H43" s="29" t="n">
        <v>424</v>
      </c>
      <c r="I43" s="29" t="n">
        <v>51</v>
      </c>
      <c r="J43" s="52">
        <f>H43+I43</f>
        <v/>
      </c>
      <c r="K43" s="52">
        <f>J43-H43</f>
        <v/>
      </c>
      <c r="L43" s="52">
        <f>SUMIFS(Quota_Groups!$G:$G,Quota_Groups!$B:$B,A43,Quota_Groups!$D:$D,E43)</f>
        <v/>
      </c>
      <c r="M43" s="53">
        <f>MIN(K43,L43)</f>
        <v/>
      </c>
      <c r="N43" s="11">
        <f>IF(K43&lt;=L43,"CAPACITY","QUOTA")</f>
        <v/>
      </c>
      <c r="O43" s="11">
        <f>IF(K43&lt;=0,"RESERVATION_DEFICIT",IF(L43&lt;=0,"QUOTA_DEFICIT",IF(M43&lt;I43*0.5,"READY_WITH_RISK","READY")))</f>
        <v/>
      </c>
      <c r="P43" s="39" t="inlineStr"/>
    </row>
    <row r="44">
      <c r="A44" s="11" t="inlineStr">
        <is>
          <t>Central US</t>
        </is>
      </c>
      <c r="B44" s="11" t="inlineStr">
        <is>
          <t>US</t>
        </is>
      </c>
      <c r="C44" s="11" t="inlineStr">
        <is>
          <t>NonProd</t>
        </is>
      </c>
      <c r="D44" s="11" t="inlineStr">
        <is>
          <t>Standard_D16as_v5</t>
        </is>
      </c>
      <c r="E44" s="11">
        <f>VLOOKUP(D44,SKU_Family_Map!$A:$B,2,FALSE)</f>
        <v/>
      </c>
      <c r="F44" s="11" t="inlineStr">
        <is>
          <t>crg-np-cus-reg</t>
        </is>
      </c>
      <c r="G44" s="11" t="n">
        <v>16</v>
      </c>
      <c r="H44" s="29" t="n">
        <v>384</v>
      </c>
      <c r="I44" s="29" t="n">
        <v>46</v>
      </c>
      <c r="J44" s="52">
        <f>H44+I44</f>
        <v/>
      </c>
      <c r="K44" s="52">
        <f>J44-H44</f>
        <v/>
      </c>
      <c r="L44" s="52">
        <f>SUMIFS(Quota_Groups!$G:$G,Quota_Groups!$B:$B,A44,Quota_Groups!$D:$D,E44)</f>
        <v/>
      </c>
      <c r="M44" s="53">
        <f>MIN(K44,L44)</f>
        <v/>
      </c>
      <c r="N44" s="11">
        <f>IF(K44&lt;=L44,"CAPACITY","QUOTA")</f>
        <v/>
      </c>
      <c r="O44" s="11">
        <f>IF(K44&lt;=0,"RESERVATION_DEFICIT",IF(L44&lt;=0,"QUOTA_DEFICIT",IF(M44&lt;I44*0.5,"READY_WITH_RISK","READY")))</f>
        <v/>
      </c>
      <c r="P44" s="39" t="inlineStr"/>
    </row>
    <row r="45">
      <c r="A45" s="11" t="inlineStr">
        <is>
          <t>Central US</t>
        </is>
      </c>
      <c r="B45" s="11" t="inlineStr">
        <is>
          <t>US</t>
        </is>
      </c>
      <c r="C45" s="11" t="inlineStr">
        <is>
          <t>DR</t>
        </is>
      </c>
      <c r="D45" s="11" t="inlineStr">
        <is>
          <t>Standard_E32ads_v5</t>
        </is>
      </c>
      <c r="E45" s="11">
        <f>VLOOKUP(D45,SKU_Family_Map!$A:$B,2,FALSE)</f>
        <v/>
      </c>
      <c r="F45" s="11" t="inlineStr">
        <is>
          <t>crg-dr-cus-reg</t>
        </is>
      </c>
      <c r="G45" s="11" t="n">
        <v>32</v>
      </c>
      <c r="H45" s="29" t="n">
        <v>0</v>
      </c>
      <c r="I45" s="29" t="n">
        <v>8</v>
      </c>
      <c r="J45" s="52">
        <f>H45+I45</f>
        <v/>
      </c>
      <c r="K45" s="52">
        <f>J45-H45</f>
        <v/>
      </c>
      <c r="L45" s="52">
        <f>SUMIFS(Quota_Groups!$G:$G,Quota_Groups!$B:$B,A45,Quota_Groups!$D:$D,E45)</f>
        <v/>
      </c>
      <c r="M45" s="53">
        <f>MIN(K45,L45)</f>
        <v/>
      </c>
      <c r="N45" s="11">
        <f>IF(K45&lt;=L45,"CAPACITY","QUOTA")</f>
        <v/>
      </c>
      <c r="O45" s="11">
        <f>IF(K45&lt;=0,"RESERVATION_DEFICIT",IF(L45&lt;=0,"QUOTA_DEFICIT",IF(M45&lt;I45*0.5,"READY_WITH_RISK","READY")))</f>
        <v/>
      </c>
      <c r="P45" s="39" t="inlineStr">
        <is>
          <t>DR 30% bootstrap (ENV-005)</t>
        </is>
      </c>
    </row>
    <row r="46">
      <c r="A46" s="11" t="inlineStr">
        <is>
          <t>Central US</t>
        </is>
      </c>
      <c r="B46" s="11" t="inlineStr">
        <is>
          <t>US</t>
        </is>
      </c>
      <c r="C46" s="11" t="inlineStr">
        <is>
          <t>DR</t>
        </is>
      </c>
      <c r="D46" s="11" t="inlineStr">
        <is>
          <t>Standard_E64ads_v5</t>
        </is>
      </c>
      <c r="E46" s="11">
        <f>VLOOKUP(D46,SKU_Family_Map!$A:$B,2,FALSE)</f>
        <v/>
      </c>
      <c r="F46" s="11" t="inlineStr">
        <is>
          <t>crg-dr-cus-reg</t>
        </is>
      </c>
      <c r="G46" s="11" t="n">
        <v>64</v>
      </c>
      <c r="H46" s="29" t="n">
        <v>0</v>
      </c>
      <c r="I46" s="29" t="n">
        <v>8</v>
      </c>
      <c r="J46" s="52">
        <f>H46+I46</f>
        <v/>
      </c>
      <c r="K46" s="52">
        <f>J46-H46</f>
        <v/>
      </c>
      <c r="L46" s="52">
        <f>SUMIFS(Quota_Groups!$G:$G,Quota_Groups!$B:$B,A46,Quota_Groups!$D:$D,E46)</f>
        <v/>
      </c>
      <c r="M46" s="53">
        <f>MIN(K46,L46)</f>
        <v/>
      </c>
      <c r="N46" s="11">
        <f>IF(K46&lt;=L46,"CAPACITY","QUOTA")</f>
        <v/>
      </c>
      <c r="O46" s="11">
        <f>IF(K46&lt;=0,"RESERVATION_DEFICIT",IF(L46&lt;=0,"QUOTA_DEFICIT",IF(M46&lt;I46*0.5,"READY_WITH_RISK","READY")))</f>
        <v/>
      </c>
      <c r="P46" s="39" t="inlineStr">
        <is>
          <t>DR 30% bootstrap (ENV-005)</t>
        </is>
      </c>
    </row>
    <row r="47">
      <c r="A47" s="11" t="inlineStr">
        <is>
          <t>Central US</t>
        </is>
      </c>
      <c r="B47" s="11" t="inlineStr">
        <is>
          <t>US</t>
        </is>
      </c>
      <c r="C47" s="11" t="inlineStr">
        <is>
          <t>DR</t>
        </is>
      </c>
      <c r="D47" s="11" t="inlineStr">
        <is>
          <t>Standard_E16ads_v5</t>
        </is>
      </c>
      <c r="E47" s="11">
        <f>VLOOKUP(D47,SKU_Family_Map!$A:$B,2,FALSE)</f>
        <v/>
      </c>
      <c r="F47" s="11" t="inlineStr">
        <is>
          <t>crg-dr-cus-reg</t>
        </is>
      </c>
      <c r="G47" s="11" t="n">
        <v>16</v>
      </c>
      <c r="H47" s="29" t="n">
        <v>29</v>
      </c>
      <c r="I47" s="29" t="n">
        <v>8</v>
      </c>
      <c r="J47" s="52">
        <f>H47+I47</f>
        <v/>
      </c>
      <c r="K47" s="52">
        <f>J47-H47</f>
        <v/>
      </c>
      <c r="L47" s="52">
        <f>SUMIFS(Quota_Groups!$G:$G,Quota_Groups!$B:$B,A47,Quota_Groups!$D:$D,E47)</f>
        <v/>
      </c>
      <c r="M47" s="53">
        <f>MIN(K47,L47)</f>
        <v/>
      </c>
      <c r="N47" s="11">
        <f>IF(K47&lt;=L47,"CAPACITY","QUOTA")</f>
        <v/>
      </c>
      <c r="O47" s="11">
        <f>IF(K47&lt;=0,"RESERVATION_DEFICIT",IF(L47&lt;=0,"QUOTA_DEFICIT",IF(M47&lt;I47*0.5,"READY_WITH_RISK","READY")))</f>
        <v/>
      </c>
      <c r="P47" s="39" t="inlineStr">
        <is>
          <t>DR 30% bootstrap (ENV-005)</t>
        </is>
      </c>
    </row>
    <row r="48">
      <c r="A48" s="11" t="inlineStr">
        <is>
          <t>Central US</t>
        </is>
      </c>
      <c r="B48" s="11" t="inlineStr">
        <is>
          <t>US</t>
        </is>
      </c>
      <c r="C48" s="11" t="inlineStr">
        <is>
          <t>DR</t>
        </is>
      </c>
      <c r="D48" s="11" t="inlineStr">
        <is>
          <t>Standard_E32ads_v6</t>
        </is>
      </c>
      <c r="E48" s="11">
        <f>VLOOKUP(D48,SKU_Family_Map!$A:$B,2,FALSE)</f>
        <v/>
      </c>
      <c r="F48" s="11" t="inlineStr">
        <is>
          <t>crg-dr-cus-reg</t>
        </is>
      </c>
      <c r="G48" s="11" t="n">
        <v>32</v>
      </c>
      <c r="H48" s="29" t="n">
        <v>154</v>
      </c>
      <c r="I48" s="29" t="n">
        <v>18</v>
      </c>
      <c r="J48" s="52">
        <f>H48+I48</f>
        <v/>
      </c>
      <c r="K48" s="52">
        <f>J48-H48</f>
        <v/>
      </c>
      <c r="L48" s="52">
        <f>SUMIFS(Quota_Groups!$G:$G,Quota_Groups!$B:$B,A48,Quota_Groups!$D:$D,E48)</f>
        <v/>
      </c>
      <c r="M48" s="53">
        <f>MIN(K48,L48)</f>
        <v/>
      </c>
      <c r="N48" s="11">
        <f>IF(K48&lt;=L48,"CAPACITY","QUOTA")</f>
        <v/>
      </c>
      <c r="O48" s="11">
        <f>IF(K48&lt;=0,"RESERVATION_DEFICIT",IF(L48&lt;=0,"QUOTA_DEFICIT",IF(M48&lt;I48*0.5,"READY_WITH_RISK","READY")))</f>
        <v/>
      </c>
      <c r="P48" s="39" t="inlineStr">
        <is>
          <t>DR 30% bootstrap (ENV-005)</t>
        </is>
      </c>
    </row>
    <row r="49">
      <c r="A49" s="11" t="inlineStr">
        <is>
          <t>Central US</t>
        </is>
      </c>
      <c r="B49" s="11" t="inlineStr">
        <is>
          <t>US</t>
        </is>
      </c>
      <c r="C49" s="11" t="inlineStr">
        <is>
          <t>DR</t>
        </is>
      </c>
      <c r="D49" s="11" t="inlineStr">
        <is>
          <t>Standard_D8ads_v5</t>
        </is>
      </c>
      <c r="E49" s="11">
        <f>VLOOKUP(D49,SKU_Family_Map!$A:$B,2,FALSE)</f>
        <v/>
      </c>
      <c r="F49" s="11" t="inlineStr">
        <is>
          <t>crg-dr-cus-reg</t>
        </is>
      </c>
      <c r="G49" s="11" t="n">
        <v>8</v>
      </c>
      <c r="H49" s="29" t="n">
        <v>125</v>
      </c>
      <c r="I49" s="29" t="n">
        <v>15</v>
      </c>
      <c r="J49" s="52">
        <f>H49+I49</f>
        <v/>
      </c>
      <c r="K49" s="52">
        <f>J49-H49</f>
        <v/>
      </c>
      <c r="L49" s="52">
        <f>SUMIFS(Quota_Groups!$G:$G,Quota_Groups!$B:$B,A49,Quota_Groups!$D:$D,E49)</f>
        <v/>
      </c>
      <c r="M49" s="53">
        <f>MIN(K49,L49)</f>
        <v/>
      </c>
      <c r="N49" s="11">
        <f>IF(K49&lt;=L49,"CAPACITY","QUOTA")</f>
        <v/>
      </c>
      <c r="O49" s="11">
        <f>IF(K49&lt;=0,"RESERVATION_DEFICIT",IF(L49&lt;=0,"QUOTA_DEFICIT",IF(M49&lt;I49*0.5,"READY_WITH_RISK","READY")))</f>
        <v/>
      </c>
      <c r="P49" s="39" t="inlineStr">
        <is>
          <t>DR 30% bootstrap (ENV-005)</t>
        </is>
      </c>
    </row>
    <row r="50">
      <c r="A50" s="11" t="inlineStr">
        <is>
          <t>Central US</t>
        </is>
      </c>
      <c r="B50" s="11" t="inlineStr">
        <is>
          <t>US</t>
        </is>
      </c>
      <c r="C50" s="11" t="inlineStr">
        <is>
          <t>DR</t>
        </is>
      </c>
      <c r="D50" s="11" t="inlineStr">
        <is>
          <t>Standard_D16ads_v5</t>
        </is>
      </c>
      <c r="E50" s="11">
        <f>VLOOKUP(D50,SKU_Family_Map!$A:$B,2,FALSE)</f>
        <v/>
      </c>
      <c r="F50" s="11" t="inlineStr">
        <is>
          <t>crg-dr-cus-reg</t>
        </is>
      </c>
      <c r="G50" s="11" t="n">
        <v>16</v>
      </c>
      <c r="H50" s="29" t="n">
        <v>34</v>
      </c>
      <c r="I50" s="29" t="n">
        <v>8</v>
      </c>
      <c r="J50" s="52">
        <f>H50+I50</f>
        <v/>
      </c>
      <c r="K50" s="52">
        <f>J50-H50</f>
        <v/>
      </c>
      <c r="L50" s="52">
        <f>SUMIFS(Quota_Groups!$G:$G,Quota_Groups!$B:$B,A50,Quota_Groups!$D:$D,E50)</f>
        <v/>
      </c>
      <c r="M50" s="53">
        <f>MIN(K50,L50)</f>
        <v/>
      </c>
      <c r="N50" s="11">
        <f>IF(K50&lt;=L50,"CAPACITY","QUOTA")</f>
        <v/>
      </c>
      <c r="O50" s="11">
        <f>IF(K50&lt;=0,"RESERVATION_DEFICIT",IF(L50&lt;=0,"QUOTA_DEFICIT",IF(M50&lt;I50*0.5,"READY_WITH_RISK","READY")))</f>
        <v/>
      </c>
      <c r="P50" s="39" t="inlineStr">
        <is>
          <t>DR 30% bootstrap (ENV-005)</t>
        </is>
      </c>
    </row>
    <row r="51">
      <c r="A51" s="11" t="inlineStr">
        <is>
          <t>Central US</t>
        </is>
      </c>
      <c r="B51" s="11" t="inlineStr">
        <is>
          <t>US</t>
        </is>
      </c>
      <c r="C51" s="11" t="inlineStr">
        <is>
          <t>DR</t>
        </is>
      </c>
      <c r="D51" s="11" t="inlineStr">
        <is>
          <t>Standard_D8as_v5</t>
        </is>
      </c>
      <c r="E51" s="11">
        <f>VLOOKUP(D51,SKU_Family_Map!$A:$B,2,FALSE)</f>
        <v/>
      </c>
      <c r="F51" s="11" t="inlineStr">
        <is>
          <t>crg-dr-cus-reg</t>
        </is>
      </c>
      <c r="G51" s="11" t="n">
        <v>8</v>
      </c>
      <c r="H51" s="29" t="n">
        <v>1534</v>
      </c>
      <c r="I51" s="29" t="n">
        <v>184</v>
      </c>
      <c r="J51" s="52">
        <f>H51+I51</f>
        <v/>
      </c>
      <c r="K51" s="52">
        <f>J51-H51</f>
        <v/>
      </c>
      <c r="L51" s="52">
        <f>SUMIFS(Quota_Groups!$G:$G,Quota_Groups!$B:$B,A51,Quota_Groups!$D:$D,E51)</f>
        <v/>
      </c>
      <c r="M51" s="53">
        <f>MIN(K51,L51)</f>
        <v/>
      </c>
      <c r="N51" s="11">
        <f>IF(K51&lt;=L51,"CAPACITY","QUOTA")</f>
        <v/>
      </c>
      <c r="O51" s="11">
        <f>IF(K51&lt;=0,"RESERVATION_DEFICIT",IF(L51&lt;=0,"QUOTA_DEFICIT",IF(M51&lt;I51*0.5,"READY_WITH_RISK","READY")))</f>
        <v/>
      </c>
      <c r="P51" s="39" t="inlineStr">
        <is>
          <t>DR 30% bootstrap (ENV-005)</t>
        </is>
      </c>
    </row>
    <row r="52">
      <c r="A52" s="11" t="inlineStr">
        <is>
          <t>Central US</t>
        </is>
      </c>
      <c r="B52" s="11" t="inlineStr">
        <is>
          <t>US</t>
        </is>
      </c>
      <c r="C52" s="11" t="inlineStr">
        <is>
          <t>DR</t>
        </is>
      </c>
      <c r="D52" s="11" t="inlineStr">
        <is>
          <t>Standard_D16as_v5</t>
        </is>
      </c>
      <c r="E52" s="11">
        <f>VLOOKUP(D52,SKU_Family_Map!$A:$B,2,FALSE)</f>
        <v/>
      </c>
      <c r="F52" s="11" t="inlineStr">
        <is>
          <t>crg-dr-cus-reg</t>
        </is>
      </c>
      <c r="G52" s="11" t="n">
        <v>16</v>
      </c>
      <c r="H52" s="29" t="n">
        <v>1306</v>
      </c>
      <c r="I52" s="29" t="n">
        <v>157</v>
      </c>
      <c r="J52" s="52">
        <f>H52+I52</f>
        <v/>
      </c>
      <c r="K52" s="52">
        <f>J52-H52</f>
        <v/>
      </c>
      <c r="L52" s="52">
        <f>SUMIFS(Quota_Groups!$G:$G,Quota_Groups!$B:$B,A52,Quota_Groups!$D:$D,E52)</f>
        <v/>
      </c>
      <c r="M52" s="53">
        <f>MIN(K52,L52)</f>
        <v/>
      </c>
      <c r="N52" s="11">
        <f>IF(K52&lt;=L52,"CAPACITY","QUOTA")</f>
        <v/>
      </c>
      <c r="O52" s="11">
        <f>IF(K52&lt;=0,"RESERVATION_DEFICIT",IF(L52&lt;=0,"QUOTA_DEFICIT",IF(M52&lt;I52*0.5,"READY_WITH_RISK","READY")))</f>
        <v/>
      </c>
      <c r="P52" s="39" t="inlineStr">
        <is>
          <t>DR 30% bootstrap (ENV-005)</t>
        </is>
      </c>
    </row>
    <row r="53">
      <c r="A53" s="11" t="inlineStr">
        <is>
          <t>Canada Central</t>
        </is>
      </c>
      <c r="B53" s="11" t="inlineStr">
        <is>
          <t>US</t>
        </is>
      </c>
      <c r="C53" s="11" t="inlineStr">
        <is>
          <t>Prod</t>
        </is>
      </c>
      <c r="D53" s="11" t="inlineStr">
        <is>
          <t>Standard_E32ads_v5</t>
        </is>
      </c>
      <c r="E53" s="11">
        <f>VLOOKUP(D53,SKU_Family_Map!$A:$B,2,FALSE)</f>
        <v/>
      </c>
      <c r="F53" s="11" t="inlineStr">
        <is>
          <t>crg-pr-cac-reg</t>
        </is>
      </c>
      <c r="G53" s="11" t="n">
        <v>32</v>
      </c>
      <c r="H53" s="29" t="n">
        <v>949</v>
      </c>
      <c r="I53" s="29" t="n">
        <v>114</v>
      </c>
      <c r="J53" s="52">
        <f>H53+I53</f>
        <v/>
      </c>
      <c r="K53" s="52">
        <f>J53-H53</f>
        <v/>
      </c>
      <c r="L53" s="52">
        <f>SUMIFS(Quota_Groups!$G:$G,Quota_Groups!$B:$B,A53,Quota_Groups!$D:$D,E53)</f>
        <v/>
      </c>
      <c r="M53" s="53">
        <f>MIN(K53,L53)</f>
        <v/>
      </c>
      <c r="N53" s="11">
        <f>IF(K53&lt;=L53,"CAPACITY","QUOTA")</f>
        <v/>
      </c>
      <c r="O53" s="11">
        <f>IF(K53&lt;=0,"RESERVATION_DEFICIT",IF(L53&lt;=0,"QUOTA_DEFICIT",IF(M53&lt;I53*0.5,"READY_WITH_RISK","READY")))</f>
        <v/>
      </c>
      <c r="P53" s="39" t="inlineStr">
        <is>
          <t>mock (absent in data)</t>
        </is>
      </c>
    </row>
    <row r="54">
      <c r="A54" s="11" t="inlineStr">
        <is>
          <t>Canada Central</t>
        </is>
      </c>
      <c r="B54" s="11" t="inlineStr">
        <is>
          <t>US</t>
        </is>
      </c>
      <c r="C54" s="11" t="inlineStr">
        <is>
          <t>Prod</t>
        </is>
      </c>
      <c r="D54" s="11" t="inlineStr">
        <is>
          <t>Standard_E64ads_v5</t>
        </is>
      </c>
      <c r="E54" s="11">
        <f>VLOOKUP(D54,SKU_Family_Map!$A:$B,2,FALSE)</f>
        <v/>
      </c>
      <c r="F54" s="11" t="inlineStr">
        <is>
          <t>crg-pr-cac-reg</t>
        </is>
      </c>
      <c r="G54" s="11" t="n">
        <v>64</v>
      </c>
      <c r="H54" s="29" t="n">
        <v>1781</v>
      </c>
      <c r="I54" s="29" t="n">
        <v>214</v>
      </c>
      <c r="J54" s="52">
        <f>H54+I54</f>
        <v/>
      </c>
      <c r="K54" s="52">
        <f>J54-H54</f>
        <v/>
      </c>
      <c r="L54" s="52">
        <f>SUMIFS(Quota_Groups!$G:$G,Quota_Groups!$B:$B,A54,Quota_Groups!$D:$D,E54)</f>
        <v/>
      </c>
      <c r="M54" s="53">
        <f>MIN(K54,L54)</f>
        <v/>
      </c>
      <c r="N54" s="11">
        <f>IF(K54&lt;=L54,"CAPACITY","QUOTA")</f>
        <v/>
      </c>
      <c r="O54" s="11">
        <f>IF(K54&lt;=0,"RESERVATION_DEFICIT",IF(L54&lt;=0,"QUOTA_DEFICIT",IF(M54&lt;I54*0.5,"READY_WITH_RISK","READY")))</f>
        <v/>
      </c>
      <c r="P54" s="39" t="inlineStr">
        <is>
          <t>mock (absent in data)</t>
        </is>
      </c>
    </row>
    <row r="55">
      <c r="A55" s="11" t="inlineStr">
        <is>
          <t>Canada Central</t>
        </is>
      </c>
      <c r="B55" s="11" t="inlineStr">
        <is>
          <t>US</t>
        </is>
      </c>
      <c r="C55" s="11" t="inlineStr">
        <is>
          <t>Prod</t>
        </is>
      </c>
      <c r="D55" s="11" t="inlineStr">
        <is>
          <t>Standard_E16ads_v5</t>
        </is>
      </c>
      <c r="E55" s="11">
        <f>VLOOKUP(D55,SKU_Family_Map!$A:$B,2,FALSE)</f>
        <v/>
      </c>
      <c r="F55" s="11" t="inlineStr">
        <is>
          <t>crg-pr-cac-reg</t>
        </is>
      </c>
      <c r="G55" s="11" t="n">
        <v>16</v>
      </c>
      <c r="H55" s="29" t="n">
        <v>1208</v>
      </c>
      <c r="I55" s="29" t="n">
        <v>145</v>
      </c>
      <c r="J55" s="52">
        <f>H55+I55</f>
        <v/>
      </c>
      <c r="K55" s="52">
        <f>J55-H55</f>
        <v/>
      </c>
      <c r="L55" s="52">
        <f>SUMIFS(Quota_Groups!$G:$G,Quota_Groups!$B:$B,A55,Quota_Groups!$D:$D,E55)</f>
        <v/>
      </c>
      <c r="M55" s="53">
        <f>MIN(K55,L55)</f>
        <v/>
      </c>
      <c r="N55" s="11">
        <f>IF(K55&lt;=L55,"CAPACITY","QUOTA")</f>
        <v/>
      </c>
      <c r="O55" s="11">
        <f>IF(K55&lt;=0,"RESERVATION_DEFICIT",IF(L55&lt;=0,"QUOTA_DEFICIT",IF(M55&lt;I55*0.5,"READY_WITH_RISK","READY")))</f>
        <v/>
      </c>
      <c r="P55" s="39" t="inlineStr">
        <is>
          <t>mock (absent in data)</t>
        </is>
      </c>
    </row>
    <row r="56">
      <c r="A56" s="11" t="inlineStr">
        <is>
          <t>Canada Central</t>
        </is>
      </c>
      <c r="B56" s="11" t="inlineStr">
        <is>
          <t>US</t>
        </is>
      </c>
      <c r="C56" s="11" t="inlineStr">
        <is>
          <t>Prod</t>
        </is>
      </c>
      <c r="D56" s="11" t="inlineStr">
        <is>
          <t>Standard_E32ads_v6</t>
        </is>
      </c>
      <c r="E56" s="11">
        <f>VLOOKUP(D56,SKU_Family_Map!$A:$B,2,FALSE)</f>
        <v/>
      </c>
      <c r="F56" s="11" t="inlineStr">
        <is>
          <t>crg-pr-cac-reg</t>
        </is>
      </c>
      <c r="G56" s="11" t="n">
        <v>32</v>
      </c>
      <c r="H56" s="29" t="n">
        <v>3925</v>
      </c>
      <c r="I56" s="29" t="n">
        <v>471</v>
      </c>
      <c r="J56" s="52">
        <f>H56+I56</f>
        <v/>
      </c>
      <c r="K56" s="52">
        <f>J56-H56</f>
        <v/>
      </c>
      <c r="L56" s="52">
        <f>SUMIFS(Quota_Groups!$G:$G,Quota_Groups!$B:$B,A56,Quota_Groups!$D:$D,E56)</f>
        <v/>
      </c>
      <c r="M56" s="53">
        <f>MIN(K56,L56)</f>
        <v/>
      </c>
      <c r="N56" s="11">
        <f>IF(K56&lt;=L56,"CAPACITY","QUOTA")</f>
        <v/>
      </c>
      <c r="O56" s="11">
        <f>IF(K56&lt;=0,"RESERVATION_DEFICIT",IF(L56&lt;=0,"QUOTA_DEFICIT",IF(M56&lt;I56*0.5,"READY_WITH_RISK","READY")))</f>
        <v/>
      </c>
      <c r="P56" s="39" t="inlineStr">
        <is>
          <t>mock (absent in data)</t>
        </is>
      </c>
    </row>
    <row r="57">
      <c r="A57" s="11" t="inlineStr">
        <is>
          <t>Canada Central</t>
        </is>
      </c>
      <c r="B57" s="11" t="inlineStr">
        <is>
          <t>US</t>
        </is>
      </c>
      <c r="C57" s="11" t="inlineStr">
        <is>
          <t>Prod</t>
        </is>
      </c>
      <c r="D57" s="11" t="inlineStr">
        <is>
          <t>Standard_D8ads_v5</t>
        </is>
      </c>
      <c r="E57" s="11">
        <f>VLOOKUP(D57,SKU_Family_Map!$A:$B,2,FALSE)</f>
        <v/>
      </c>
      <c r="F57" s="11" t="inlineStr">
        <is>
          <t>crg-pr-cac-reg</t>
        </is>
      </c>
      <c r="G57" s="11" t="n">
        <v>8</v>
      </c>
      <c r="H57" s="29" t="n">
        <v>1891</v>
      </c>
      <c r="I57" s="29" t="n">
        <v>227</v>
      </c>
      <c r="J57" s="52">
        <f>H57+I57</f>
        <v/>
      </c>
      <c r="K57" s="52">
        <f>J57-H57</f>
        <v/>
      </c>
      <c r="L57" s="52">
        <f>SUMIFS(Quota_Groups!$G:$G,Quota_Groups!$B:$B,A57,Quota_Groups!$D:$D,E57)</f>
        <v/>
      </c>
      <c r="M57" s="53">
        <f>MIN(K57,L57)</f>
        <v/>
      </c>
      <c r="N57" s="11">
        <f>IF(K57&lt;=L57,"CAPACITY","QUOTA")</f>
        <v/>
      </c>
      <c r="O57" s="11">
        <f>IF(K57&lt;=0,"RESERVATION_DEFICIT",IF(L57&lt;=0,"QUOTA_DEFICIT",IF(M57&lt;I57*0.5,"READY_WITH_RISK","READY")))</f>
        <v/>
      </c>
      <c r="P57" s="39" t="inlineStr">
        <is>
          <t>mock (absent in data)</t>
        </is>
      </c>
    </row>
    <row r="58">
      <c r="A58" s="11" t="inlineStr">
        <is>
          <t>Canada Central</t>
        </is>
      </c>
      <c r="B58" s="11" t="inlineStr">
        <is>
          <t>US</t>
        </is>
      </c>
      <c r="C58" s="11" t="inlineStr">
        <is>
          <t>Prod</t>
        </is>
      </c>
      <c r="D58" s="11" t="inlineStr">
        <is>
          <t>Standard_D16ads_v5</t>
        </is>
      </c>
      <c r="E58" s="11">
        <f>VLOOKUP(D58,SKU_Family_Map!$A:$B,2,FALSE)</f>
        <v/>
      </c>
      <c r="F58" s="11" t="inlineStr">
        <is>
          <t>crg-pr-cac-reg</t>
        </is>
      </c>
      <c r="G58" s="11" t="n">
        <v>16</v>
      </c>
      <c r="H58" s="29" t="n">
        <v>1144</v>
      </c>
      <c r="I58" s="29" t="n">
        <v>137</v>
      </c>
      <c r="J58" s="52">
        <f>H58+I58</f>
        <v/>
      </c>
      <c r="K58" s="52">
        <f>J58-H58</f>
        <v/>
      </c>
      <c r="L58" s="52">
        <f>SUMIFS(Quota_Groups!$G:$G,Quota_Groups!$B:$B,A58,Quota_Groups!$D:$D,E58)</f>
        <v/>
      </c>
      <c r="M58" s="53">
        <f>MIN(K58,L58)</f>
        <v/>
      </c>
      <c r="N58" s="11">
        <f>IF(K58&lt;=L58,"CAPACITY","QUOTA")</f>
        <v/>
      </c>
      <c r="O58" s="11">
        <f>IF(K58&lt;=0,"RESERVATION_DEFICIT",IF(L58&lt;=0,"QUOTA_DEFICIT",IF(M58&lt;I58*0.5,"READY_WITH_RISK","READY")))</f>
        <v/>
      </c>
      <c r="P58" s="39" t="inlineStr">
        <is>
          <t>mock (absent in data)</t>
        </is>
      </c>
    </row>
    <row r="59">
      <c r="A59" s="11" t="inlineStr">
        <is>
          <t>Canada Central</t>
        </is>
      </c>
      <c r="B59" s="11" t="inlineStr">
        <is>
          <t>US</t>
        </is>
      </c>
      <c r="C59" s="11" t="inlineStr">
        <is>
          <t>Prod</t>
        </is>
      </c>
      <c r="D59" s="11" t="inlineStr">
        <is>
          <t>Standard_D8as_v5</t>
        </is>
      </c>
      <c r="E59" s="11">
        <f>VLOOKUP(D59,SKU_Family_Map!$A:$B,2,FALSE)</f>
        <v/>
      </c>
      <c r="F59" s="11" t="inlineStr">
        <is>
          <t>crg-pr-cac-reg</t>
        </is>
      </c>
      <c r="G59" s="11" t="n">
        <v>8</v>
      </c>
      <c r="H59" s="29" t="n">
        <v>2507</v>
      </c>
      <c r="I59" s="29" t="n">
        <v>301</v>
      </c>
      <c r="J59" s="52">
        <f>H59+I59</f>
        <v/>
      </c>
      <c r="K59" s="52">
        <f>J59-H59</f>
        <v/>
      </c>
      <c r="L59" s="52">
        <f>SUMIFS(Quota_Groups!$G:$G,Quota_Groups!$B:$B,A59,Quota_Groups!$D:$D,E59)</f>
        <v/>
      </c>
      <c r="M59" s="53">
        <f>MIN(K59,L59)</f>
        <v/>
      </c>
      <c r="N59" s="11">
        <f>IF(K59&lt;=L59,"CAPACITY","QUOTA")</f>
        <v/>
      </c>
      <c r="O59" s="11">
        <f>IF(K59&lt;=0,"RESERVATION_DEFICIT",IF(L59&lt;=0,"QUOTA_DEFICIT",IF(M59&lt;I59*0.5,"READY_WITH_RISK","READY")))</f>
        <v/>
      </c>
      <c r="P59" s="39" t="inlineStr">
        <is>
          <t>mock (absent in data)</t>
        </is>
      </c>
    </row>
    <row r="60">
      <c r="A60" s="11" t="inlineStr">
        <is>
          <t>Canada Central</t>
        </is>
      </c>
      <c r="B60" s="11" t="inlineStr">
        <is>
          <t>US</t>
        </is>
      </c>
      <c r="C60" s="11" t="inlineStr">
        <is>
          <t>Prod</t>
        </is>
      </c>
      <c r="D60" s="11" t="inlineStr">
        <is>
          <t>Standard_D16as_v5</t>
        </is>
      </c>
      <c r="E60" s="11">
        <f>VLOOKUP(D60,SKU_Family_Map!$A:$B,2,FALSE)</f>
        <v/>
      </c>
      <c r="F60" s="11" t="inlineStr">
        <is>
          <t>crg-pr-cac-reg</t>
        </is>
      </c>
      <c r="G60" s="11" t="n">
        <v>16</v>
      </c>
      <c r="H60" s="29" t="n">
        <v>1624</v>
      </c>
      <c r="I60" s="29" t="n">
        <v>195</v>
      </c>
      <c r="J60" s="52">
        <f>H60+I60</f>
        <v/>
      </c>
      <c r="K60" s="52">
        <f>J60-H60</f>
        <v/>
      </c>
      <c r="L60" s="52">
        <f>SUMIFS(Quota_Groups!$G:$G,Quota_Groups!$B:$B,A60,Quota_Groups!$D:$D,E60)</f>
        <v/>
      </c>
      <c r="M60" s="53">
        <f>MIN(K60,L60)</f>
        <v/>
      </c>
      <c r="N60" s="11">
        <f>IF(K60&lt;=L60,"CAPACITY","QUOTA")</f>
        <v/>
      </c>
      <c r="O60" s="11">
        <f>IF(K60&lt;=0,"RESERVATION_DEFICIT",IF(L60&lt;=0,"QUOTA_DEFICIT",IF(M60&lt;I60*0.5,"READY_WITH_RISK","READY")))</f>
        <v/>
      </c>
      <c r="P60" s="39" t="inlineStr">
        <is>
          <t>mock (absent in data)</t>
        </is>
      </c>
    </row>
    <row r="61">
      <c r="A61" s="11" t="inlineStr">
        <is>
          <t>Canada Central</t>
        </is>
      </c>
      <c r="B61" s="11" t="inlineStr">
        <is>
          <t>US</t>
        </is>
      </c>
      <c r="C61" s="11" t="inlineStr">
        <is>
          <t>NonProd</t>
        </is>
      </c>
      <c r="D61" s="11" t="inlineStr">
        <is>
          <t>Standard_E32ads_v5</t>
        </is>
      </c>
      <c r="E61" s="11">
        <f>VLOOKUP(D61,SKU_Family_Map!$A:$B,2,FALSE)</f>
        <v/>
      </c>
      <c r="F61" s="11" t="inlineStr">
        <is>
          <t>crg-np-cac-reg</t>
        </is>
      </c>
      <c r="G61" s="11" t="n">
        <v>32</v>
      </c>
      <c r="H61" s="29" t="n">
        <v>14245</v>
      </c>
      <c r="I61" s="29" t="n">
        <v>1709</v>
      </c>
      <c r="J61" s="52">
        <f>H61+I61</f>
        <v/>
      </c>
      <c r="K61" s="52">
        <f>J61-H61</f>
        <v/>
      </c>
      <c r="L61" s="52">
        <f>SUMIFS(Quota_Groups!$G:$G,Quota_Groups!$B:$B,A61,Quota_Groups!$D:$D,E61)</f>
        <v/>
      </c>
      <c r="M61" s="53">
        <f>MIN(K61,L61)</f>
        <v/>
      </c>
      <c r="N61" s="11">
        <f>IF(K61&lt;=L61,"CAPACITY","QUOTA")</f>
        <v/>
      </c>
      <c r="O61" s="11">
        <f>IF(K61&lt;=0,"RESERVATION_DEFICIT",IF(L61&lt;=0,"QUOTA_DEFICIT",IF(M61&lt;I61*0.5,"READY_WITH_RISK","READY")))</f>
        <v/>
      </c>
      <c r="P61" s="39" t="inlineStr">
        <is>
          <t>mock (absent in data)</t>
        </is>
      </c>
    </row>
    <row r="62">
      <c r="A62" s="11" t="inlineStr">
        <is>
          <t>Canada Central</t>
        </is>
      </c>
      <c r="B62" s="11" t="inlineStr">
        <is>
          <t>US</t>
        </is>
      </c>
      <c r="C62" s="11" t="inlineStr">
        <is>
          <t>NonProd</t>
        </is>
      </c>
      <c r="D62" s="11" t="inlineStr">
        <is>
          <t>Standard_E64ads_v5</t>
        </is>
      </c>
      <c r="E62" s="11">
        <f>VLOOKUP(D62,SKU_Family_Map!$A:$B,2,FALSE)</f>
        <v/>
      </c>
      <c r="F62" s="11" t="inlineStr">
        <is>
          <t>crg-np-cac-reg</t>
        </is>
      </c>
      <c r="G62" s="11" t="n">
        <v>64</v>
      </c>
      <c r="H62" s="29" t="n">
        <v>8832</v>
      </c>
      <c r="I62" s="29" t="n">
        <v>1060</v>
      </c>
      <c r="J62" s="52">
        <f>H62+I62</f>
        <v/>
      </c>
      <c r="K62" s="52">
        <f>J62-H62</f>
        <v/>
      </c>
      <c r="L62" s="52">
        <f>SUMIFS(Quota_Groups!$G:$G,Quota_Groups!$B:$B,A62,Quota_Groups!$D:$D,E62)</f>
        <v/>
      </c>
      <c r="M62" s="53">
        <f>MIN(K62,L62)</f>
        <v/>
      </c>
      <c r="N62" s="11">
        <f>IF(K62&lt;=L62,"CAPACITY","QUOTA")</f>
        <v/>
      </c>
      <c r="O62" s="11">
        <f>IF(K62&lt;=0,"RESERVATION_DEFICIT",IF(L62&lt;=0,"QUOTA_DEFICIT",IF(M62&lt;I62*0.5,"READY_WITH_RISK","READY")))</f>
        <v/>
      </c>
      <c r="P62" s="39" t="inlineStr">
        <is>
          <t>mock (absent in data)</t>
        </is>
      </c>
    </row>
    <row r="63">
      <c r="A63" s="11" t="inlineStr">
        <is>
          <t>Canada Central</t>
        </is>
      </c>
      <c r="B63" s="11" t="inlineStr">
        <is>
          <t>US</t>
        </is>
      </c>
      <c r="C63" s="11" t="inlineStr">
        <is>
          <t>NonProd</t>
        </is>
      </c>
      <c r="D63" s="11" t="inlineStr">
        <is>
          <t>Standard_E16ads_v5</t>
        </is>
      </c>
      <c r="E63" s="11">
        <f>VLOOKUP(D63,SKU_Family_Map!$A:$B,2,FALSE)</f>
        <v/>
      </c>
      <c r="F63" s="11" t="inlineStr">
        <is>
          <t>crg-np-cac-reg</t>
        </is>
      </c>
      <c r="G63" s="11" t="n">
        <v>16</v>
      </c>
      <c r="H63" s="29" t="n">
        <v>3059</v>
      </c>
      <c r="I63" s="29" t="n">
        <v>367</v>
      </c>
      <c r="J63" s="52">
        <f>H63+I63</f>
        <v/>
      </c>
      <c r="K63" s="52">
        <f>J63-H63</f>
        <v/>
      </c>
      <c r="L63" s="52">
        <f>SUMIFS(Quota_Groups!$G:$G,Quota_Groups!$B:$B,A63,Quota_Groups!$D:$D,E63)</f>
        <v/>
      </c>
      <c r="M63" s="53">
        <f>MIN(K63,L63)</f>
        <v/>
      </c>
      <c r="N63" s="11">
        <f>IF(K63&lt;=L63,"CAPACITY","QUOTA")</f>
        <v/>
      </c>
      <c r="O63" s="11">
        <f>IF(K63&lt;=0,"RESERVATION_DEFICIT",IF(L63&lt;=0,"QUOTA_DEFICIT",IF(M63&lt;I63*0.5,"READY_WITH_RISK","READY")))</f>
        <v/>
      </c>
      <c r="P63" s="39" t="inlineStr">
        <is>
          <t>mock (absent in data)</t>
        </is>
      </c>
    </row>
    <row r="64">
      <c r="A64" s="11" t="inlineStr">
        <is>
          <t>Canada Central</t>
        </is>
      </c>
      <c r="B64" s="11" t="inlineStr">
        <is>
          <t>US</t>
        </is>
      </c>
      <c r="C64" s="11" t="inlineStr">
        <is>
          <t>NonProd</t>
        </is>
      </c>
      <c r="D64" s="11" t="inlineStr">
        <is>
          <t>Standard_E32ads_v6</t>
        </is>
      </c>
      <c r="E64" s="11">
        <f>VLOOKUP(D64,SKU_Family_Map!$A:$B,2,FALSE)</f>
        <v/>
      </c>
      <c r="F64" s="11" t="inlineStr">
        <is>
          <t>crg-np-cac-reg</t>
        </is>
      </c>
      <c r="G64" s="11" t="n">
        <v>32</v>
      </c>
      <c r="H64" s="29" t="n">
        <v>2987</v>
      </c>
      <c r="I64" s="29" t="n">
        <v>358</v>
      </c>
      <c r="J64" s="52">
        <f>H64+I64</f>
        <v/>
      </c>
      <c r="K64" s="52">
        <f>J64-H64</f>
        <v/>
      </c>
      <c r="L64" s="52">
        <f>SUMIFS(Quota_Groups!$G:$G,Quota_Groups!$B:$B,A64,Quota_Groups!$D:$D,E64)</f>
        <v/>
      </c>
      <c r="M64" s="53">
        <f>MIN(K64,L64)</f>
        <v/>
      </c>
      <c r="N64" s="11">
        <f>IF(K64&lt;=L64,"CAPACITY","QUOTA")</f>
        <v/>
      </c>
      <c r="O64" s="11">
        <f>IF(K64&lt;=0,"RESERVATION_DEFICIT",IF(L64&lt;=0,"QUOTA_DEFICIT",IF(M64&lt;I64*0.5,"READY_WITH_RISK","READY")))</f>
        <v/>
      </c>
      <c r="P64" s="39" t="inlineStr">
        <is>
          <t>mock (absent in data)</t>
        </is>
      </c>
    </row>
    <row r="65">
      <c r="A65" s="11" t="inlineStr">
        <is>
          <t>Canada Central</t>
        </is>
      </c>
      <c r="B65" s="11" t="inlineStr">
        <is>
          <t>US</t>
        </is>
      </c>
      <c r="C65" s="11" t="inlineStr">
        <is>
          <t>NonProd</t>
        </is>
      </c>
      <c r="D65" s="11" t="inlineStr">
        <is>
          <t>Standard_D8ads_v5</t>
        </is>
      </c>
      <c r="E65" s="11">
        <f>VLOOKUP(D65,SKU_Family_Map!$A:$B,2,FALSE)</f>
        <v/>
      </c>
      <c r="F65" s="11" t="inlineStr">
        <is>
          <t>crg-np-cac-reg</t>
        </is>
      </c>
      <c r="G65" s="11" t="n">
        <v>8</v>
      </c>
      <c r="H65" s="29" t="n">
        <v>2991</v>
      </c>
      <c r="I65" s="29" t="n">
        <v>359</v>
      </c>
      <c r="J65" s="52">
        <f>H65+I65</f>
        <v/>
      </c>
      <c r="K65" s="52">
        <f>J65-H65</f>
        <v/>
      </c>
      <c r="L65" s="52">
        <f>SUMIFS(Quota_Groups!$G:$G,Quota_Groups!$B:$B,A65,Quota_Groups!$D:$D,E65)</f>
        <v/>
      </c>
      <c r="M65" s="53">
        <f>MIN(K65,L65)</f>
        <v/>
      </c>
      <c r="N65" s="11">
        <f>IF(K65&lt;=L65,"CAPACITY","QUOTA")</f>
        <v/>
      </c>
      <c r="O65" s="11">
        <f>IF(K65&lt;=0,"RESERVATION_DEFICIT",IF(L65&lt;=0,"QUOTA_DEFICIT",IF(M65&lt;I65*0.5,"READY_WITH_RISK","READY")))</f>
        <v/>
      </c>
      <c r="P65" s="39" t="inlineStr">
        <is>
          <t>mock (absent in data)</t>
        </is>
      </c>
    </row>
    <row r="66">
      <c r="A66" s="11" t="inlineStr">
        <is>
          <t>Canada Central</t>
        </is>
      </c>
      <c r="B66" s="11" t="inlineStr">
        <is>
          <t>US</t>
        </is>
      </c>
      <c r="C66" s="11" t="inlineStr">
        <is>
          <t>NonProd</t>
        </is>
      </c>
      <c r="D66" s="11" t="inlineStr">
        <is>
          <t>Standard_D16ads_v5</t>
        </is>
      </c>
      <c r="E66" s="11">
        <f>VLOOKUP(D66,SKU_Family_Map!$A:$B,2,FALSE)</f>
        <v/>
      </c>
      <c r="F66" s="11" t="inlineStr">
        <is>
          <t>crg-np-cac-reg</t>
        </is>
      </c>
      <c r="G66" s="11" t="n">
        <v>16</v>
      </c>
      <c r="H66" s="29" t="n">
        <v>1523</v>
      </c>
      <c r="I66" s="29" t="n">
        <v>183</v>
      </c>
      <c r="J66" s="52">
        <f>H66+I66</f>
        <v/>
      </c>
      <c r="K66" s="52">
        <f>J66-H66</f>
        <v/>
      </c>
      <c r="L66" s="52">
        <f>SUMIFS(Quota_Groups!$G:$G,Quota_Groups!$B:$B,A66,Quota_Groups!$D:$D,E66)</f>
        <v/>
      </c>
      <c r="M66" s="53">
        <f>MIN(K66,L66)</f>
        <v/>
      </c>
      <c r="N66" s="11">
        <f>IF(K66&lt;=L66,"CAPACITY","QUOTA")</f>
        <v/>
      </c>
      <c r="O66" s="11">
        <f>IF(K66&lt;=0,"RESERVATION_DEFICIT",IF(L66&lt;=0,"QUOTA_DEFICIT",IF(M66&lt;I66*0.5,"READY_WITH_RISK","READY")))</f>
        <v/>
      </c>
      <c r="P66" s="39" t="inlineStr">
        <is>
          <t>mock (absent in data)</t>
        </is>
      </c>
    </row>
    <row r="67">
      <c r="A67" s="11" t="inlineStr">
        <is>
          <t>Canada Central</t>
        </is>
      </c>
      <c r="B67" s="11" t="inlineStr">
        <is>
          <t>US</t>
        </is>
      </c>
      <c r="C67" s="11" t="inlineStr">
        <is>
          <t>NonProd</t>
        </is>
      </c>
      <c r="D67" s="11" t="inlineStr">
        <is>
          <t>Standard_D8as_v5</t>
        </is>
      </c>
      <c r="E67" s="11">
        <f>VLOOKUP(D67,SKU_Family_Map!$A:$B,2,FALSE)</f>
        <v/>
      </c>
      <c r="F67" s="11" t="inlineStr">
        <is>
          <t>crg-np-cac-reg</t>
        </is>
      </c>
      <c r="G67" s="11" t="n">
        <v>8</v>
      </c>
      <c r="H67" s="29" t="n">
        <v>2100</v>
      </c>
      <c r="I67" s="29" t="n">
        <v>252</v>
      </c>
      <c r="J67" s="52">
        <f>H67+I67</f>
        <v/>
      </c>
      <c r="K67" s="52">
        <f>J67-H67</f>
        <v/>
      </c>
      <c r="L67" s="52">
        <f>SUMIFS(Quota_Groups!$G:$G,Quota_Groups!$B:$B,A67,Quota_Groups!$D:$D,E67)</f>
        <v/>
      </c>
      <c r="M67" s="53">
        <f>MIN(K67,L67)</f>
        <v/>
      </c>
      <c r="N67" s="11">
        <f>IF(K67&lt;=L67,"CAPACITY","QUOTA")</f>
        <v/>
      </c>
      <c r="O67" s="11">
        <f>IF(K67&lt;=0,"RESERVATION_DEFICIT",IF(L67&lt;=0,"QUOTA_DEFICIT",IF(M67&lt;I67*0.5,"READY_WITH_RISK","READY")))</f>
        <v/>
      </c>
      <c r="P67" s="39" t="inlineStr">
        <is>
          <t>mock (absent in data)</t>
        </is>
      </c>
    </row>
    <row r="68">
      <c r="A68" s="11" t="inlineStr">
        <is>
          <t>Canada Central</t>
        </is>
      </c>
      <c r="B68" s="11" t="inlineStr">
        <is>
          <t>US</t>
        </is>
      </c>
      <c r="C68" s="11" t="inlineStr">
        <is>
          <t>NonProd</t>
        </is>
      </c>
      <c r="D68" s="11" t="inlineStr">
        <is>
          <t>Standard_D16as_v5</t>
        </is>
      </c>
      <c r="E68" s="11">
        <f>VLOOKUP(D68,SKU_Family_Map!$A:$B,2,FALSE)</f>
        <v/>
      </c>
      <c r="F68" s="11" t="inlineStr">
        <is>
          <t>crg-np-cac-reg</t>
        </is>
      </c>
      <c r="G68" s="11" t="n">
        <v>16</v>
      </c>
      <c r="H68" s="29" t="n">
        <v>507</v>
      </c>
      <c r="I68" s="29" t="n">
        <v>61</v>
      </c>
      <c r="J68" s="52">
        <f>H68+I68</f>
        <v/>
      </c>
      <c r="K68" s="52">
        <f>J68-H68</f>
        <v/>
      </c>
      <c r="L68" s="52">
        <f>SUMIFS(Quota_Groups!$G:$G,Quota_Groups!$B:$B,A68,Quota_Groups!$D:$D,E68)</f>
        <v/>
      </c>
      <c r="M68" s="53">
        <f>MIN(K68,L68)</f>
        <v/>
      </c>
      <c r="N68" s="11">
        <f>IF(K68&lt;=L68,"CAPACITY","QUOTA")</f>
        <v/>
      </c>
      <c r="O68" s="11">
        <f>IF(K68&lt;=0,"RESERVATION_DEFICIT",IF(L68&lt;=0,"QUOTA_DEFICIT",IF(M68&lt;I68*0.5,"READY_WITH_RISK","READY")))</f>
        <v/>
      </c>
      <c r="P68" s="39" t="inlineStr">
        <is>
          <t>mock (absent in data)</t>
        </is>
      </c>
    </row>
    <row r="69">
      <c r="A69" s="11" t="inlineStr">
        <is>
          <t>Canada Central</t>
        </is>
      </c>
      <c r="B69" s="11" t="inlineStr">
        <is>
          <t>US</t>
        </is>
      </c>
      <c r="C69" s="11" t="inlineStr">
        <is>
          <t>DR</t>
        </is>
      </c>
      <c r="D69" s="11" t="inlineStr">
        <is>
          <t>Standard_E32ads_v5</t>
        </is>
      </c>
      <c r="E69" s="11">
        <f>VLOOKUP(D69,SKU_Family_Map!$A:$B,2,FALSE)</f>
        <v/>
      </c>
      <c r="F69" s="11" t="inlineStr">
        <is>
          <t>crg-dr-cac-reg</t>
        </is>
      </c>
      <c r="G69" s="11" t="n">
        <v>32</v>
      </c>
      <c r="H69" s="29" t="n">
        <v>285</v>
      </c>
      <c r="I69" s="29" t="n">
        <v>34</v>
      </c>
      <c r="J69" s="52">
        <f>H69+I69</f>
        <v/>
      </c>
      <c r="K69" s="52">
        <f>J69-H69</f>
        <v/>
      </c>
      <c r="L69" s="52">
        <f>SUMIFS(Quota_Groups!$G:$G,Quota_Groups!$B:$B,A69,Quota_Groups!$D:$D,E69)</f>
        <v/>
      </c>
      <c r="M69" s="53">
        <f>MIN(K69,L69)</f>
        <v/>
      </c>
      <c r="N69" s="11">
        <f>IF(K69&lt;=L69,"CAPACITY","QUOTA")</f>
        <v/>
      </c>
      <c r="O69" s="11">
        <f>IF(K69&lt;=0,"RESERVATION_DEFICIT",IF(L69&lt;=0,"QUOTA_DEFICIT",IF(M69&lt;I69*0.5,"READY_WITH_RISK","READY")))</f>
        <v/>
      </c>
      <c r="P69" s="39" t="inlineStr">
        <is>
          <t>mock (absent in data); DR 30% bootstrap (ENV-005)</t>
        </is>
      </c>
    </row>
    <row r="70">
      <c r="A70" s="11" t="inlineStr">
        <is>
          <t>Canada Central</t>
        </is>
      </c>
      <c r="B70" s="11" t="inlineStr">
        <is>
          <t>US</t>
        </is>
      </c>
      <c r="C70" s="11" t="inlineStr">
        <is>
          <t>DR</t>
        </is>
      </c>
      <c r="D70" s="11" t="inlineStr">
        <is>
          <t>Standard_E64ads_v5</t>
        </is>
      </c>
      <c r="E70" s="11">
        <f>VLOOKUP(D70,SKU_Family_Map!$A:$B,2,FALSE)</f>
        <v/>
      </c>
      <c r="F70" s="11" t="inlineStr">
        <is>
          <t>crg-dr-cac-reg</t>
        </is>
      </c>
      <c r="G70" s="11" t="n">
        <v>64</v>
      </c>
      <c r="H70" s="29" t="n">
        <v>534</v>
      </c>
      <c r="I70" s="29" t="n">
        <v>64</v>
      </c>
      <c r="J70" s="52">
        <f>H70+I70</f>
        <v/>
      </c>
      <c r="K70" s="52">
        <f>J70-H70</f>
        <v/>
      </c>
      <c r="L70" s="52">
        <f>SUMIFS(Quota_Groups!$G:$G,Quota_Groups!$B:$B,A70,Quota_Groups!$D:$D,E70)</f>
        <v/>
      </c>
      <c r="M70" s="53">
        <f>MIN(K70,L70)</f>
        <v/>
      </c>
      <c r="N70" s="11">
        <f>IF(K70&lt;=L70,"CAPACITY","QUOTA")</f>
        <v/>
      </c>
      <c r="O70" s="11">
        <f>IF(K70&lt;=0,"RESERVATION_DEFICIT",IF(L70&lt;=0,"QUOTA_DEFICIT",IF(M70&lt;I70*0.5,"READY_WITH_RISK","READY")))</f>
        <v/>
      </c>
      <c r="P70" s="39" t="inlineStr">
        <is>
          <t>mock (absent in data); DR 30% bootstrap (ENV-005)</t>
        </is>
      </c>
    </row>
    <row r="71">
      <c r="A71" s="11" t="inlineStr">
        <is>
          <t>Canada Central</t>
        </is>
      </c>
      <c r="B71" s="11" t="inlineStr">
        <is>
          <t>US</t>
        </is>
      </c>
      <c r="C71" s="11" t="inlineStr">
        <is>
          <t>DR</t>
        </is>
      </c>
      <c r="D71" s="11" t="inlineStr">
        <is>
          <t>Standard_E16ads_v5</t>
        </is>
      </c>
      <c r="E71" s="11">
        <f>VLOOKUP(D71,SKU_Family_Map!$A:$B,2,FALSE)</f>
        <v/>
      </c>
      <c r="F71" s="11" t="inlineStr">
        <is>
          <t>crg-dr-cac-reg</t>
        </is>
      </c>
      <c r="G71" s="11" t="n">
        <v>16</v>
      </c>
      <c r="H71" s="29" t="n">
        <v>362</v>
      </c>
      <c r="I71" s="29" t="n">
        <v>43</v>
      </c>
      <c r="J71" s="52">
        <f>H71+I71</f>
        <v/>
      </c>
      <c r="K71" s="52">
        <f>J71-H71</f>
        <v/>
      </c>
      <c r="L71" s="52">
        <f>SUMIFS(Quota_Groups!$G:$G,Quota_Groups!$B:$B,A71,Quota_Groups!$D:$D,E71)</f>
        <v/>
      </c>
      <c r="M71" s="53">
        <f>MIN(K71,L71)</f>
        <v/>
      </c>
      <c r="N71" s="11">
        <f>IF(K71&lt;=L71,"CAPACITY","QUOTA")</f>
        <v/>
      </c>
      <c r="O71" s="11">
        <f>IF(K71&lt;=0,"RESERVATION_DEFICIT",IF(L71&lt;=0,"QUOTA_DEFICIT",IF(M71&lt;I71*0.5,"READY_WITH_RISK","READY")))</f>
        <v/>
      </c>
      <c r="P71" s="39" t="inlineStr">
        <is>
          <t>mock (absent in data); DR 30% bootstrap (ENV-005)</t>
        </is>
      </c>
    </row>
    <row r="72">
      <c r="A72" s="11" t="inlineStr">
        <is>
          <t>Canada Central</t>
        </is>
      </c>
      <c r="B72" s="11" t="inlineStr">
        <is>
          <t>US</t>
        </is>
      </c>
      <c r="C72" s="11" t="inlineStr">
        <is>
          <t>DR</t>
        </is>
      </c>
      <c r="D72" s="11" t="inlineStr">
        <is>
          <t>Standard_E32ads_v6</t>
        </is>
      </c>
      <c r="E72" s="11">
        <f>VLOOKUP(D72,SKU_Family_Map!$A:$B,2,FALSE)</f>
        <v/>
      </c>
      <c r="F72" s="11" t="inlineStr">
        <is>
          <t>crg-dr-cac-reg</t>
        </is>
      </c>
      <c r="G72" s="11" t="n">
        <v>32</v>
      </c>
      <c r="H72" s="29" t="n">
        <v>1178</v>
      </c>
      <c r="I72" s="29" t="n">
        <v>141</v>
      </c>
      <c r="J72" s="52">
        <f>H72+I72</f>
        <v/>
      </c>
      <c r="K72" s="52">
        <f>J72-H72</f>
        <v/>
      </c>
      <c r="L72" s="52">
        <f>SUMIFS(Quota_Groups!$G:$G,Quota_Groups!$B:$B,A72,Quota_Groups!$D:$D,E72)</f>
        <v/>
      </c>
      <c r="M72" s="53">
        <f>MIN(K72,L72)</f>
        <v/>
      </c>
      <c r="N72" s="11">
        <f>IF(K72&lt;=L72,"CAPACITY","QUOTA")</f>
        <v/>
      </c>
      <c r="O72" s="11">
        <f>IF(K72&lt;=0,"RESERVATION_DEFICIT",IF(L72&lt;=0,"QUOTA_DEFICIT",IF(M72&lt;I72*0.5,"READY_WITH_RISK","READY")))</f>
        <v/>
      </c>
      <c r="P72" s="39" t="inlineStr">
        <is>
          <t>mock (absent in data); DR 30% bootstrap (ENV-005)</t>
        </is>
      </c>
    </row>
    <row r="73">
      <c r="A73" s="11" t="inlineStr">
        <is>
          <t>Canada Central</t>
        </is>
      </c>
      <c r="B73" s="11" t="inlineStr">
        <is>
          <t>US</t>
        </is>
      </c>
      <c r="C73" s="11" t="inlineStr">
        <is>
          <t>DR</t>
        </is>
      </c>
      <c r="D73" s="11" t="inlineStr">
        <is>
          <t>Standard_D8ads_v5</t>
        </is>
      </c>
      <c r="E73" s="11">
        <f>VLOOKUP(D73,SKU_Family_Map!$A:$B,2,FALSE)</f>
        <v/>
      </c>
      <c r="F73" s="11" t="inlineStr">
        <is>
          <t>crg-dr-cac-reg</t>
        </is>
      </c>
      <c r="G73" s="11" t="n">
        <v>8</v>
      </c>
      <c r="H73" s="29" t="n">
        <v>567</v>
      </c>
      <c r="I73" s="29" t="n">
        <v>68</v>
      </c>
      <c r="J73" s="52">
        <f>H73+I73</f>
        <v/>
      </c>
      <c r="K73" s="52">
        <f>J73-H73</f>
        <v/>
      </c>
      <c r="L73" s="52">
        <f>SUMIFS(Quota_Groups!$G:$G,Quota_Groups!$B:$B,A73,Quota_Groups!$D:$D,E73)</f>
        <v/>
      </c>
      <c r="M73" s="53">
        <f>MIN(K73,L73)</f>
        <v/>
      </c>
      <c r="N73" s="11">
        <f>IF(K73&lt;=L73,"CAPACITY","QUOTA")</f>
        <v/>
      </c>
      <c r="O73" s="11">
        <f>IF(K73&lt;=0,"RESERVATION_DEFICIT",IF(L73&lt;=0,"QUOTA_DEFICIT",IF(M73&lt;I73*0.5,"READY_WITH_RISK","READY")))</f>
        <v/>
      </c>
      <c r="P73" s="39" t="inlineStr">
        <is>
          <t>mock (absent in data); DR 30% bootstrap (ENV-005)</t>
        </is>
      </c>
    </row>
    <row r="74">
      <c r="A74" s="11" t="inlineStr">
        <is>
          <t>Canada Central</t>
        </is>
      </c>
      <c r="B74" s="11" t="inlineStr">
        <is>
          <t>US</t>
        </is>
      </c>
      <c r="C74" s="11" t="inlineStr">
        <is>
          <t>DR</t>
        </is>
      </c>
      <c r="D74" s="11" t="inlineStr">
        <is>
          <t>Standard_D16ads_v5</t>
        </is>
      </c>
      <c r="E74" s="11">
        <f>VLOOKUP(D74,SKU_Family_Map!$A:$B,2,FALSE)</f>
        <v/>
      </c>
      <c r="F74" s="11" t="inlineStr">
        <is>
          <t>crg-dr-cac-reg</t>
        </is>
      </c>
      <c r="G74" s="11" t="n">
        <v>16</v>
      </c>
      <c r="H74" s="29" t="n">
        <v>343</v>
      </c>
      <c r="I74" s="29" t="n">
        <v>41</v>
      </c>
      <c r="J74" s="52">
        <f>H74+I74</f>
        <v/>
      </c>
      <c r="K74" s="52">
        <f>J74-H74</f>
        <v/>
      </c>
      <c r="L74" s="52">
        <f>SUMIFS(Quota_Groups!$G:$G,Quota_Groups!$B:$B,A74,Quota_Groups!$D:$D,E74)</f>
        <v/>
      </c>
      <c r="M74" s="53">
        <f>MIN(K74,L74)</f>
        <v/>
      </c>
      <c r="N74" s="11">
        <f>IF(K74&lt;=L74,"CAPACITY","QUOTA")</f>
        <v/>
      </c>
      <c r="O74" s="11">
        <f>IF(K74&lt;=0,"RESERVATION_DEFICIT",IF(L74&lt;=0,"QUOTA_DEFICIT",IF(M74&lt;I74*0.5,"READY_WITH_RISK","READY")))</f>
        <v/>
      </c>
      <c r="P74" s="39" t="inlineStr">
        <is>
          <t>mock (absent in data); DR 30% bootstrap (ENV-005)</t>
        </is>
      </c>
    </row>
    <row r="75">
      <c r="A75" s="11" t="inlineStr">
        <is>
          <t>Canada Central</t>
        </is>
      </c>
      <c r="B75" s="11" t="inlineStr">
        <is>
          <t>US</t>
        </is>
      </c>
      <c r="C75" s="11" t="inlineStr">
        <is>
          <t>DR</t>
        </is>
      </c>
      <c r="D75" s="11" t="inlineStr">
        <is>
          <t>Standard_D8as_v5</t>
        </is>
      </c>
      <c r="E75" s="11">
        <f>VLOOKUP(D75,SKU_Family_Map!$A:$B,2,FALSE)</f>
        <v/>
      </c>
      <c r="F75" s="11" t="inlineStr">
        <is>
          <t>crg-dr-cac-reg</t>
        </is>
      </c>
      <c r="G75" s="11" t="n">
        <v>8</v>
      </c>
      <c r="H75" s="29" t="n">
        <v>752</v>
      </c>
      <c r="I75" s="29" t="n">
        <v>90</v>
      </c>
      <c r="J75" s="52">
        <f>H75+I75</f>
        <v/>
      </c>
      <c r="K75" s="52">
        <f>J75-H75</f>
        <v/>
      </c>
      <c r="L75" s="52">
        <f>SUMIFS(Quota_Groups!$G:$G,Quota_Groups!$B:$B,A75,Quota_Groups!$D:$D,E75)</f>
        <v/>
      </c>
      <c r="M75" s="53">
        <f>MIN(K75,L75)</f>
        <v/>
      </c>
      <c r="N75" s="11">
        <f>IF(K75&lt;=L75,"CAPACITY","QUOTA")</f>
        <v/>
      </c>
      <c r="O75" s="11">
        <f>IF(K75&lt;=0,"RESERVATION_DEFICIT",IF(L75&lt;=0,"QUOTA_DEFICIT",IF(M75&lt;I75*0.5,"READY_WITH_RISK","READY")))</f>
        <v/>
      </c>
      <c r="P75" s="39" t="inlineStr">
        <is>
          <t>mock (absent in data); DR 30% bootstrap (ENV-005)</t>
        </is>
      </c>
    </row>
    <row r="76">
      <c r="A76" s="11" t="inlineStr">
        <is>
          <t>Canada Central</t>
        </is>
      </c>
      <c r="B76" s="11" t="inlineStr">
        <is>
          <t>US</t>
        </is>
      </c>
      <c r="C76" s="11" t="inlineStr">
        <is>
          <t>DR</t>
        </is>
      </c>
      <c r="D76" s="11" t="inlineStr">
        <is>
          <t>Standard_D16as_v5</t>
        </is>
      </c>
      <c r="E76" s="11">
        <f>VLOOKUP(D76,SKU_Family_Map!$A:$B,2,FALSE)</f>
        <v/>
      </c>
      <c r="F76" s="11" t="inlineStr">
        <is>
          <t>crg-dr-cac-reg</t>
        </is>
      </c>
      <c r="G76" s="11" t="n">
        <v>16</v>
      </c>
      <c r="H76" s="29" t="n">
        <v>487</v>
      </c>
      <c r="I76" s="29" t="n">
        <v>58</v>
      </c>
      <c r="J76" s="52">
        <f>H76+I76</f>
        <v/>
      </c>
      <c r="K76" s="52">
        <f>J76-H76</f>
        <v/>
      </c>
      <c r="L76" s="52">
        <f>SUMIFS(Quota_Groups!$G:$G,Quota_Groups!$B:$B,A76,Quota_Groups!$D:$D,E76)</f>
        <v/>
      </c>
      <c r="M76" s="53">
        <f>MIN(K76,L76)</f>
        <v/>
      </c>
      <c r="N76" s="11">
        <f>IF(K76&lt;=L76,"CAPACITY","QUOTA")</f>
        <v/>
      </c>
      <c r="O76" s="11">
        <f>IF(K76&lt;=0,"RESERVATION_DEFICIT",IF(L76&lt;=0,"QUOTA_DEFICIT",IF(M76&lt;I76*0.5,"READY_WITH_RISK","READY")))</f>
        <v/>
      </c>
      <c r="P76" s="39" t="inlineStr">
        <is>
          <t>mock (absent in data); DR 30% bootstrap (ENV-005)</t>
        </is>
      </c>
    </row>
    <row r="77">
      <c r="A77" s="11" t="inlineStr">
        <is>
          <t>East US 2</t>
        </is>
      </c>
      <c r="B77" s="11" t="inlineStr">
        <is>
          <t>US</t>
        </is>
      </c>
      <c r="C77" s="11" t="inlineStr">
        <is>
          <t>Prod</t>
        </is>
      </c>
      <c r="D77" s="11" t="inlineStr">
        <is>
          <t>Standard_E32ads_v5</t>
        </is>
      </c>
      <c r="E77" s="11">
        <f>VLOOKUP(D77,SKU_Family_Map!$A:$B,2,FALSE)</f>
        <v/>
      </c>
      <c r="F77" s="11" t="inlineStr">
        <is>
          <t>crg-pr-eus2-reg</t>
        </is>
      </c>
      <c r="G77" s="11" t="n">
        <v>32</v>
      </c>
      <c r="H77" s="29" t="n">
        <v>5696</v>
      </c>
      <c r="I77" s="29" t="n">
        <v>684</v>
      </c>
      <c r="J77" s="52">
        <f>H77+I77</f>
        <v/>
      </c>
      <c r="K77" s="52">
        <f>J77-H77</f>
        <v/>
      </c>
      <c r="L77" s="52">
        <f>SUMIFS(Quota_Groups!$G:$G,Quota_Groups!$B:$B,A77,Quota_Groups!$D:$D,E77)</f>
        <v/>
      </c>
      <c r="M77" s="53">
        <f>MIN(K77,L77)</f>
        <v/>
      </c>
      <c r="N77" s="11">
        <f>IF(K77&lt;=L77,"CAPACITY","QUOTA")</f>
        <v/>
      </c>
      <c r="O77" s="11">
        <f>IF(K77&lt;=0,"RESERVATION_DEFICIT",IF(L77&lt;=0,"QUOTA_DEFICIT",IF(M77&lt;I77*0.5,"READY_WITH_RISK","READY")))</f>
        <v/>
      </c>
      <c r="P77" s="39" t="inlineStr"/>
    </row>
    <row r="78">
      <c r="A78" s="11" t="inlineStr">
        <is>
          <t>East US 2</t>
        </is>
      </c>
      <c r="B78" s="11" t="inlineStr">
        <is>
          <t>US</t>
        </is>
      </c>
      <c r="C78" s="11" t="inlineStr">
        <is>
          <t>Prod</t>
        </is>
      </c>
      <c r="D78" s="11" t="inlineStr">
        <is>
          <t>Standard_E64ads_v5</t>
        </is>
      </c>
      <c r="E78" s="11">
        <f>VLOOKUP(D78,SKU_Family_Map!$A:$B,2,FALSE)</f>
        <v/>
      </c>
      <c r="F78" s="11" t="inlineStr">
        <is>
          <t>crg-pr-eus2-reg</t>
        </is>
      </c>
      <c r="G78" s="11" t="n">
        <v>64</v>
      </c>
      <c r="H78" s="29" t="n">
        <v>10688</v>
      </c>
      <c r="I78" s="29" t="n">
        <v>1283</v>
      </c>
      <c r="J78" s="52">
        <f>H78+I78</f>
        <v/>
      </c>
      <c r="K78" s="52">
        <f>J78-H78</f>
        <v/>
      </c>
      <c r="L78" s="52">
        <f>SUMIFS(Quota_Groups!$G:$G,Quota_Groups!$B:$B,A78,Quota_Groups!$D:$D,E78)</f>
        <v/>
      </c>
      <c r="M78" s="53">
        <f>MIN(K78,L78)</f>
        <v/>
      </c>
      <c r="N78" s="11">
        <f>IF(K78&lt;=L78,"CAPACITY","QUOTA")</f>
        <v/>
      </c>
      <c r="O78" s="11">
        <f>IF(K78&lt;=0,"RESERVATION_DEFICIT",IF(L78&lt;=0,"QUOTA_DEFICIT",IF(M78&lt;I78*0.5,"READY_WITH_RISK","READY")))</f>
        <v/>
      </c>
      <c r="P78" s="39" t="inlineStr"/>
    </row>
    <row r="79">
      <c r="A79" s="11" t="inlineStr">
        <is>
          <t>East US 2</t>
        </is>
      </c>
      <c r="B79" s="11" t="inlineStr">
        <is>
          <t>US</t>
        </is>
      </c>
      <c r="C79" s="11" t="inlineStr">
        <is>
          <t>Prod</t>
        </is>
      </c>
      <c r="D79" s="11" t="inlineStr">
        <is>
          <t>Standard_E16ads_v5</t>
        </is>
      </c>
      <c r="E79" s="11">
        <f>VLOOKUP(D79,SKU_Family_Map!$A:$B,2,FALSE)</f>
        <v/>
      </c>
      <c r="F79" s="11" t="inlineStr">
        <is>
          <t>crg-pr-eus2-reg</t>
        </is>
      </c>
      <c r="G79" s="11" t="n">
        <v>16</v>
      </c>
      <c r="H79" s="29" t="n">
        <v>7152</v>
      </c>
      <c r="I79" s="29" t="n">
        <v>858</v>
      </c>
      <c r="J79" s="52">
        <f>H79+I79</f>
        <v/>
      </c>
      <c r="K79" s="52">
        <f>J79-H79</f>
        <v/>
      </c>
      <c r="L79" s="52">
        <f>SUMIFS(Quota_Groups!$G:$G,Quota_Groups!$B:$B,A79,Quota_Groups!$D:$D,E79)</f>
        <v/>
      </c>
      <c r="M79" s="53">
        <f>MIN(K79,L79)</f>
        <v/>
      </c>
      <c r="N79" s="11">
        <f>IF(K79&lt;=L79,"CAPACITY","QUOTA")</f>
        <v/>
      </c>
      <c r="O79" s="11">
        <f>IF(K79&lt;=0,"RESERVATION_DEFICIT",IF(L79&lt;=0,"QUOTA_DEFICIT",IF(M79&lt;I79*0.5,"READY_WITH_RISK","READY")))</f>
        <v/>
      </c>
      <c r="P79" s="39" t="inlineStr"/>
    </row>
    <row r="80">
      <c r="A80" s="11" t="inlineStr">
        <is>
          <t>East US 2</t>
        </is>
      </c>
      <c r="B80" s="11" t="inlineStr">
        <is>
          <t>US</t>
        </is>
      </c>
      <c r="C80" s="11" t="inlineStr">
        <is>
          <t>Prod</t>
        </is>
      </c>
      <c r="D80" s="11" t="inlineStr">
        <is>
          <t>Standard_E32ads_v6</t>
        </is>
      </c>
      <c r="E80" s="11">
        <f>VLOOKUP(D80,SKU_Family_Map!$A:$B,2,FALSE)</f>
        <v/>
      </c>
      <c r="F80" s="11" t="inlineStr">
        <is>
          <t>crg-pr-eus2-reg</t>
        </is>
      </c>
      <c r="G80" s="11" t="n">
        <v>32</v>
      </c>
      <c r="H80" s="29" t="n">
        <v>23040</v>
      </c>
      <c r="I80" s="29" t="n">
        <v>2765</v>
      </c>
      <c r="J80" s="52">
        <f>H80+I80</f>
        <v/>
      </c>
      <c r="K80" s="52">
        <f>J80-H80</f>
        <v/>
      </c>
      <c r="L80" s="52">
        <f>SUMIFS(Quota_Groups!$G:$G,Quota_Groups!$B:$B,A80,Quota_Groups!$D:$D,E80)</f>
        <v/>
      </c>
      <c r="M80" s="53">
        <f>MIN(K80,L80)</f>
        <v/>
      </c>
      <c r="N80" s="11">
        <f>IF(K80&lt;=L80,"CAPACITY","QUOTA")</f>
        <v/>
      </c>
      <c r="O80" s="11">
        <f>IF(K80&lt;=0,"RESERVATION_DEFICIT",IF(L80&lt;=0,"QUOTA_DEFICIT",IF(M80&lt;I80*0.5,"READY_WITH_RISK","READY")))</f>
        <v/>
      </c>
      <c r="P80" s="39" t="inlineStr"/>
    </row>
    <row r="81">
      <c r="A81" s="11" t="inlineStr">
        <is>
          <t>East US 2</t>
        </is>
      </c>
      <c r="B81" s="11" t="inlineStr">
        <is>
          <t>US</t>
        </is>
      </c>
      <c r="C81" s="11" t="inlineStr">
        <is>
          <t>Prod</t>
        </is>
      </c>
      <c r="D81" s="11" t="inlineStr">
        <is>
          <t>Standard_D8ads_v5</t>
        </is>
      </c>
      <c r="E81" s="11">
        <f>VLOOKUP(D81,SKU_Family_Map!$A:$B,2,FALSE)</f>
        <v/>
      </c>
      <c r="F81" s="11" t="inlineStr">
        <is>
          <t>crg-pr-eus2-reg</t>
        </is>
      </c>
      <c r="G81" s="11" t="n">
        <v>8</v>
      </c>
      <c r="H81" s="29" t="n">
        <v>10928</v>
      </c>
      <c r="I81" s="29" t="n">
        <v>1311</v>
      </c>
      <c r="J81" s="52">
        <f>H81+I81</f>
        <v/>
      </c>
      <c r="K81" s="52">
        <f>J81-H81</f>
        <v/>
      </c>
      <c r="L81" s="52">
        <f>SUMIFS(Quota_Groups!$G:$G,Quota_Groups!$B:$B,A81,Quota_Groups!$D:$D,E81)</f>
        <v/>
      </c>
      <c r="M81" s="53">
        <f>MIN(K81,L81)</f>
        <v/>
      </c>
      <c r="N81" s="11">
        <f>IF(K81&lt;=L81,"CAPACITY","QUOTA")</f>
        <v/>
      </c>
      <c r="O81" s="11">
        <f>IF(K81&lt;=0,"RESERVATION_DEFICIT",IF(L81&lt;=0,"QUOTA_DEFICIT",IF(M81&lt;I81*0.5,"READY_WITH_RISK","READY")))</f>
        <v/>
      </c>
      <c r="P81" s="39" t="inlineStr"/>
    </row>
    <row r="82">
      <c r="A82" s="11" t="inlineStr">
        <is>
          <t>East US 2</t>
        </is>
      </c>
      <c r="B82" s="11" t="inlineStr">
        <is>
          <t>US</t>
        </is>
      </c>
      <c r="C82" s="11" t="inlineStr">
        <is>
          <t>Prod</t>
        </is>
      </c>
      <c r="D82" s="11" t="inlineStr">
        <is>
          <t>Standard_D16ads_v5</t>
        </is>
      </c>
      <c r="E82" s="11">
        <f>VLOOKUP(D82,SKU_Family_Map!$A:$B,2,FALSE)</f>
        <v/>
      </c>
      <c r="F82" s="11" t="inlineStr">
        <is>
          <t>crg-pr-eus2-reg</t>
        </is>
      </c>
      <c r="G82" s="11" t="n">
        <v>16</v>
      </c>
      <c r="H82" s="29" t="n">
        <v>6752</v>
      </c>
      <c r="I82" s="29" t="n">
        <v>810</v>
      </c>
      <c r="J82" s="52">
        <f>H82+I82</f>
        <v/>
      </c>
      <c r="K82" s="52">
        <f>J82-H82</f>
        <v/>
      </c>
      <c r="L82" s="52">
        <f>SUMIFS(Quota_Groups!$G:$G,Quota_Groups!$B:$B,A82,Quota_Groups!$D:$D,E82)</f>
        <v/>
      </c>
      <c r="M82" s="53">
        <f>MIN(K82,L82)</f>
        <v/>
      </c>
      <c r="N82" s="11">
        <f>IF(K82&lt;=L82,"CAPACITY","QUOTA")</f>
        <v/>
      </c>
      <c r="O82" s="11">
        <f>IF(K82&lt;=0,"RESERVATION_DEFICIT",IF(L82&lt;=0,"QUOTA_DEFICIT",IF(M82&lt;I82*0.5,"READY_WITH_RISK","READY")))</f>
        <v/>
      </c>
      <c r="P82" s="39" t="inlineStr"/>
    </row>
    <row r="83">
      <c r="A83" s="11" t="inlineStr">
        <is>
          <t>East US 2</t>
        </is>
      </c>
      <c r="B83" s="11" t="inlineStr">
        <is>
          <t>US</t>
        </is>
      </c>
      <c r="C83" s="11" t="inlineStr">
        <is>
          <t>Prod</t>
        </is>
      </c>
      <c r="D83" s="11" t="inlineStr">
        <is>
          <t>Standard_D8as_v5</t>
        </is>
      </c>
      <c r="E83" s="11">
        <f>VLOOKUP(D83,SKU_Family_Map!$A:$B,2,FALSE)</f>
        <v/>
      </c>
      <c r="F83" s="11" t="inlineStr">
        <is>
          <t>crg-pr-eus2-reg</t>
        </is>
      </c>
      <c r="G83" s="11" t="n">
        <v>8</v>
      </c>
      <c r="H83" s="29" t="n">
        <v>9928</v>
      </c>
      <c r="I83" s="29" t="n">
        <v>1191</v>
      </c>
      <c r="J83" s="52">
        <f>H83+I83</f>
        <v/>
      </c>
      <c r="K83" s="52">
        <f>J83-H83</f>
        <v/>
      </c>
      <c r="L83" s="52">
        <f>SUMIFS(Quota_Groups!$G:$G,Quota_Groups!$B:$B,A83,Quota_Groups!$D:$D,E83)</f>
        <v/>
      </c>
      <c r="M83" s="53">
        <f>MIN(K83,L83)</f>
        <v/>
      </c>
      <c r="N83" s="11">
        <f>IF(K83&lt;=L83,"CAPACITY","QUOTA")</f>
        <v/>
      </c>
      <c r="O83" s="11">
        <f>IF(K83&lt;=0,"RESERVATION_DEFICIT",IF(L83&lt;=0,"QUOTA_DEFICIT",IF(M83&lt;I83*0.5,"READY_WITH_RISK","READY")))</f>
        <v/>
      </c>
      <c r="P83" s="39" t="inlineStr"/>
    </row>
    <row r="84">
      <c r="A84" s="11" t="inlineStr">
        <is>
          <t>East US 2</t>
        </is>
      </c>
      <c r="B84" s="11" t="inlineStr">
        <is>
          <t>US</t>
        </is>
      </c>
      <c r="C84" s="11" t="inlineStr">
        <is>
          <t>Prod</t>
        </is>
      </c>
      <c r="D84" s="11" t="inlineStr">
        <is>
          <t>Standard_D16as_v5</t>
        </is>
      </c>
      <c r="E84" s="11">
        <f>VLOOKUP(D84,SKU_Family_Map!$A:$B,2,FALSE)</f>
        <v/>
      </c>
      <c r="F84" s="11" t="inlineStr">
        <is>
          <t>crg-pr-eus2-reg</t>
        </is>
      </c>
      <c r="G84" s="11" t="n">
        <v>16</v>
      </c>
      <c r="H84" s="29" t="n">
        <v>5392</v>
      </c>
      <c r="I84" s="29" t="n">
        <v>647</v>
      </c>
      <c r="J84" s="52">
        <f>H84+I84</f>
        <v/>
      </c>
      <c r="K84" s="52">
        <f>J84-H84</f>
        <v/>
      </c>
      <c r="L84" s="52">
        <f>SUMIFS(Quota_Groups!$G:$G,Quota_Groups!$B:$B,A84,Quota_Groups!$D:$D,E84)</f>
        <v/>
      </c>
      <c r="M84" s="53">
        <f>MIN(K84,L84)</f>
        <v/>
      </c>
      <c r="N84" s="11">
        <f>IF(K84&lt;=L84,"CAPACITY","QUOTA")</f>
        <v/>
      </c>
      <c r="O84" s="11">
        <f>IF(K84&lt;=0,"RESERVATION_DEFICIT",IF(L84&lt;=0,"QUOTA_DEFICIT",IF(M84&lt;I84*0.5,"READY_WITH_RISK","READY")))</f>
        <v/>
      </c>
      <c r="P84" s="39" t="inlineStr"/>
    </row>
    <row r="85">
      <c r="A85" s="11" t="inlineStr">
        <is>
          <t>East US 2</t>
        </is>
      </c>
      <c r="B85" s="11" t="inlineStr">
        <is>
          <t>US</t>
        </is>
      </c>
      <c r="C85" s="11" t="inlineStr">
        <is>
          <t>NonProd</t>
        </is>
      </c>
      <c r="D85" s="11" t="inlineStr">
        <is>
          <t>Standard_E32ads_v5</t>
        </is>
      </c>
      <c r="E85" s="11">
        <f>VLOOKUP(D85,SKU_Family_Map!$A:$B,2,FALSE)</f>
        <v/>
      </c>
      <c r="F85" s="11" t="inlineStr">
        <is>
          <t>crg-np-eus2-reg</t>
        </is>
      </c>
      <c r="G85" s="11" t="n">
        <v>32</v>
      </c>
      <c r="H85" s="29" t="n">
        <v>80224</v>
      </c>
      <c r="I85" s="29" t="n">
        <v>9627</v>
      </c>
      <c r="J85" s="52">
        <f>H85+I85</f>
        <v/>
      </c>
      <c r="K85" s="52">
        <f>J85-H85</f>
        <v/>
      </c>
      <c r="L85" s="52">
        <f>SUMIFS(Quota_Groups!$G:$G,Quota_Groups!$B:$B,A85,Quota_Groups!$D:$D,E85)</f>
        <v/>
      </c>
      <c r="M85" s="53">
        <f>MIN(K85,L85)</f>
        <v/>
      </c>
      <c r="N85" s="11">
        <f>IF(K85&lt;=L85,"CAPACITY","QUOTA")</f>
        <v/>
      </c>
      <c r="O85" s="11">
        <f>IF(K85&lt;=0,"RESERVATION_DEFICIT",IF(L85&lt;=0,"QUOTA_DEFICIT",IF(M85&lt;I85*0.5,"READY_WITH_RISK","READY")))</f>
        <v/>
      </c>
      <c r="P85" s="39" t="inlineStr"/>
    </row>
    <row r="86">
      <c r="A86" s="11" t="inlineStr">
        <is>
          <t>East US 2</t>
        </is>
      </c>
      <c r="B86" s="11" t="inlineStr">
        <is>
          <t>US</t>
        </is>
      </c>
      <c r="C86" s="11" t="inlineStr">
        <is>
          <t>NonProd</t>
        </is>
      </c>
      <c r="D86" s="11" t="inlineStr">
        <is>
          <t>Standard_E64ads_v5</t>
        </is>
      </c>
      <c r="E86" s="11">
        <f>VLOOKUP(D86,SKU_Family_Map!$A:$B,2,FALSE)</f>
        <v/>
      </c>
      <c r="F86" s="11" t="inlineStr">
        <is>
          <t>crg-np-eus2-reg</t>
        </is>
      </c>
      <c r="G86" s="11" t="n">
        <v>64</v>
      </c>
      <c r="H86" s="29" t="n">
        <v>52608</v>
      </c>
      <c r="I86" s="29" t="n">
        <v>6313</v>
      </c>
      <c r="J86" s="52">
        <f>H86+I86</f>
        <v/>
      </c>
      <c r="K86" s="52">
        <f>J86-H86</f>
        <v/>
      </c>
      <c r="L86" s="52">
        <f>SUMIFS(Quota_Groups!$G:$G,Quota_Groups!$B:$B,A86,Quota_Groups!$D:$D,E86)</f>
        <v/>
      </c>
      <c r="M86" s="53">
        <f>MIN(K86,L86)</f>
        <v/>
      </c>
      <c r="N86" s="11">
        <f>IF(K86&lt;=L86,"CAPACITY","QUOTA")</f>
        <v/>
      </c>
      <c r="O86" s="11">
        <f>IF(K86&lt;=0,"RESERVATION_DEFICIT",IF(L86&lt;=0,"QUOTA_DEFICIT",IF(M86&lt;I86*0.5,"READY_WITH_RISK","READY")))</f>
        <v/>
      </c>
      <c r="P86" s="39" t="inlineStr"/>
    </row>
    <row r="87">
      <c r="A87" s="11" t="inlineStr">
        <is>
          <t>East US 2</t>
        </is>
      </c>
      <c r="B87" s="11" t="inlineStr">
        <is>
          <t>US</t>
        </is>
      </c>
      <c r="C87" s="11" t="inlineStr">
        <is>
          <t>NonProd</t>
        </is>
      </c>
      <c r="D87" s="11" t="inlineStr">
        <is>
          <t>Standard_E16ads_v5</t>
        </is>
      </c>
      <c r="E87" s="11">
        <f>VLOOKUP(D87,SKU_Family_Map!$A:$B,2,FALSE)</f>
        <v/>
      </c>
      <c r="F87" s="11" t="inlineStr">
        <is>
          <t>crg-np-eus2-reg</t>
        </is>
      </c>
      <c r="G87" s="11" t="n">
        <v>16</v>
      </c>
      <c r="H87" s="29" t="n">
        <v>13152</v>
      </c>
      <c r="I87" s="29" t="n">
        <v>1578</v>
      </c>
      <c r="J87" s="52">
        <f>H87+I87</f>
        <v/>
      </c>
      <c r="K87" s="52">
        <f>J87-H87</f>
        <v/>
      </c>
      <c r="L87" s="52">
        <f>SUMIFS(Quota_Groups!$G:$G,Quota_Groups!$B:$B,A87,Quota_Groups!$D:$D,E87)</f>
        <v/>
      </c>
      <c r="M87" s="53">
        <f>MIN(K87,L87)</f>
        <v/>
      </c>
      <c r="N87" s="11">
        <f>IF(K87&lt;=L87,"CAPACITY","QUOTA")</f>
        <v/>
      </c>
      <c r="O87" s="11">
        <f>IF(K87&lt;=0,"RESERVATION_DEFICIT",IF(L87&lt;=0,"QUOTA_DEFICIT",IF(M87&lt;I87*0.5,"READY_WITH_RISK","READY")))</f>
        <v/>
      </c>
      <c r="P87" s="39" t="inlineStr"/>
    </row>
    <row r="88">
      <c r="A88" s="11" t="inlineStr">
        <is>
          <t>East US 2</t>
        </is>
      </c>
      <c r="B88" s="11" t="inlineStr">
        <is>
          <t>US</t>
        </is>
      </c>
      <c r="C88" s="11" t="inlineStr">
        <is>
          <t>NonProd</t>
        </is>
      </c>
      <c r="D88" s="11" t="inlineStr">
        <is>
          <t>Standard_E32ads_v6</t>
        </is>
      </c>
      <c r="E88" s="11">
        <f>VLOOKUP(D88,SKU_Family_Map!$A:$B,2,FALSE)</f>
        <v/>
      </c>
      <c r="F88" s="11" t="inlineStr">
        <is>
          <t>crg-np-eus2-reg</t>
        </is>
      </c>
      <c r="G88" s="11" t="n">
        <v>32</v>
      </c>
      <c r="H88" s="29" t="n">
        <v>17536</v>
      </c>
      <c r="I88" s="29" t="n">
        <v>2104</v>
      </c>
      <c r="J88" s="52">
        <f>H88+I88</f>
        <v/>
      </c>
      <c r="K88" s="52">
        <f>J88-H88</f>
        <v/>
      </c>
      <c r="L88" s="52">
        <f>SUMIFS(Quota_Groups!$G:$G,Quota_Groups!$B:$B,A88,Quota_Groups!$D:$D,E88)</f>
        <v/>
      </c>
      <c r="M88" s="53">
        <f>MIN(K88,L88)</f>
        <v/>
      </c>
      <c r="N88" s="11">
        <f>IF(K88&lt;=L88,"CAPACITY","QUOTA")</f>
        <v/>
      </c>
      <c r="O88" s="11">
        <f>IF(K88&lt;=0,"RESERVATION_DEFICIT",IF(L88&lt;=0,"QUOTA_DEFICIT",IF(M88&lt;I88*0.5,"READY_WITH_RISK","READY")))</f>
        <v/>
      </c>
      <c r="P88" s="39" t="inlineStr"/>
    </row>
    <row r="89">
      <c r="A89" s="11" t="inlineStr">
        <is>
          <t>East US 2</t>
        </is>
      </c>
      <c r="B89" s="11" t="inlineStr">
        <is>
          <t>US</t>
        </is>
      </c>
      <c r="C89" s="11" t="inlineStr">
        <is>
          <t>NonProd</t>
        </is>
      </c>
      <c r="D89" s="11" t="inlineStr">
        <is>
          <t>Standard_D8ads_v5</t>
        </is>
      </c>
      <c r="E89" s="11">
        <f>VLOOKUP(D89,SKU_Family_Map!$A:$B,2,FALSE)</f>
        <v/>
      </c>
      <c r="F89" s="11" t="inlineStr">
        <is>
          <t>crg-np-eus2-reg</t>
        </is>
      </c>
      <c r="G89" s="11" t="n">
        <v>8</v>
      </c>
      <c r="H89" s="29" t="n">
        <v>16104</v>
      </c>
      <c r="I89" s="29" t="n">
        <v>1932</v>
      </c>
      <c r="J89" s="52">
        <f>H89+I89</f>
        <v/>
      </c>
      <c r="K89" s="52">
        <f>J89-H89</f>
        <v/>
      </c>
      <c r="L89" s="52">
        <f>SUMIFS(Quota_Groups!$G:$G,Quota_Groups!$B:$B,A89,Quota_Groups!$D:$D,E89)</f>
        <v/>
      </c>
      <c r="M89" s="53">
        <f>MIN(K89,L89)</f>
        <v/>
      </c>
      <c r="N89" s="11">
        <f>IF(K89&lt;=L89,"CAPACITY","QUOTA")</f>
        <v/>
      </c>
      <c r="O89" s="11">
        <f>IF(K89&lt;=0,"RESERVATION_DEFICIT",IF(L89&lt;=0,"QUOTA_DEFICIT",IF(M89&lt;I89*0.5,"READY_WITH_RISK","READY")))</f>
        <v/>
      </c>
      <c r="P89" s="39" t="inlineStr"/>
    </row>
    <row r="90">
      <c r="A90" s="11" t="inlineStr">
        <is>
          <t>East US 2</t>
        </is>
      </c>
      <c r="B90" s="11" t="inlineStr">
        <is>
          <t>US</t>
        </is>
      </c>
      <c r="C90" s="11" t="inlineStr">
        <is>
          <t>NonProd</t>
        </is>
      </c>
      <c r="D90" s="11" t="inlineStr">
        <is>
          <t>Standard_D16ads_v5</t>
        </is>
      </c>
      <c r="E90" s="11">
        <f>VLOOKUP(D90,SKU_Family_Map!$A:$B,2,FALSE)</f>
        <v/>
      </c>
      <c r="F90" s="11" t="inlineStr">
        <is>
          <t>crg-np-eus2-reg</t>
        </is>
      </c>
      <c r="G90" s="11" t="n">
        <v>16</v>
      </c>
      <c r="H90" s="29" t="n">
        <v>6704</v>
      </c>
      <c r="I90" s="29" t="n">
        <v>804</v>
      </c>
      <c r="J90" s="52">
        <f>H90+I90</f>
        <v/>
      </c>
      <c r="K90" s="52">
        <f>J90-H90</f>
        <v/>
      </c>
      <c r="L90" s="52">
        <f>SUMIFS(Quota_Groups!$G:$G,Quota_Groups!$B:$B,A90,Quota_Groups!$D:$D,E90)</f>
        <v/>
      </c>
      <c r="M90" s="53">
        <f>MIN(K90,L90)</f>
        <v/>
      </c>
      <c r="N90" s="11">
        <f>IF(K90&lt;=L90,"CAPACITY","QUOTA")</f>
        <v/>
      </c>
      <c r="O90" s="11">
        <f>IF(K90&lt;=0,"RESERVATION_DEFICIT",IF(L90&lt;=0,"QUOTA_DEFICIT",IF(M90&lt;I90*0.5,"READY_WITH_RISK","READY")))</f>
        <v/>
      </c>
      <c r="P90" s="39" t="inlineStr"/>
    </row>
    <row r="91">
      <c r="A91" s="11" t="inlineStr">
        <is>
          <t>East US 2</t>
        </is>
      </c>
      <c r="B91" s="11" t="inlineStr">
        <is>
          <t>US</t>
        </is>
      </c>
      <c r="C91" s="11" t="inlineStr">
        <is>
          <t>NonProd</t>
        </is>
      </c>
      <c r="D91" s="11" t="inlineStr">
        <is>
          <t>Standard_D8as_v5</t>
        </is>
      </c>
      <c r="E91" s="11">
        <f>VLOOKUP(D91,SKU_Family_Map!$A:$B,2,FALSE)</f>
        <v/>
      </c>
      <c r="F91" s="11" t="inlineStr">
        <is>
          <t>crg-np-eus2-reg</t>
        </is>
      </c>
      <c r="G91" s="11" t="n">
        <v>8</v>
      </c>
      <c r="H91" s="29" t="n">
        <v>12176</v>
      </c>
      <c r="I91" s="29" t="n">
        <v>1461</v>
      </c>
      <c r="J91" s="52">
        <f>H91+I91</f>
        <v/>
      </c>
      <c r="K91" s="52">
        <f>J91-H91</f>
        <v/>
      </c>
      <c r="L91" s="52">
        <f>SUMIFS(Quota_Groups!$G:$G,Quota_Groups!$B:$B,A91,Quota_Groups!$D:$D,E91)</f>
        <v/>
      </c>
      <c r="M91" s="53">
        <f>MIN(K91,L91)</f>
        <v/>
      </c>
      <c r="N91" s="11">
        <f>IF(K91&lt;=L91,"CAPACITY","QUOTA")</f>
        <v/>
      </c>
      <c r="O91" s="11">
        <f>IF(K91&lt;=0,"RESERVATION_DEFICIT",IF(L91&lt;=0,"QUOTA_DEFICIT",IF(M91&lt;I91*0.5,"READY_WITH_RISK","READY")))</f>
        <v/>
      </c>
      <c r="P91" s="39" t="inlineStr"/>
    </row>
    <row r="92">
      <c r="A92" s="11" t="inlineStr">
        <is>
          <t>East US 2</t>
        </is>
      </c>
      <c r="B92" s="11" t="inlineStr">
        <is>
          <t>US</t>
        </is>
      </c>
      <c r="C92" s="11" t="inlineStr">
        <is>
          <t>NonProd</t>
        </is>
      </c>
      <c r="D92" s="11" t="inlineStr">
        <is>
          <t>Standard_D16as_v5</t>
        </is>
      </c>
      <c r="E92" s="11">
        <f>VLOOKUP(D92,SKU_Family_Map!$A:$B,2,FALSE)</f>
        <v/>
      </c>
      <c r="F92" s="11" t="inlineStr">
        <is>
          <t>crg-np-eus2-reg</t>
        </is>
      </c>
      <c r="G92" s="11" t="n">
        <v>16</v>
      </c>
      <c r="H92" s="29" t="n">
        <v>2656</v>
      </c>
      <c r="I92" s="29" t="n">
        <v>319</v>
      </c>
      <c r="J92" s="52">
        <f>H92+I92</f>
        <v/>
      </c>
      <c r="K92" s="52">
        <f>J92-H92</f>
        <v/>
      </c>
      <c r="L92" s="52">
        <f>SUMIFS(Quota_Groups!$G:$G,Quota_Groups!$B:$B,A92,Quota_Groups!$D:$D,E92)</f>
        <v/>
      </c>
      <c r="M92" s="53">
        <f>MIN(K92,L92)</f>
        <v/>
      </c>
      <c r="N92" s="11">
        <f>IF(K92&lt;=L92,"CAPACITY","QUOTA")</f>
        <v/>
      </c>
      <c r="O92" s="11">
        <f>IF(K92&lt;=0,"RESERVATION_DEFICIT",IF(L92&lt;=0,"QUOTA_DEFICIT",IF(M92&lt;I92*0.5,"READY_WITH_RISK","READY")))</f>
        <v/>
      </c>
      <c r="P92" s="39" t="inlineStr"/>
    </row>
    <row r="93">
      <c r="A93" s="11" t="inlineStr">
        <is>
          <t>East US 2</t>
        </is>
      </c>
      <c r="B93" s="11" t="inlineStr">
        <is>
          <t>US</t>
        </is>
      </c>
      <c r="C93" s="11" t="inlineStr">
        <is>
          <t>DR</t>
        </is>
      </c>
      <c r="D93" s="11" t="inlineStr">
        <is>
          <t>Standard_E32ads_v5</t>
        </is>
      </c>
      <c r="E93" s="11">
        <f>VLOOKUP(D93,SKU_Family_Map!$A:$B,2,FALSE)</f>
        <v/>
      </c>
      <c r="F93" s="11" t="inlineStr">
        <is>
          <t>crg-dr-eus2-reg</t>
        </is>
      </c>
      <c r="G93" s="11" t="n">
        <v>32</v>
      </c>
      <c r="H93" s="29" t="n">
        <v>1709</v>
      </c>
      <c r="I93" s="29" t="n">
        <v>205</v>
      </c>
      <c r="J93" s="52">
        <f>H93+I93</f>
        <v/>
      </c>
      <c r="K93" s="52">
        <f>J93-H93</f>
        <v/>
      </c>
      <c r="L93" s="52">
        <f>SUMIFS(Quota_Groups!$G:$G,Quota_Groups!$B:$B,A93,Quota_Groups!$D:$D,E93)</f>
        <v/>
      </c>
      <c r="M93" s="53">
        <f>MIN(K93,L93)</f>
        <v/>
      </c>
      <c r="N93" s="11">
        <f>IF(K93&lt;=L93,"CAPACITY","QUOTA")</f>
        <v/>
      </c>
      <c r="O93" s="11">
        <f>IF(K93&lt;=0,"RESERVATION_DEFICIT",IF(L93&lt;=0,"QUOTA_DEFICIT",IF(M93&lt;I93*0.5,"READY_WITH_RISK","READY")))</f>
        <v/>
      </c>
      <c r="P93" s="39" t="inlineStr">
        <is>
          <t>DR 30% bootstrap (ENV-005)</t>
        </is>
      </c>
    </row>
    <row r="94">
      <c r="A94" s="11" t="inlineStr">
        <is>
          <t>East US 2</t>
        </is>
      </c>
      <c r="B94" s="11" t="inlineStr">
        <is>
          <t>US</t>
        </is>
      </c>
      <c r="C94" s="11" t="inlineStr">
        <is>
          <t>DR</t>
        </is>
      </c>
      <c r="D94" s="11" t="inlineStr">
        <is>
          <t>Standard_E64ads_v5</t>
        </is>
      </c>
      <c r="E94" s="11">
        <f>VLOOKUP(D94,SKU_Family_Map!$A:$B,2,FALSE)</f>
        <v/>
      </c>
      <c r="F94" s="11" t="inlineStr">
        <is>
          <t>crg-dr-eus2-reg</t>
        </is>
      </c>
      <c r="G94" s="11" t="n">
        <v>64</v>
      </c>
      <c r="H94" s="29" t="n">
        <v>3206</v>
      </c>
      <c r="I94" s="29" t="n">
        <v>385</v>
      </c>
      <c r="J94" s="52">
        <f>H94+I94</f>
        <v/>
      </c>
      <c r="K94" s="52">
        <f>J94-H94</f>
        <v/>
      </c>
      <c r="L94" s="52">
        <f>SUMIFS(Quota_Groups!$G:$G,Quota_Groups!$B:$B,A94,Quota_Groups!$D:$D,E94)</f>
        <v/>
      </c>
      <c r="M94" s="53">
        <f>MIN(K94,L94)</f>
        <v/>
      </c>
      <c r="N94" s="11">
        <f>IF(K94&lt;=L94,"CAPACITY","QUOTA")</f>
        <v/>
      </c>
      <c r="O94" s="11">
        <f>IF(K94&lt;=0,"RESERVATION_DEFICIT",IF(L94&lt;=0,"QUOTA_DEFICIT",IF(M94&lt;I94*0.5,"READY_WITH_RISK","READY")))</f>
        <v/>
      </c>
      <c r="P94" s="39" t="inlineStr">
        <is>
          <t>DR 30% bootstrap (ENV-005)</t>
        </is>
      </c>
    </row>
    <row r="95">
      <c r="A95" s="11" t="inlineStr">
        <is>
          <t>East US 2</t>
        </is>
      </c>
      <c r="B95" s="11" t="inlineStr">
        <is>
          <t>US</t>
        </is>
      </c>
      <c r="C95" s="11" t="inlineStr">
        <is>
          <t>DR</t>
        </is>
      </c>
      <c r="D95" s="11" t="inlineStr">
        <is>
          <t>Standard_E16ads_v5</t>
        </is>
      </c>
      <c r="E95" s="11">
        <f>VLOOKUP(D95,SKU_Family_Map!$A:$B,2,FALSE)</f>
        <v/>
      </c>
      <c r="F95" s="11" t="inlineStr">
        <is>
          <t>crg-dr-eus2-reg</t>
        </is>
      </c>
      <c r="G95" s="11" t="n">
        <v>16</v>
      </c>
      <c r="H95" s="29" t="n">
        <v>2146</v>
      </c>
      <c r="I95" s="29" t="n">
        <v>258</v>
      </c>
      <c r="J95" s="52">
        <f>H95+I95</f>
        <v/>
      </c>
      <c r="K95" s="52">
        <f>J95-H95</f>
        <v/>
      </c>
      <c r="L95" s="52">
        <f>SUMIFS(Quota_Groups!$G:$G,Quota_Groups!$B:$B,A95,Quota_Groups!$D:$D,E95)</f>
        <v/>
      </c>
      <c r="M95" s="53">
        <f>MIN(K95,L95)</f>
        <v/>
      </c>
      <c r="N95" s="11">
        <f>IF(K95&lt;=L95,"CAPACITY","QUOTA")</f>
        <v/>
      </c>
      <c r="O95" s="11">
        <f>IF(K95&lt;=0,"RESERVATION_DEFICIT",IF(L95&lt;=0,"QUOTA_DEFICIT",IF(M95&lt;I95*0.5,"READY_WITH_RISK","READY")))</f>
        <v/>
      </c>
      <c r="P95" s="39" t="inlineStr">
        <is>
          <t>DR 30% bootstrap (ENV-005)</t>
        </is>
      </c>
    </row>
    <row r="96">
      <c r="A96" s="11" t="inlineStr">
        <is>
          <t>East US 2</t>
        </is>
      </c>
      <c r="B96" s="11" t="inlineStr">
        <is>
          <t>US</t>
        </is>
      </c>
      <c r="C96" s="11" t="inlineStr">
        <is>
          <t>DR</t>
        </is>
      </c>
      <c r="D96" s="11" t="inlineStr">
        <is>
          <t>Standard_E32ads_v6</t>
        </is>
      </c>
      <c r="E96" s="11">
        <f>VLOOKUP(D96,SKU_Family_Map!$A:$B,2,FALSE)</f>
        <v/>
      </c>
      <c r="F96" s="11" t="inlineStr">
        <is>
          <t>crg-dr-eus2-reg</t>
        </is>
      </c>
      <c r="G96" s="11" t="n">
        <v>32</v>
      </c>
      <c r="H96" s="29" t="n">
        <v>6912</v>
      </c>
      <c r="I96" s="29" t="n">
        <v>829</v>
      </c>
      <c r="J96" s="52">
        <f>H96+I96</f>
        <v/>
      </c>
      <c r="K96" s="52">
        <f>J96-H96</f>
        <v/>
      </c>
      <c r="L96" s="52">
        <f>SUMIFS(Quota_Groups!$G:$G,Quota_Groups!$B:$B,A96,Quota_Groups!$D:$D,E96)</f>
        <v/>
      </c>
      <c r="M96" s="53">
        <f>MIN(K96,L96)</f>
        <v/>
      </c>
      <c r="N96" s="11">
        <f>IF(K96&lt;=L96,"CAPACITY","QUOTA")</f>
        <v/>
      </c>
      <c r="O96" s="11">
        <f>IF(K96&lt;=0,"RESERVATION_DEFICIT",IF(L96&lt;=0,"QUOTA_DEFICIT",IF(M96&lt;I96*0.5,"READY_WITH_RISK","READY")))</f>
        <v/>
      </c>
      <c r="P96" s="39" t="inlineStr">
        <is>
          <t>DR 30% bootstrap (ENV-005)</t>
        </is>
      </c>
    </row>
    <row r="97">
      <c r="A97" s="11" t="inlineStr">
        <is>
          <t>East US 2</t>
        </is>
      </c>
      <c r="B97" s="11" t="inlineStr">
        <is>
          <t>US</t>
        </is>
      </c>
      <c r="C97" s="11" t="inlineStr">
        <is>
          <t>DR</t>
        </is>
      </c>
      <c r="D97" s="11" t="inlineStr">
        <is>
          <t>Standard_D8ads_v5</t>
        </is>
      </c>
      <c r="E97" s="11">
        <f>VLOOKUP(D97,SKU_Family_Map!$A:$B,2,FALSE)</f>
        <v/>
      </c>
      <c r="F97" s="11" t="inlineStr">
        <is>
          <t>crg-dr-eus2-reg</t>
        </is>
      </c>
      <c r="G97" s="11" t="n">
        <v>8</v>
      </c>
      <c r="H97" s="29" t="n">
        <v>3278</v>
      </c>
      <c r="I97" s="29" t="n">
        <v>393</v>
      </c>
      <c r="J97" s="52">
        <f>H97+I97</f>
        <v/>
      </c>
      <c r="K97" s="52">
        <f>J97-H97</f>
        <v/>
      </c>
      <c r="L97" s="52">
        <f>SUMIFS(Quota_Groups!$G:$G,Quota_Groups!$B:$B,A97,Quota_Groups!$D:$D,E97)</f>
        <v/>
      </c>
      <c r="M97" s="53">
        <f>MIN(K97,L97)</f>
        <v/>
      </c>
      <c r="N97" s="11">
        <f>IF(K97&lt;=L97,"CAPACITY","QUOTA")</f>
        <v/>
      </c>
      <c r="O97" s="11">
        <f>IF(K97&lt;=0,"RESERVATION_DEFICIT",IF(L97&lt;=0,"QUOTA_DEFICIT",IF(M97&lt;I97*0.5,"READY_WITH_RISK","READY")))</f>
        <v/>
      </c>
      <c r="P97" s="39" t="inlineStr">
        <is>
          <t>DR 30% bootstrap (ENV-005)</t>
        </is>
      </c>
    </row>
    <row r="98">
      <c r="A98" s="11" t="inlineStr">
        <is>
          <t>East US 2</t>
        </is>
      </c>
      <c r="B98" s="11" t="inlineStr">
        <is>
          <t>US</t>
        </is>
      </c>
      <c r="C98" s="11" t="inlineStr">
        <is>
          <t>DR</t>
        </is>
      </c>
      <c r="D98" s="11" t="inlineStr">
        <is>
          <t>Standard_D16ads_v5</t>
        </is>
      </c>
      <c r="E98" s="11">
        <f>VLOOKUP(D98,SKU_Family_Map!$A:$B,2,FALSE)</f>
        <v/>
      </c>
      <c r="F98" s="11" t="inlineStr">
        <is>
          <t>crg-dr-eus2-reg</t>
        </is>
      </c>
      <c r="G98" s="11" t="n">
        <v>16</v>
      </c>
      <c r="H98" s="29" t="n">
        <v>2026</v>
      </c>
      <c r="I98" s="29" t="n">
        <v>243</v>
      </c>
      <c r="J98" s="52">
        <f>H98+I98</f>
        <v/>
      </c>
      <c r="K98" s="52">
        <f>J98-H98</f>
        <v/>
      </c>
      <c r="L98" s="52">
        <f>SUMIFS(Quota_Groups!$G:$G,Quota_Groups!$B:$B,A98,Quota_Groups!$D:$D,E98)</f>
        <v/>
      </c>
      <c r="M98" s="53">
        <f>MIN(K98,L98)</f>
        <v/>
      </c>
      <c r="N98" s="11">
        <f>IF(K98&lt;=L98,"CAPACITY","QUOTA")</f>
        <v/>
      </c>
      <c r="O98" s="11">
        <f>IF(K98&lt;=0,"RESERVATION_DEFICIT",IF(L98&lt;=0,"QUOTA_DEFICIT",IF(M98&lt;I98*0.5,"READY_WITH_RISK","READY")))</f>
        <v/>
      </c>
      <c r="P98" s="39" t="inlineStr">
        <is>
          <t>DR 30% bootstrap (ENV-005)</t>
        </is>
      </c>
    </row>
    <row r="99">
      <c r="A99" s="11" t="inlineStr">
        <is>
          <t>East US 2</t>
        </is>
      </c>
      <c r="B99" s="11" t="inlineStr">
        <is>
          <t>US</t>
        </is>
      </c>
      <c r="C99" s="11" t="inlineStr">
        <is>
          <t>DR</t>
        </is>
      </c>
      <c r="D99" s="11" t="inlineStr">
        <is>
          <t>Standard_D8as_v5</t>
        </is>
      </c>
      <c r="E99" s="11">
        <f>VLOOKUP(D99,SKU_Family_Map!$A:$B,2,FALSE)</f>
        <v/>
      </c>
      <c r="F99" s="11" t="inlineStr">
        <is>
          <t>crg-dr-eus2-reg</t>
        </is>
      </c>
      <c r="G99" s="11" t="n">
        <v>8</v>
      </c>
      <c r="H99" s="29" t="n">
        <v>2978</v>
      </c>
      <c r="I99" s="29" t="n">
        <v>357</v>
      </c>
      <c r="J99" s="52">
        <f>H99+I99</f>
        <v/>
      </c>
      <c r="K99" s="52">
        <f>J99-H99</f>
        <v/>
      </c>
      <c r="L99" s="52">
        <f>SUMIFS(Quota_Groups!$G:$G,Quota_Groups!$B:$B,A99,Quota_Groups!$D:$D,E99)</f>
        <v/>
      </c>
      <c r="M99" s="53">
        <f>MIN(K99,L99)</f>
        <v/>
      </c>
      <c r="N99" s="11">
        <f>IF(K99&lt;=L99,"CAPACITY","QUOTA")</f>
        <v/>
      </c>
      <c r="O99" s="11">
        <f>IF(K99&lt;=0,"RESERVATION_DEFICIT",IF(L99&lt;=0,"QUOTA_DEFICIT",IF(M99&lt;I99*0.5,"READY_WITH_RISK","READY")))</f>
        <v/>
      </c>
      <c r="P99" s="39" t="inlineStr">
        <is>
          <t>DR 30% bootstrap (ENV-005)</t>
        </is>
      </c>
    </row>
    <row r="100">
      <c r="A100" s="11" t="inlineStr">
        <is>
          <t>East US 2</t>
        </is>
      </c>
      <c r="B100" s="11" t="inlineStr">
        <is>
          <t>US</t>
        </is>
      </c>
      <c r="C100" s="11" t="inlineStr">
        <is>
          <t>DR</t>
        </is>
      </c>
      <c r="D100" s="11" t="inlineStr">
        <is>
          <t>Standard_D16as_v5</t>
        </is>
      </c>
      <c r="E100" s="11">
        <f>VLOOKUP(D100,SKU_Family_Map!$A:$B,2,FALSE)</f>
        <v/>
      </c>
      <c r="F100" s="11" t="inlineStr">
        <is>
          <t>crg-dr-eus2-reg</t>
        </is>
      </c>
      <c r="G100" s="11" t="n">
        <v>16</v>
      </c>
      <c r="H100" s="29" t="n">
        <v>1618</v>
      </c>
      <c r="I100" s="29" t="n">
        <v>194</v>
      </c>
      <c r="J100" s="52">
        <f>H100+I100</f>
        <v/>
      </c>
      <c r="K100" s="52">
        <f>J100-H100</f>
        <v/>
      </c>
      <c r="L100" s="52">
        <f>SUMIFS(Quota_Groups!$G:$G,Quota_Groups!$B:$B,A100,Quota_Groups!$D:$D,E100)</f>
        <v/>
      </c>
      <c r="M100" s="53">
        <f>MIN(K100,L100)</f>
        <v/>
      </c>
      <c r="N100" s="11">
        <f>IF(K100&lt;=L100,"CAPACITY","QUOTA")</f>
        <v/>
      </c>
      <c r="O100" s="11">
        <f>IF(K100&lt;=0,"RESERVATION_DEFICIT",IF(L100&lt;=0,"QUOTA_DEFICIT",IF(M100&lt;I100*0.5,"READY_WITH_RISK","READY")))</f>
        <v/>
      </c>
      <c r="P100" s="39" t="inlineStr">
        <is>
          <t>DR 30% bootstrap (ENV-005)</t>
        </is>
      </c>
    </row>
    <row r="101">
      <c r="A101" s="11" t="inlineStr">
        <is>
          <t>Switzerland North</t>
        </is>
      </c>
      <c r="B101" s="11" t="inlineStr">
        <is>
          <t>EU</t>
        </is>
      </c>
      <c r="C101" s="11" t="inlineStr">
        <is>
          <t>Prod</t>
        </is>
      </c>
      <c r="D101" s="11" t="inlineStr">
        <is>
          <t>Standard_E32ads_v5</t>
        </is>
      </c>
      <c r="E101" s="11">
        <f>VLOOKUP(D101,SKU_Family_Map!$A:$B,2,FALSE)</f>
        <v/>
      </c>
      <c r="F101" s="11" t="inlineStr">
        <is>
          <t>crg-pr-chn-reg</t>
        </is>
      </c>
      <c r="G101" s="11" t="n">
        <v>32</v>
      </c>
      <c r="H101" s="29" t="n">
        <v>0</v>
      </c>
      <c r="I101" s="29" t="n">
        <v>8</v>
      </c>
      <c r="J101" s="52">
        <f>H101+I101</f>
        <v/>
      </c>
      <c r="K101" s="52">
        <f>J101-H101</f>
        <v/>
      </c>
      <c r="L101" s="52">
        <f>SUMIFS(Quota_Groups!$G:$G,Quota_Groups!$B:$B,A101,Quota_Groups!$D:$D,E101)</f>
        <v/>
      </c>
      <c r="M101" s="53">
        <f>MIN(K101,L101)</f>
        <v/>
      </c>
      <c r="N101" s="11">
        <f>IF(K101&lt;=L101,"CAPACITY","QUOTA")</f>
        <v/>
      </c>
      <c r="O101" s="11">
        <f>IF(K101&lt;=0,"RESERVATION_DEFICIT",IF(L101&lt;=0,"QUOTA_DEFICIT",IF(M101&lt;I101*0.5,"READY_WITH_RISK","READY")))</f>
        <v/>
      </c>
      <c r="P101" s="39" t="inlineStr"/>
    </row>
    <row r="102">
      <c r="A102" s="11" t="inlineStr">
        <is>
          <t>Switzerland North</t>
        </is>
      </c>
      <c r="B102" s="11" t="inlineStr">
        <is>
          <t>EU</t>
        </is>
      </c>
      <c r="C102" s="11" t="inlineStr">
        <is>
          <t>Prod</t>
        </is>
      </c>
      <c r="D102" s="11" t="inlineStr">
        <is>
          <t>Standard_E64ads_v5</t>
        </is>
      </c>
      <c r="E102" s="11">
        <f>VLOOKUP(D102,SKU_Family_Map!$A:$B,2,FALSE)</f>
        <v/>
      </c>
      <c r="F102" s="11" t="inlineStr">
        <is>
          <t>crg-pr-chn-reg</t>
        </is>
      </c>
      <c r="G102" s="11" t="n">
        <v>64</v>
      </c>
      <c r="H102" s="29" t="n">
        <v>0</v>
      </c>
      <c r="I102" s="29" t="n">
        <v>8</v>
      </c>
      <c r="J102" s="52">
        <f>H102+I102</f>
        <v/>
      </c>
      <c r="K102" s="52">
        <f>J102-H102</f>
        <v/>
      </c>
      <c r="L102" s="52">
        <f>SUMIFS(Quota_Groups!$G:$G,Quota_Groups!$B:$B,A102,Quota_Groups!$D:$D,E102)</f>
        <v/>
      </c>
      <c r="M102" s="53">
        <f>MIN(K102,L102)</f>
        <v/>
      </c>
      <c r="N102" s="11">
        <f>IF(K102&lt;=L102,"CAPACITY","QUOTA")</f>
        <v/>
      </c>
      <c r="O102" s="11">
        <f>IF(K102&lt;=0,"RESERVATION_DEFICIT",IF(L102&lt;=0,"QUOTA_DEFICIT",IF(M102&lt;I102*0.5,"READY_WITH_RISK","READY")))</f>
        <v/>
      </c>
      <c r="P102" s="39" t="inlineStr"/>
    </row>
    <row r="103">
      <c r="A103" s="11" t="inlineStr">
        <is>
          <t>Switzerland North</t>
        </is>
      </c>
      <c r="B103" s="11" t="inlineStr">
        <is>
          <t>EU</t>
        </is>
      </c>
      <c r="C103" s="11" t="inlineStr">
        <is>
          <t>Prod</t>
        </is>
      </c>
      <c r="D103" s="11" t="inlineStr">
        <is>
          <t>Standard_E16ads_v5</t>
        </is>
      </c>
      <c r="E103" s="11">
        <f>VLOOKUP(D103,SKU_Family_Map!$A:$B,2,FALSE)</f>
        <v/>
      </c>
      <c r="F103" s="11" t="inlineStr">
        <is>
          <t>crg-pr-chn-reg</t>
        </is>
      </c>
      <c r="G103" s="11" t="n">
        <v>16</v>
      </c>
      <c r="H103" s="29" t="n">
        <v>0</v>
      </c>
      <c r="I103" s="29" t="n">
        <v>8</v>
      </c>
      <c r="J103" s="52">
        <f>H103+I103</f>
        <v/>
      </c>
      <c r="K103" s="52">
        <f>J103-H103</f>
        <v/>
      </c>
      <c r="L103" s="52">
        <f>SUMIFS(Quota_Groups!$G:$G,Quota_Groups!$B:$B,A103,Quota_Groups!$D:$D,E103)</f>
        <v/>
      </c>
      <c r="M103" s="53">
        <f>MIN(K103,L103)</f>
        <v/>
      </c>
      <c r="N103" s="11">
        <f>IF(K103&lt;=L103,"CAPACITY","QUOTA")</f>
        <v/>
      </c>
      <c r="O103" s="11">
        <f>IF(K103&lt;=0,"RESERVATION_DEFICIT",IF(L103&lt;=0,"QUOTA_DEFICIT",IF(M103&lt;I103*0.5,"READY_WITH_RISK","READY")))</f>
        <v/>
      </c>
      <c r="P103" s="39" t="inlineStr"/>
    </row>
    <row r="104">
      <c r="A104" s="11" t="inlineStr">
        <is>
          <t>Switzerland North</t>
        </is>
      </c>
      <c r="B104" s="11" t="inlineStr">
        <is>
          <t>EU</t>
        </is>
      </c>
      <c r="C104" s="11" t="inlineStr">
        <is>
          <t>Prod</t>
        </is>
      </c>
      <c r="D104" s="11" t="inlineStr">
        <is>
          <t>Standard_E32ads_v6</t>
        </is>
      </c>
      <c r="E104" s="11">
        <f>VLOOKUP(D104,SKU_Family_Map!$A:$B,2,FALSE)</f>
        <v/>
      </c>
      <c r="F104" s="11" t="inlineStr">
        <is>
          <t>crg-pr-chn-reg</t>
        </is>
      </c>
      <c r="G104" s="11" t="n">
        <v>32</v>
      </c>
      <c r="H104" s="29" t="n">
        <v>576</v>
      </c>
      <c r="I104" s="29" t="n">
        <v>69</v>
      </c>
      <c r="J104" s="52">
        <f>H104+I104</f>
        <v/>
      </c>
      <c r="K104" s="52">
        <f>J104-H104</f>
        <v/>
      </c>
      <c r="L104" s="52">
        <f>SUMIFS(Quota_Groups!$G:$G,Quota_Groups!$B:$B,A104,Quota_Groups!$D:$D,E104)</f>
        <v/>
      </c>
      <c r="M104" s="53">
        <f>MIN(K104,L104)</f>
        <v/>
      </c>
      <c r="N104" s="11">
        <f>IF(K104&lt;=L104,"CAPACITY","QUOTA")</f>
        <v/>
      </c>
      <c r="O104" s="11">
        <f>IF(K104&lt;=0,"RESERVATION_DEFICIT",IF(L104&lt;=0,"QUOTA_DEFICIT",IF(M104&lt;I104*0.5,"READY_WITH_RISK","READY")))</f>
        <v/>
      </c>
      <c r="P104" s="39" t="inlineStr"/>
    </row>
    <row r="105">
      <c r="A105" s="11" t="inlineStr">
        <is>
          <t>Switzerland North</t>
        </is>
      </c>
      <c r="B105" s="11" t="inlineStr">
        <is>
          <t>EU</t>
        </is>
      </c>
      <c r="C105" s="11" t="inlineStr">
        <is>
          <t>Prod</t>
        </is>
      </c>
      <c r="D105" s="11" t="inlineStr">
        <is>
          <t>Standard_D8ads_v5</t>
        </is>
      </c>
      <c r="E105" s="11">
        <f>VLOOKUP(D105,SKU_Family_Map!$A:$B,2,FALSE)</f>
        <v/>
      </c>
      <c r="F105" s="11" t="inlineStr">
        <is>
          <t>crg-pr-chn-reg</t>
        </is>
      </c>
      <c r="G105" s="11" t="n">
        <v>8</v>
      </c>
      <c r="H105" s="29" t="n">
        <v>0</v>
      </c>
      <c r="I105" s="29" t="n">
        <v>8</v>
      </c>
      <c r="J105" s="52">
        <f>H105+I105</f>
        <v/>
      </c>
      <c r="K105" s="52">
        <f>J105-H105</f>
        <v/>
      </c>
      <c r="L105" s="52">
        <f>SUMIFS(Quota_Groups!$G:$G,Quota_Groups!$B:$B,A105,Quota_Groups!$D:$D,E105)</f>
        <v/>
      </c>
      <c r="M105" s="53">
        <f>MIN(K105,L105)</f>
        <v/>
      </c>
      <c r="N105" s="11">
        <f>IF(K105&lt;=L105,"CAPACITY","QUOTA")</f>
        <v/>
      </c>
      <c r="O105" s="11">
        <f>IF(K105&lt;=0,"RESERVATION_DEFICIT",IF(L105&lt;=0,"QUOTA_DEFICIT",IF(M105&lt;I105*0.5,"READY_WITH_RISK","READY")))</f>
        <v/>
      </c>
      <c r="P105" s="39" t="inlineStr"/>
    </row>
    <row r="106">
      <c r="A106" s="11" t="inlineStr">
        <is>
          <t>Switzerland North</t>
        </is>
      </c>
      <c r="B106" s="11" t="inlineStr">
        <is>
          <t>EU</t>
        </is>
      </c>
      <c r="C106" s="11" t="inlineStr">
        <is>
          <t>Prod</t>
        </is>
      </c>
      <c r="D106" s="11" t="inlineStr">
        <is>
          <t>Standard_D16ads_v5</t>
        </is>
      </c>
      <c r="E106" s="11">
        <f>VLOOKUP(D106,SKU_Family_Map!$A:$B,2,FALSE)</f>
        <v/>
      </c>
      <c r="F106" s="11" t="inlineStr">
        <is>
          <t>crg-pr-chn-reg</t>
        </is>
      </c>
      <c r="G106" s="11" t="n">
        <v>16</v>
      </c>
      <c r="H106" s="29" t="n">
        <v>0</v>
      </c>
      <c r="I106" s="29" t="n">
        <v>8</v>
      </c>
      <c r="J106" s="52">
        <f>H106+I106</f>
        <v/>
      </c>
      <c r="K106" s="52">
        <f>J106-H106</f>
        <v/>
      </c>
      <c r="L106" s="52">
        <f>SUMIFS(Quota_Groups!$G:$G,Quota_Groups!$B:$B,A106,Quota_Groups!$D:$D,E106)</f>
        <v/>
      </c>
      <c r="M106" s="53">
        <f>MIN(K106,L106)</f>
        <v/>
      </c>
      <c r="N106" s="11">
        <f>IF(K106&lt;=L106,"CAPACITY","QUOTA")</f>
        <v/>
      </c>
      <c r="O106" s="11">
        <f>IF(K106&lt;=0,"RESERVATION_DEFICIT",IF(L106&lt;=0,"QUOTA_DEFICIT",IF(M106&lt;I106*0.5,"READY_WITH_RISK","READY")))</f>
        <v/>
      </c>
      <c r="P106" s="39" t="inlineStr"/>
    </row>
    <row r="107">
      <c r="A107" s="11" t="inlineStr">
        <is>
          <t>Switzerland North</t>
        </is>
      </c>
      <c r="B107" s="11" t="inlineStr">
        <is>
          <t>EU</t>
        </is>
      </c>
      <c r="C107" s="11" t="inlineStr">
        <is>
          <t>Prod</t>
        </is>
      </c>
      <c r="D107" s="11" t="inlineStr">
        <is>
          <t>Standard_D8as_v5</t>
        </is>
      </c>
      <c r="E107" s="11">
        <f>VLOOKUP(D107,SKU_Family_Map!$A:$B,2,FALSE)</f>
        <v/>
      </c>
      <c r="F107" s="11" t="inlineStr">
        <is>
          <t>crg-pr-chn-reg</t>
        </is>
      </c>
      <c r="G107" s="11" t="n">
        <v>8</v>
      </c>
      <c r="H107" s="29" t="n">
        <v>0</v>
      </c>
      <c r="I107" s="29" t="n">
        <v>8</v>
      </c>
      <c r="J107" s="52">
        <f>H107+I107</f>
        <v/>
      </c>
      <c r="K107" s="52">
        <f>J107-H107</f>
        <v/>
      </c>
      <c r="L107" s="52">
        <f>SUMIFS(Quota_Groups!$G:$G,Quota_Groups!$B:$B,A107,Quota_Groups!$D:$D,E107)</f>
        <v/>
      </c>
      <c r="M107" s="53">
        <f>MIN(K107,L107)</f>
        <v/>
      </c>
      <c r="N107" s="11">
        <f>IF(K107&lt;=L107,"CAPACITY","QUOTA")</f>
        <v/>
      </c>
      <c r="O107" s="11">
        <f>IF(K107&lt;=0,"RESERVATION_DEFICIT",IF(L107&lt;=0,"QUOTA_DEFICIT",IF(M107&lt;I107*0.5,"READY_WITH_RISK","READY")))</f>
        <v/>
      </c>
      <c r="P107" s="39" t="inlineStr"/>
    </row>
    <row r="108">
      <c r="A108" s="11" t="inlineStr">
        <is>
          <t>Switzerland North</t>
        </is>
      </c>
      <c r="B108" s="11" t="inlineStr">
        <is>
          <t>EU</t>
        </is>
      </c>
      <c r="C108" s="11" t="inlineStr">
        <is>
          <t>Prod</t>
        </is>
      </c>
      <c r="D108" s="11" t="inlineStr">
        <is>
          <t>Standard_D16as_v5</t>
        </is>
      </c>
      <c r="E108" s="11">
        <f>VLOOKUP(D108,SKU_Family_Map!$A:$B,2,FALSE)</f>
        <v/>
      </c>
      <c r="F108" s="11" t="inlineStr">
        <is>
          <t>crg-pr-chn-reg</t>
        </is>
      </c>
      <c r="G108" s="11" t="n">
        <v>16</v>
      </c>
      <c r="H108" s="29" t="n">
        <v>0</v>
      </c>
      <c r="I108" s="29" t="n">
        <v>8</v>
      </c>
      <c r="J108" s="52">
        <f>H108+I108</f>
        <v/>
      </c>
      <c r="K108" s="52">
        <f>J108-H108</f>
        <v/>
      </c>
      <c r="L108" s="52">
        <f>SUMIFS(Quota_Groups!$G:$G,Quota_Groups!$B:$B,A108,Quota_Groups!$D:$D,E108)</f>
        <v/>
      </c>
      <c r="M108" s="53">
        <f>MIN(K108,L108)</f>
        <v/>
      </c>
      <c r="N108" s="11">
        <f>IF(K108&lt;=L108,"CAPACITY","QUOTA")</f>
        <v/>
      </c>
      <c r="O108" s="11">
        <f>IF(K108&lt;=0,"RESERVATION_DEFICIT",IF(L108&lt;=0,"QUOTA_DEFICIT",IF(M108&lt;I108*0.5,"READY_WITH_RISK","READY")))</f>
        <v/>
      </c>
      <c r="P108" s="39" t="inlineStr"/>
    </row>
    <row r="109">
      <c r="A109" s="11" t="inlineStr">
        <is>
          <t>Switzerland North</t>
        </is>
      </c>
      <c r="B109" s="11" t="inlineStr">
        <is>
          <t>EU</t>
        </is>
      </c>
      <c r="C109" s="11" t="inlineStr">
        <is>
          <t>NonProd</t>
        </is>
      </c>
      <c r="D109" s="11" t="inlineStr">
        <is>
          <t>Standard_E32ads_v5</t>
        </is>
      </c>
      <c r="E109" s="11">
        <f>VLOOKUP(D109,SKU_Family_Map!$A:$B,2,FALSE)</f>
        <v/>
      </c>
      <c r="F109" s="11" t="inlineStr">
        <is>
          <t>crg-np-chn-reg</t>
        </is>
      </c>
      <c r="G109" s="11" t="n">
        <v>32</v>
      </c>
      <c r="H109" s="29" t="n">
        <v>0</v>
      </c>
      <c r="I109" s="29" t="n">
        <v>8</v>
      </c>
      <c r="J109" s="52">
        <f>H109+I109</f>
        <v/>
      </c>
      <c r="K109" s="52">
        <f>J109-H109</f>
        <v/>
      </c>
      <c r="L109" s="52">
        <f>SUMIFS(Quota_Groups!$G:$G,Quota_Groups!$B:$B,A109,Quota_Groups!$D:$D,E109)</f>
        <v/>
      </c>
      <c r="M109" s="53">
        <f>MIN(K109,L109)</f>
        <v/>
      </c>
      <c r="N109" s="11">
        <f>IF(K109&lt;=L109,"CAPACITY","QUOTA")</f>
        <v/>
      </c>
      <c r="O109" s="11">
        <f>IF(K109&lt;=0,"RESERVATION_DEFICIT",IF(L109&lt;=0,"QUOTA_DEFICIT",IF(M109&lt;I109*0.5,"READY_WITH_RISK","READY")))</f>
        <v/>
      </c>
      <c r="P109" s="39" t="inlineStr"/>
    </row>
    <row r="110">
      <c r="A110" s="11" t="inlineStr">
        <is>
          <t>Switzerland North</t>
        </is>
      </c>
      <c r="B110" s="11" t="inlineStr">
        <is>
          <t>EU</t>
        </is>
      </c>
      <c r="C110" s="11" t="inlineStr">
        <is>
          <t>NonProd</t>
        </is>
      </c>
      <c r="D110" s="11" t="inlineStr">
        <is>
          <t>Standard_E64ads_v5</t>
        </is>
      </c>
      <c r="E110" s="11">
        <f>VLOOKUP(D110,SKU_Family_Map!$A:$B,2,FALSE)</f>
        <v/>
      </c>
      <c r="F110" s="11" t="inlineStr">
        <is>
          <t>crg-np-chn-reg</t>
        </is>
      </c>
      <c r="G110" s="11" t="n">
        <v>64</v>
      </c>
      <c r="H110" s="29" t="n">
        <v>0</v>
      </c>
      <c r="I110" s="29" t="n">
        <v>8</v>
      </c>
      <c r="J110" s="52">
        <f>H110+I110</f>
        <v/>
      </c>
      <c r="K110" s="52">
        <f>J110-H110</f>
        <v/>
      </c>
      <c r="L110" s="52">
        <f>SUMIFS(Quota_Groups!$G:$G,Quota_Groups!$B:$B,A110,Quota_Groups!$D:$D,E110)</f>
        <v/>
      </c>
      <c r="M110" s="53">
        <f>MIN(K110,L110)</f>
        <v/>
      </c>
      <c r="N110" s="11">
        <f>IF(K110&lt;=L110,"CAPACITY","QUOTA")</f>
        <v/>
      </c>
      <c r="O110" s="11">
        <f>IF(K110&lt;=0,"RESERVATION_DEFICIT",IF(L110&lt;=0,"QUOTA_DEFICIT",IF(M110&lt;I110*0.5,"READY_WITH_RISK","READY")))</f>
        <v/>
      </c>
      <c r="P110" s="39" t="inlineStr"/>
    </row>
    <row r="111">
      <c r="A111" s="11" t="inlineStr">
        <is>
          <t>Switzerland North</t>
        </is>
      </c>
      <c r="B111" s="11" t="inlineStr">
        <is>
          <t>EU</t>
        </is>
      </c>
      <c r="C111" s="11" t="inlineStr">
        <is>
          <t>NonProd</t>
        </is>
      </c>
      <c r="D111" s="11" t="inlineStr">
        <is>
          <t>Standard_E16ads_v5</t>
        </is>
      </c>
      <c r="E111" s="11">
        <f>VLOOKUP(D111,SKU_Family_Map!$A:$B,2,FALSE)</f>
        <v/>
      </c>
      <c r="F111" s="11" t="inlineStr">
        <is>
          <t>crg-np-chn-reg</t>
        </is>
      </c>
      <c r="G111" s="11" t="n">
        <v>16</v>
      </c>
      <c r="H111" s="29" t="n">
        <v>0</v>
      </c>
      <c r="I111" s="29" t="n">
        <v>8</v>
      </c>
      <c r="J111" s="52">
        <f>H111+I111</f>
        <v/>
      </c>
      <c r="K111" s="52">
        <f>J111-H111</f>
        <v/>
      </c>
      <c r="L111" s="52">
        <f>SUMIFS(Quota_Groups!$G:$G,Quota_Groups!$B:$B,A111,Quota_Groups!$D:$D,E111)</f>
        <v/>
      </c>
      <c r="M111" s="53">
        <f>MIN(K111,L111)</f>
        <v/>
      </c>
      <c r="N111" s="11">
        <f>IF(K111&lt;=L111,"CAPACITY","QUOTA")</f>
        <v/>
      </c>
      <c r="O111" s="11">
        <f>IF(K111&lt;=0,"RESERVATION_DEFICIT",IF(L111&lt;=0,"QUOTA_DEFICIT",IF(M111&lt;I111*0.5,"READY_WITH_RISK","READY")))</f>
        <v/>
      </c>
      <c r="P111" s="39" t="inlineStr"/>
    </row>
    <row r="112">
      <c r="A112" s="11" t="inlineStr">
        <is>
          <t>Switzerland North</t>
        </is>
      </c>
      <c r="B112" s="11" t="inlineStr">
        <is>
          <t>EU</t>
        </is>
      </c>
      <c r="C112" s="11" t="inlineStr">
        <is>
          <t>NonProd</t>
        </is>
      </c>
      <c r="D112" s="11" t="inlineStr">
        <is>
          <t>Standard_E32ads_v6</t>
        </is>
      </c>
      <c r="E112" s="11">
        <f>VLOOKUP(D112,SKU_Family_Map!$A:$B,2,FALSE)</f>
        <v/>
      </c>
      <c r="F112" s="11" t="inlineStr">
        <is>
          <t>crg-np-chn-reg</t>
        </is>
      </c>
      <c r="G112" s="11" t="n">
        <v>32</v>
      </c>
      <c r="H112" s="29" t="n">
        <v>576</v>
      </c>
      <c r="I112" s="29" t="n">
        <v>69</v>
      </c>
      <c r="J112" s="52">
        <f>H112+I112</f>
        <v/>
      </c>
      <c r="K112" s="52">
        <f>J112-H112</f>
        <v/>
      </c>
      <c r="L112" s="52">
        <f>SUMIFS(Quota_Groups!$G:$G,Quota_Groups!$B:$B,A112,Quota_Groups!$D:$D,E112)</f>
        <v/>
      </c>
      <c r="M112" s="53">
        <f>MIN(K112,L112)</f>
        <v/>
      </c>
      <c r="N112" s="11">
        <f>IF(K112&lt;=L112,"CAPACITY","QUOTA")</f>
        <v/>
      </c>
      <c r="O112" s="11">
        <f>IF(K112&lt;=0,"RESERVATION_DEFICIT",IF(L112&lt;=0,"QUOTA_DEFICIT",IF(M112&lt;I112*0.5,"READY_WITH_RISK","READY")))</f>
        <v/>
      </c>
      <c r="P112" s="39" t="inlineStr"/>
    </row>
    <row r="113">
      <c r="A113" s="11" t="inlineStr">
        <is>
          <t>Switzerland North</t>
        </is>
      </c>
      <c r="B113" s="11" t="inlineStr">
        <is>
          <t>EU</t>
        </is>
      </c>
      <c r="C113" s="11" t="inlineStr">
        <is>
          <t>NonProd</t>
        </is>
      </c>
      <c r="D113" s="11" t="inlineStr">
        <is>
          <t>Standard_D8ads_v5</t>
        </is>
      </c>
      <c r="E113" s="11">
        <f>VLOOKUP(D113,SKU_Family_Map!$A:$B,2,FALSE)</f>
        <v/>
      </c>
      <c r="F113" s="11" t="inlineStr">
        <is>
          <t>crg-np-chn-reg</t>
        </is>
      </c>
      <c r="G113" s="11" t="n">
        <v>8</v>
      </c>
      <c r="H113" s="29" t="n">
        <v>0</v>
      </c>
      <c r="I113" s="29" t="n">
        <v>8</v>
      </c>
      <c r="J113" s="52">
        <f>H113+I113</f>
        <v/>
      </c>
      <c r="K113" s="52">
        <f>J113-H113</f>
        <v/>
      </c>
      <c r="L113" s="52">
        <f>SUMIFS(Quota_Groups!$G:$G,Quota_Groups!$B:$B,A113,Quota_Groups!$D:$D,E113)</f>
        <v/>
      </c>
      <c r="M113" s="53">
        <f>MIN(K113,L113)</f>
        <v/>
      </c>
      <c r="N113" s="11">
        <f>IF(K113&lt;=L113,"CAPACITY","QUOTA")</f>
        <v/>
      </c>
      <c r="O113" s="11">
        <f>IF(K113&lt;=0,"RESERVATION_DEFICIT",IF(L113&lt;=0,"QUOTA_DEFICIT",IF(M113&lt;I113*0.5,"READY_WITH_RISK","READY")))</f>
        <v/>
      </c>
      <c r="P113" s="39" t="inlineStr"/>
    </row>
    <row r="114">
      <c r="A114" s="11" t="inlineStr">
        <is>
          <t>Switzerland North</t>
        </is>
      </c>
      <c r="B114" s="11" t="inlineStr">
        <is>
          <t>EU</t>
        </is>
      </c>
      <c r="C114" s="11" t="inlineStr">
        <is>
          <t>NonProd</t>
        </is>
      </c>
      <c r="D114" s="11" t="inlineStr">
        <is>
          <t>Standard_D16ads_v5</t>
        </is>
      </c>
      <c r="E114" s="11">
        <f>VLOOKUP(D114,SKU_Family_Map!$A:$B,2,FALSE)</f>
        <v/>
      </c>
      <c r="F114" s="11" t="inlineStr">
        <is>
          <t>crg-np-chn-reg</t>
        </is>
      </c>
      <c r="G114" s="11" t="n">
        <v>16</v>
      </c>
      <c r="H114" s="29" t="n">
        <v>0</v>
      </c>
      <c r="I114" s="29" t="n">
        <v>8</v>
      </c>
      <c r="J114" s="52">
        <f>H114+I114</f>
        <v/>
      </c>
      <c r="K114" s="52">
        <f>J114-H114</f>
        <v/>
      </c>
      <c r="L114" s="52">
        <f>SUMIFS(Quota_Groups!$G:$G,Quota_Groups!$B:$B,A114,Quota_Groups!$D:$D,E114)</f>
        <v/>
      </c>
      <c r="M114" s="53">
        <f>MIN(K114,L114)</f>
        <v/>
      </c>
      <c r="N114" s="11">
        <f>IF(K114&lt;=L114,"CAPACITY","QUOTA")</f>
        <v/>
      </c>
      <c r="O114" s="11">
        <f>IF(K114&lt;=0,"RESERVATION_DEFICIT",IF(L114&lt;=0,"QUOTA_DEFICIT",IF(M114&lt;I114*0.5,"READY_WITH_RISK","READY")))</f>
        <v/>
      </c>
      <c r="P114" s="39" t="inlineStr"/>
    </row>
    <row r="115">
      <c r="A115" s="11" t="inlineStr">
        <is>
          <t>Switzerland North</t>
        </is>
      </c>
      <c r="B115" s="11" t="inlineStr">
        <is>
          <t>EU</t>
        </is>
      </c>
      <c r="C115" s="11" t="inlineStr">
        <is>
          <t>NonProd</t>
        </is>
      </c>
      <c r="D115" s="11" t="inlineStr">
        <is>
          <t>Standard_D8as_v5</t>
        </is>
      </c>
      <c r="E115" s="11">
        <f>VLOOKUP(D115,SKU_Family_Map!$A:$B,2,FALSE)</f>
        <v/>
      </c>
      <c r="F115" s="11" t="inlineStr">
        <is>
          <t>crg-np-chn-reg</t>
        </is>
      </c>
      <c r="G115" s="11" t="n">
        <v>8</v>
      </c>
      <c r="H115" s="29" t="n">
        <v>0</v>
      </c>
      <c r="I115" s="29" t="n">
        <v>8</v>
      </c>
      <c r="J115" s="52">
        <f>H115+I115</f>
        <v/>
      </c>
      <c r="K115" s="52">
        <f>J115-H115</f>
        <v/>
      </c>
      <c r="L115" s="52">
        <f>SUMIFS(Quota_Groups!$G:$G,Quota_Groups!$B:$B,A115,Quota_Groups!$D:$D,E115)</f>
        <v/>
      </c>
      <c r="M115" s="53">
        <f>MIN(K115,L115)</f>
        <v/>
      </c>
      <c r="N115" s="11">
        <f>IF(K115&lt;=L115,"CAPACITY","QUOTA")</f>
        <v/>
      </c>
      <c r="O115" s="11">
        <f>IF(K115&lt;=0,"RESERVATION_DEFICIT",IF(L115&lt;=0,"QUOTA_DEFICIT",IF(M115&lt;I115*0.5,"READY_WITH_RISK","READY")))</f>
        <v/>
      </c>
      <c r="P115" s="39" t="inlineStr"/>
    </row>
    <row r="116">
      <c r="A116" s="11" t="inlineStr">
        <is>
          <t>Switzerland North</t>
        </is>
      </c>
      <c r="B116" s="11" t="inlineStr">
        <is>
          <t>EU</t>
        </is>
      </c>
      <c r="C116" s="11" t="inlineStr">
        <is>
          <t>NonProd</t>
        </is>
      </c>
      <c r="D116" s="11" t="inlineStr">
        <is>
          <t>Standard_D16as_v5</t>
        </is>
      </c>
      <c r="E116" s="11">
        <f>VLOOKUP(D116,SKU_Family_Map!$A:$B,2,FALSE)</f>
        <v/>
      </c>
      <c r="F116" s="11" t="inlineStr">
        <is>
          <t>crg-np-chn-reg</t>
        </is>
      </c>
      <c r="G116" s="11" t="n">
        <v>16</v>
      </c>
      <c r="H116" s="29" t="n">
        <v>0</v>
      </c>
      <c r="I116" s="29" t="n">
        <v>8</v>
      </c>
      <c r="J116" s="52">
        <f>H116+I116</f>
        <v/>
      </c>
      <c r="K116" s="52">
        <f>J116-H116</f>
        <v/>
      </c>
      <c r="L116" s="52">
        <f>SUMIFS(Quota_Groups!$G:$G,Quota_Groups!$B:$B,A116,Quota_Groups!$D:$D,E116)</f>
        <v/>
      </c>
      <c r="M116" s="53">
        <f>MIN(K116,L116)</f>
        <v/>
      </c>
      <c r="N116" s="11">
        <f>IF(K116&lt;=L116,"CAPACITY","QUOTA")</f>
        <v/>
      </c>
      <c r="O116" s="11">
        <f>IF(K116&lt;=0,"RESERVATION_DEFICIT",IF(L116&lt;=0,"QUOTA_DEFICIT",IF(M116&lt;I116*0.5,"READY_WITH_RISK","READY")))</f>
        <v/>
      </c>
      <c r="P116" s="39" t="inlineStr"/>
    </row>
    <row r="117">
      <c r="A117" s="11" t="inlineStr">
        <is>
          <t>Switzerland North</t>
        </is>
      </c>
      <c r="B117" s="11" t="inlineStr">
        <is>
          <t>EU</t>
        </is>
      </c>
      <c r="C117" s="11" t="inlineStr">
        <is>
          <t>DR</t>
        </is>
      </c>
      <c r="D117" s="11" t="inlineStr">
        <is>
          <t>Standard_E32ads_v5</t>
        </is>
      </c>
      <c r="E117" s="11">
        <f>VLOOKUP(D117,SKU_Family_Map!$A:$B,2,FALSE)</f>
        <v/>
      </c>
      <c r="F117" s="11" t="inlineStr">
        <is>
          <t>crg-dr-chn-reg</t>
        </is>
      </c>
      <c r="G117" s="11" t="n">
        <v>32</v>
      </c>
      <c r="H117" s="29" t="n">
        <v>0</v>
      </c>
      <c r="I117" s="29" t="n">
        <v>8</v>
      </c>
      <c r="J117" s="52">
        <f>H117+I117</f>
        <v/>
      </c>
      <c r="K117" s="52">
        <f>J117-H117</f>
        <v/>
      </c>
      <c r="L117" s="52">
        <f>SUMIFS(Quota_Groups!$G:$G,Quota_Groups!$B:$B,A117,Quota_Groups!$D:$D,E117)</f>
        <v/>
      </c>
      <c r="M117" s="53">
        <f>MIN(K117,L117)</f>
        <v/>
      </c>
      <c r="N117" s="11">
        <f>IF(K117&lt;=L117,"CAPACITY","QUOTA")</f>
        <v/>
      </c>
      <c r="O117" s="11">
        <f>IF(K117&lt;=0,"RESERVATION_DEFICIT",IF(L117&lt;=0,"QUOTA_DEFICIT",IF(M117&lt;I117*0.5,"READY_WITH_RISK","READY")))</f>
        <v/>
      </c>
      <c r="P117" s="39" t="inlineStr">
        <is>
          <t>DR 30% bootstrap (ENV-005)</t>
        </is>
      </c>
    </row>
    <row r="118">
      <c r="A118" s="11" t="inlineStr">
        <is>
          <t>Switzerland North</t>
        </is>
      </c>
      <c r="B118" s="11" t="inlineStr">
        <is>
          <t>EU</t>
        </is>
      </c>
      <c r="C118" s="11" t="inlineStr">
        <is>
          <t>DR</t>
        </is>
      </c>
      <c r="D118" s="11" t="inlineStr">
        <is>
          <t>Standard_E64ads_v5</t>
        </is>
      </c>
      <c r="E118" s="11">
        <f>VLOOKUP(D118,SKU_Family_Map!$A:$B,2,FALSE)</f>
        <v/>
      </c>
      <c r="F118" s="11" t="inlineStr">
        <is>
          <t>crg-dr-chn-reg</t>
        </is>
      </c>
      <c r="G118" s="11" t="n">
        <v>64</v>
      </c>
      <c r="H118" s="29" t="n">
        <v>0</v>
      </c>
      <c r="I118" s="29" t="n">
        <v>8</v>
      </c>
      <c r="J118" s="52">
        <f>H118+I118</f>
        <v/>
      </c>
      <c r="K118" s="52">
        <f>J118-H118</f>
        <v/>
      </c>
      <c r="L118" s="52">
        <f>SUMIFS(Quota_Groups!$G:$G,Quota_Groups!$B:$B,A118,Quota_Groups!$D:$D,E118)</f>
        <v/>
      </c>
      <c r="M118" s="53">
        <f>MIN(K118,L118)</f>
        <v/>
      </c>
      <c r="N118" s="11">
        <f>IF(K118&lt;=L118,"CAPACITY","QUOTA")</f>
        <v/>
      </c>
      <c r="O118" s="11">
        <f>IF(K118&lt;=0,"RESERVATION_DEFICIT",IF(L118&lt;=0,"QUOTA_DEFICIT",IF(M118&lt;I118*0.5,"READY_WITH_RISK","READY")))</f>
        <v/>
      </c>
      <c r="P118" s="39" t="inlineStr">
        <is>
          <t>DR 30% bootstrap (ENV-005)</t>
        </is>
      </c>
    </row>
    <row r="119">
      <c r="A119" s="11" t="inlineStr">
        <is>
          <t>Switzerland North</t>
        </is>
      </c>
      <c r="B119" s="11" t="inlineStr">
        <is>
          <t>EU</t>
        </is>
      </c>
      <c r="C119" s="11" t="inlineStr">
        <is>
          <t>DR</t>
        </is>
      </c>
      <c r="D119" s="11" t="inlineStr">
        <is>
          <t>Standard_E16ads_v5</t>
        </is>
      </c>
      <c r="E119" s="11">
        <f>VLOOKUP(D119,SKU_Family_Map!$A:$B,2,FALSE)</f>
        <v/>
      </c>
      <c r="F119" s="11" t="inlineStr">
        <is>
          <t>crg-dr-chn-reg</t>
        </is>
      </c>
      <c r="G119" s="11" t="n">
        <v>16</v>
      </c>
      <c r="H119" s="29" t="n">
        <v>0</v>
      </c>
      <c r="I119" s="29" t="n">
        <v>8</v>
      </c>
      <c r="J119" s="52">
        <f>H119+I119</f>
        <v/>
      </c>
      <c r="K119" s="52">
        <f>J119-H119</f>
        <v/>
      </c>
      <c r="L119" s="52">
        <f>SUMIFS(Quota_Groups!$G:$G,Quota_Groups!$B:$B,A119,Quota_Groups!$D:$D,E119)</f>
        <v/>
      </c>
      <c r="M119" s="53">
        <f>MIN(K119,L119)</f>
        <v/>
      </c>
      <c r="N119" s="11">
        <f>IF(K119&lt;=L119,"CAPACITY","QUOTA")</f>
        <v/>
      </c>
      <c r="O119" s="11">
        <f>IF(K119&lt;=0,"RESERVATION_DEFICIT",IF(L119&lt;=0,"QUOTA_DEFICIT",IF(M119&lt;I119*0.5,"READY_WITH_RISK","READY")))</f>
        <v/>
      </c>
      <c r="P119" s="39" t="inlineStr">
        <is>
          <t>DR 30% bootstrap (ENV-005)</t>
        </is>
      </c>
    </row>
    <row r="120">
      <c r="A120" s="11" t="inlineStr">
        <is>
          <t>Switzerland North</t>
        </is>
      </c>
      <c r="B120" s="11" t="inlineStr">
        <is>
          <t>EU</t>
        </is>
      </c>
      <c r="C120" s="11" t="inlineStr">
        <is>
          <t>DR</t>
        </is>
      </c>
      <c r="D120" s="11" t="inlineStr">
        <is>
          <t>Standard_E32ads_v6</t>
        </is>
      </c>
      <c r="E120" s="11">
        <f>VLOOKUP(D120,SKU_Family_Map!$A:$B,2,FALSE)</f>
        <v/>
      </c>
      <c r="F120" s="11" t="inlineStr">
        <is>
          <t>crg-dr-chn-reg</t>
        </is>
      </c>
      <c r="G120" s="11" t="n">
        <v>32</v>
      </c>
      <c r="H120" s="29" t="n">
        <v>173</v>
      </c>
      <c r="I120" s="29" t="n">
        <v>21</v>
      </c>
      <c r="J120" s="52">
        <f>H120+I120</f>
        <v/>
      </c>
      <c r="K120" s="52">
        <f>J120-H120</f>
        <v/>
      </c>
      <c r="L120" s="52">
        <f>SUMIFS(Quota_Groups!$G:$G,Quota_Groups!$B:$B,A120,Quota_Groups!$D:$D,E120)</f>
        <v/>
      </c>
      <c r="M120" s="53">
        <f>MIN(K120,L120)</f>
        <v/>
      </c>
      <c r="N120" s="11">
        <f>IF(K120&lt;=L120,"CAPACITY","QUOTA")</f>
        <v/>
      </c>
      <c r="O120" s="11">
        <f>IF(K120&lt;=0,"RESERVATION_DEFICIT",IF(L120&lt;=0,"QUOTA_DEFICIT",IF(M120&lt;I120*0.5,"READY_WITH_RISK","READY")))</f>
        <v/>
      </c>
      <c r="P120" s="39" t="inlineStr">
        <is>
          <t>DR 30% bootstrap (ENV-005)</t>
        </is>
      </c>
    </row>
    <row r="121">
      <c r="A121" s="11" t="inlineStr">
        <is>
          <t>Switzerland North</t>
        </is>
      </c>
      <c r="B121" s="11" t="inlineStr">
        <is>
          <t>EU</t>
        </is>
      </c>
      <c r="C121" s="11" t="inlineStr">
        <is>
          <t>DR</t>
        </is>
      </c>
      <c r="D121" s="11" t="inlineStr">
        <is>
          <t>Standard_D8ads_v5</t>
        </is>
      </c>
      <c r="E121" s="11">
        <f>VLOOKUP(D121,SKU_Family_Map!$A:$B,2,FALSE)</f>
        <v/>
      </c>
      <c r="F121" s="11" t="inlineStr">
        <is>
          <t>crg-dr-chn-reg</t>
        </is>
      </c>
      <c r="G121" s="11" t="n">
        <v>8</v>
      </c>
      <c r="H121" s="29" t="n">
        <v>0</v>
      </c>
      <c r="I121" s="29" t="n">
        <v>8</v>
      </c>
      <c r="J121" s="52">
        <f>H121+I121</f>
        <v/>
      </c>
      <c r="K121" s="52">
        <f>J121-H121</f>
        <v/>
      </c>
      <c r="L121" s="52">
        <f>SUMIFS(Quota_Groups!$G:$G,Quota_Groups!$B:$B,A121,Quota_Groups!$D:$D,E121)</f>
        <v/>
      </c>
      <c r="M121" s="53">
        <f>MIN(K121,L121)</f>
        <v/>
      </c>
      <c r="N121" s="11">
        <f>IF(K121&lt;=L121,"CAPACITY","QUOTA")</f>
        <v/>
      </c>
      <c r="O121" s="11">
        <f>IF(K121&lt;=0,"RESERVATION_DEFICIT",IF(L121&lt;=0,"QUOTA_DEFICIT",IF(M121&lt;I121*0.5,"READY_WITH_RISK","READY")))</f>
        <v/>
      </c>
      <c r="P121" s="39" t="inlineStr">
        <is>
          <t>DR 30% bootstrap (ENV-005)</t>
        </is>
      </c>
    </row>
    <row r="122">
      <c r="A122" s="11" t="inlineStr">
        <is>
          <t>Switzerland North</t>
        </is>
      </c>
      <c r="B122" s="11" t="inlineStr">
        <is>
          <t>EU</t>
        </is>
      </c>
      <c r="C122" s="11" t="inlineStr">
        <is>
          <t>DR</t>
        </is>
      </c>
      <c r="D122" s="11" t="inlineStr">
        <is>
          <t>Standard_D16ads_v5</t>
        </is>
      </c>
      <c r="E122" s="11">
        <f>VLOOKUP(D122,SKU_Family_Map!$A:$B,2,FALSE)</f>
        <v/>
      </c>
      <c r="F122" s="11" t="inlineStr">
        <is>
          <t>crg-dr-chn-reg</t>
        </is>
      </c>
      <c r="G122" s="11" t="n">
        <v>16</v>
      </c>
      <c r="H122" s="29" t="n">
        <v>0</v>
      </c>
      <c r="I122" s="29" t="n">
        <v>8</v>
      </c>
      <c r="J122" s="52">
        <f>H122+I122</f>
        <v/>
      </c>
      <c r="K122" s="52">
        <f>J122-H122</f>
        <v/>
      </c>
      <c r="L122" s="52">
        <f>SUMIFS(Quota_Groups!$G:$G,Quota_Groups!$B:$B,A122,Quota_Groups!$D:$D,E122)</f>
        <v/>
      </c>
      <c r="M122" s="53">
        <f>MIN(K122,L122)</f>
        <v/>
      </c>
      <c r="N122" s="11">
        <f>IF(K122&lt;=L122,"CAPACITY","QUOTA")</f>
        <v/>
      </c>
      <c r="O122" s="11">
        <f>IF(K122&lt;=0,"RESERVATION_DEFICIT",IF(L122&lt;=0,"QUOTA_DEFICIT",IF(M122&lt;I122*0.5,"READY_WITH_RISK","READY")))</f>
        <v/>
      </c>
      <c r="P122" s="39" t="inlineStr">
        <is>
          <t>DR 30% bootstrap (ENV-005)</t>
        </is>
      </c>
    </row>
    <row r="123">
      <c r="A123" s="11" t="inlineStr">
        <is>
          <t>Switzerland North</t>
        </is>
      </c>
      <c r="B123" s="11" t="inlineStr">
        <is>
          <t>EU</t>
        </is>
      </c>
      <c r="C123" s="11" t="inlineStr">
        <is>
          <t>DR</t>
        </is>
      </c>
      <c r="D123" s="11" t="inlineStr">
        <is>
          <t>Standard_D8as_v5</t>
        </is>
      </c>
      <c r="E123" s="11">
        <f>VLOOKUP(D123,SKU_Family_Map!$A:$B,2,FALSE)</f>
        <v/>
      </c>
      <c r="F123" s="11" t="inlineStr">
        <is>
          <t>crg-dr-chn-reg</t>
        </is>
      </c>
      <c r="G123" s="11" t="n">
        <v>8</v>
      </c>
      <c r="H123" s="29" t="n">
        <v>0</v>
      </c>
      <c r="I123" s="29" t="n">
        <v>8</v>
      </c>
      <c r="J123" s="52">
        <f>H123+I123</f>
        <v/>
      </c>
      <c r="K123" s="52">
        <f>J123-H123</f>
        <v/>
      </c>
      <c r="L123" s="52">
        <f>SUMIFS(Quota_Groups!$G:$G,Quota_Groups!$B:$B,A123,Quota_Groups!$D:$D,E123)</f>
        <v/>
      </c>
      <c r="M123" s="53">
        <f>MIN(K123,L123)</f>
        <v/>
      </c>
      <c r="N123" s="11">
        <f>IF(K123&lt;=L123,"CAPACITY","QUOTA")</f>
        <v/>
      </c>
      <c r="O123" s="11">
        <f>IF(K123&lt;=0,"RESERVATION_DEFICIT",IF(L123&lt;=0,"QUOTA_DEFICIT",IF(M123&lt;I123*0.5,"READY_WITH_RISK","READY")))</f>
        <v/>
      </c>
      <c r="P123" s="39" t="inlineStr">
        <is>
          <t>DR 30% bootstrap (ENV-005)</t>
        </is>
      </c>
    </row>
    <row r="124">
      <c r="A124" s="11" t="inlineStr">
        <is>
          <t>Switzerland North</t>
        </is>
      </c>
      <c r="B124" s="11" t="inlineStr">
        <is>
          <t>EU</t>
        </is>
      </c>
      <c r="C124" s="11" t="inlineStr">
        <is>
          <t>DR</t>
        </is>
      </c>
      <c r="D124" s="11" t="inlineStr">
        <is>
          <t>Standard_D16as_v5</t>
        </is>
      </c>
      <c r="E124" s="11">
        <f>VLOOKUP(D124,SKU_Family_Map!$A:$B,2,FALSE)</f>
        <v/>
      </c>
      <c r="F124" s="11" t="inlineStr">
        <is>
          <t>crg-dr-chn-reg</t>
        </is>
      </c>
      <c r="G124" s="11" t="n">
        <v>16</v>
      </c>
      <c r="H124" s="29" t="n">
        <v>0</v>
      </c>
      <c r="I124" s="29" t="n">
        <v>8</v>
      </c>
      <c r="J124" s="52">
        <f>H124+I124</f>
        <v/>
      </c>
      <c r="K124" s="52">
        <f>J124-H124</f>
        <v/>
      </c>
      <c r="L124" s="52">
        <f>SUMIFS(Quota_Groups!$G:$G,Quota_Groups!$B:$B,A124,Quota_Groups!$D:$D,E124)</f>
        <v/>
      </c>
      <c r="M124" s="53">
        <f>MIN(K124,L124)</f>
        <v/>
      </c>
      <c r="N124" s="11">
        <f>IF(K124&lt;=L124,"CAPACITY","QUOTA")</f>
        <v/>
      </c>
      <c r="O124" s="11">
        <f>IF(K124&lt;=0,"RESERVATION_DEFICIT",IF(L124&lt;=0,"QUOTA_DEFICIT",IF(M124&lt;I124*0.5,"READY_WITH_RISK","READY")))</f>
        <v/>
      </c>
      <c r="P124" s="39" t="inlineStr">
        <is>
          <t>DR 30% bootstrap (ENV-005)</t>
        </is>
      </c>
    </row>
    <row r="125">
      <c r="A125" s="11" t="inlineStr">
        <is>
          <t>Sweden Central</t>
        </is>
      </c>
      <c r="B125" s="11" t="inlineStr">
        <is>
          <t>EU</t>
        </is>
      </c>
      <c r="C125" s="11" t="inlineStr">
        <is>
          <t>Prod</t>
        </is>
      </c>
      <c r="D125" s="11" t="inlineStr">
        <is>
          <t>Standard_E32ads_v5</t>
        </is>
      </c>
      <c r="E125" s="11">
        <f>VLOOKUP(D125,SKU_Family_Map!$A:$B,2,FALSE)</f>
        <v/>
      </c>
      <c r="F125" s="11" t="inlineStr">
        <is>
          <t>crg-pr-sec-reg</t>
        </is>
      </c>
      <c r="G125" s="11" t="n">
        <v>32</v>
      </c>
      <c r="H125" s="29" t="n">
        <v>64</v>
      </c>
      <c r="I125" s="29" t="n">
        <v>8</v>
      </c>
      <c r="J125" s="52">
        <f>H125+I125</f>
        <v/>
      </c>
      <c r="K125" s="52">
        <f>J125-H125</f>
        <v/>
      </c>
      <c r="L125" s="52">
        <f>SUMIFS(Quota_Groups!$G:$G,Quota_Groups!$B:$B,A125,Quota_Groups!$D:$D,E125)</f>
        <v/>
      </c>
      <c r="M125" s="53">
        <f>MIN(K125,L125)</f>
        <v/>
      </c>
      <c r="N125" s="11">
        <f>IF(K125&lt;=L125,"CAPACITY","QUOTA")</f>
        <v/>
      </c>
      <c r="O125" s="11">
        <f>IF(K125&lt;=0,"RESERVATION_DEFICIT",IF(L125&lt;=0,"QUOTA_DEFICIT",IF(M125&lt;I125*0.5,"READY_WITH_RISK","READY")))</f>
        <v/>
      </c>
      <c r="P125" s="39" t="inlineStr"/>
    </row>
    <row r="126">
      <c r="A126" s="11" t="inlineStr">
        <is>
          <t>Sweden Central</t>
        </is>
      </c>
      <c r="B126" s="11" t="inlineStr">
        <is>
          <t>EU</t>
        </is>
      </c>
      <c r="C126" s="11" t="inlineStr">
        <is>
          <t>Prod</t>
        </is>
      </c>
      <c r="D126" s="11" t="inlineStr">
        <is>
          <t>Standard_E64ads_v5</t>
        </is>
      </c>
      <c r="E126" s="11">
        <f>VLOOKUP(D126,SKU_Family_Map!$A:$B,2,FALSE)</f>
        <v/>
      </c>
      <c r="F126" s="11" t="inlineStr">
        <is>
          <t>crg-pr-sec-reg</t>
        </is>
      </c>
      <c r="G126" s="11" t="n">
        <v>64</v>
      </c>
      <c r="H126" s="29" t="n">
        <v>0</v>
      </c>
      <c r="I126" s="29" t="n">
        <v>8</v>
      </c>
      <c r="J126" s="52">
        <f>H126+I126</f>
        <v/>
      </c>
      <c r="K126" s="52">
        <f>J126-H126</f>
        <v/>
      </c>
      <c r="L126" s="52">
        <f>SUMIFS(Quota_Groups!$G:$G,Quota_Groups!$B:$B,A126,Quota_Groups!$D:$D,E126)</f>
        <v/>
      </c>
      <c r="M126" s="53">
        <f>MIN(K126,L126)</f>
        <v/>
      </c>
      <c r="N126" s="11">
        <f>IF(K126&lt;=L126,"CAPACITY","QUOTA")</f>
        <v/>
      </c>
      <c r="O126" s="11">
        <f>IF(K126&lt;=0,"RESERVATION_DEFICIT",IF(L126&lt;=0,"QUOTA_DEFICIT",IF(M126&lt;I126*0.5,"READY_WITH_RISK","READY")))</f>
        <v/>
      </c>
      <c r="P126" s="39" t="inlineStr"/>
    </row>
    <row r="127">
      <c r="A127" s="11" t="inlineStr">
        <is>
          <t>Sweden Central</t>
        </is>
      </c>
      <c r="B127" s="11" t="inlineStr">
        <is>
          <t>EU</t>
        </is>
      </c>
      <c r="C127" s="11" t="inlineStr">
        <is>
          <t>Prod</t>
        </is>
      </c>
      <c r="D127" s="11" t="inlineStr">
        <is>
          <t>Standard_E16ads_v5</t>
        </is>
      </c>
      <c r="E127" s="11">
        <f>VLOOKUP(D127,SKU_Family_Map!$A:$B,2,FALSE)</f>
        <v/>
      </c>
      <c r="F127" s="11" t="inlineStr">
        <is>
          <t>crg-pr-sec-reg</t>
        </is>
      </c>
      <c r="G127" s="11" t="n">
        <v>16</v>
      </c>
      <c r="H127" s="29" t="n">
        <v>96</v>
      </c>
      <c r="I127" s="29" t="n">
        <v>12</v>
      </c>
      <c r="J127" s="52">
        <f>H127+I127</f>
        <v/>
      </c>
      <c r="K127" s="52">
        <f>J127-H127</f>
        <v/>
      </c>
      <c r="L127" s="52">
        <f>SUMIFS(Quota_Groups!$G:$G,Quota_Groups!$B:$B,A127,Quota_Groups!$D:$D,E127)</f>
        <v/>
      </c>
      <c r="M127" s="53">
        <f>MIN(K127,L127)</f>
        <v/>
      </c>
      <c r="N127" s="11">
        <f>IF(K127&lt;=L127,"CAPACITY","QUOTA")</f>
        <v/>
      </c>
      <c r="O127" s="11">
        <f>IF(K127&lt;=0,"RESERVATION_DEFICIT",IF(L127&lt;=0,"QUOTA_DEFICIT",IF(M127&lt;I127*0.5,"READY_WITH_RISK","READY")))</f>
        <v/>
      </c>
      <c r="P127" s="39" t="inlineStr"/>
    </row>
    <row r="128">
      <c r="A128" s="11" t="inlineStr">
        <is>
          <t>Sweden Central</t>
        </is>
      </c>
      <c r="B128" s="11" t="inlineStr">
        <is>
          <t>EU</t>
        </is>
      </c>
      <c r="C128" s="11" t="inlineStr">
        <is>
          <t>Prod</t>
        </is>
      </c>
      <c r="D128" s="11" t="inlineStr">
        <is>
          <t>Standard_E32ads_v6</t>
        </is>
      </c>
      <c r="E128" s="11">
        <f>VLOOKUP(D128,SKU_Family_Map!$A:$B,2,FALSE)</f>
        <v/>
      </c>
      <c r="F128" s="11" t="inlineStr">
        <is>
          <t>crg-pr-sec-reg</t>
        </is>
      </c>
      <c r="G128" s="11" t="n">
        <v>32</v>
      </c>
      <c r="H128" s="29" t="n">
        <v>768</v>
      </c>
      <c r="I128" s="29" t="n">
        <v>92</v>
      </c>
      <c r="J128" s="52">
        <f>H128+I128</f>
        <v/>
      </c>
      <c r="K128" s="52">
        <f>J128-H128</f>
        <v/>
      </c>
      <c r="L128" s="52">
        <f>SUMIFS(Quota_Groups!$G:$G,Quota_Groups!$B:$B,A128,Quota_Groups!$D:$D,E128)</f>
        <v/>
      </c>
      <c r="M128" s="53">
        <f>MIN(K128,L128)</f>
        <v/>
      </c>
      <c r="N128" s="11">
        <f>IF(K128&lt;=L128,"CAPACITY","QUOTA")</f>
        <v/>
      </c>
      <c r="O128" s="11">
        <f>IF(K128&lt;=0,"RESERVATION_DEFICIT",IF(L128&lt;=0,"QUOTA_DEFICIT",IF(M128&lt;I128*0.5,"READY_WITH_RISK","READY")))</f>
        <v/>
      </c>
      <c r="P128" s="39" t="inlineStr"/>
    </row>
    <row r="129">
      <c r="A129" s="11" t="inlineStr">
        <is>
          <t>Sweden Central</t>
        </is>
      </c>
      <c r="B129" s="11" t="inlineStr">
        <is>
          <t>EU</t>
        </is>
      </c>
      <c r="C129" s="11" t="inlineStr">
        <is>
          <t>Prod</t>
        </is>
      </c>
      <c r="D129" s="11" t="inlineStr">
        <is>
          <t>Standard_D8ads_v5</t>
        </is>
      </c>
      <c r="E129" s="11">
        <f>VLOOKUP(D129,SKU_Family_Map!$A:$B,2,FALSE)</f>
        <v/>
      </c>
      <c r="F129" s="11" t="inlineStr">
        <is>
          <t>crg-pr-sec-reg</t>
        </is>
      </c>
      <c r="G129" s="11" t="n">
        <v>8</v>
      </c>
      <c r="H129" s="29" t="n">
        <v>0</v>
      </c>
      <c r="I129" s="29" t="n">
        <v>8</v>
      </c>
      <c r="J129" s="52">
        <f>H129+I129</f>
        <v/>
      </c>
      <c r="K129" s="52">
        <f>J129-H129</f>
        <v/>
      </c>
      <c r="L129" s="52">
        <f>SUMIFS(Quota_Groups!$G:$G,Quota_Groups!$B:$B,A129,Quota_Groups!$D:$D,E129)</f>
        <v/>
      </c>
      <c r="M129" s="53">
        <f>MIN(K129,L129)</f>
        <v/>
      </c>
      <c r="N129" s="11">
        <f>IF(K129&lt;=L129,"CAPACITY","QUOTA")</f>
        <v/>
      </c>
      <c r="O129" s="11">
        <f>IF(K129&lt;=0,"RESERVATION_DEFICIT",IF(L129&lt;=0,"QUOTA_DEFICIT",IF(M129&lt;I129*0.5,"READY_WITH_RISK","READY")))</f>
        <v/>
      </c>
      <c r="P129" s="39" t="inlineStr"/>
    </row>
    <row r="130">
      <c r="A130" s="11" t="inlineStr">
        <is>
          <t>Sweden Central</t>
        </is>
      </c>
      <c r="B130" s="11" t="inlineStr">
        <is>
          <t>EU</t>
        </is>
      </c>
      <c r="C130" s="11" t="inlineStr">
        <is>
          <t>Prod</t>
        </is>
      </c>
      <c r="D130" s="11" t="inlineStr">
        <is>
          <t>Standard_D16ads_v5</t>
        </is>
      </c>
      <c r="E130" s="11">
        <f>VLOOKUP(D130,SKU_Family_Map!$A:$B,2,FALSE)</f>
        <v/>
      </c>
      <c r="F130" s="11" t="inlineStr">
        <is>
          <t>crg-pr-sec-reg</t>
        </is>
      </c>
      <c r="G130" s="11" t="n">
        <v>16</v>
      </c>
      <c r="H130" s="29" t="n">
        <v>0</v>
      </c>
      <c r="I130" s="29" t="n">
        <v>8</v>
      </c>
      <c r="J130" s="52">
        <f>H130+I130</f>
        <v/>
      </c>
      <c r="K130" s="52">
        <f>J130-H130</f>
        <v/>
      </c>
      <c r="L130" s="52">
        <f>SUMIFS(Quota_Groups!$G:$G,Quota_Groups!$B:$B,A130,Quota_Groups!$D:$D,E130)</f>
        <v/>
      </c>
      <c r="M130" s="53">
        <f>MIN(K130,L130)</f>
        <v/>
      </c>
      <c r="N130" s="11">
        <f>IF(K130&lt;=L130,"CAPACITY","QUOTA")</f>
        <v/>
      </c>
      <c r="O130" s="11">
        <f>IF(K130&lt;=0,"RESERVATION_DEFICIT",IF(L130&lt;=0,"QUOTA_DEFICIT",IF(M130&lt;I130*0.5,"READY_WITH_RISK","READY")))</f>
        <v/>
      </c>
      <c r="P130" s="39" t="inlineStr"/>
    </row>
    <row r="131">
      <c r="A131" s="11" t="inlineStr">
        <is>
          <t>Sweden Central</t>
        </is>
      </c>
      <c r="B131" s="11" t="inlineStr">
        <is>
          <t>EU</t>
        </is>
      </c>
      <c r="C131" s="11" t="inlineStr">
        <is>
          <t>Prod</t>
        </is>
      </c>
      <c r="D131" s="11" t="inlineStr">
        <is>
          <t>Standard_D8as_v5</t>
        </is>
      </c>
      <c r="E131" s="11">
        <f>VLOOKUP(D131,SKU_Family_Map!$A:$B,2,FALSE)</f>
        <v/>
      </c>
      <c r="F131" s="11" t="inlineStr">
        <is>
          <t>crg-pr-sec-reg</t>
        </is>
      </c>
      <c r="G131" s="11" t="n">
        <v>8</v>
      </c>
      <c r="H131" s="29" t="n">
        <v>0</v>
      </c>
      <c r="I131" s="29" t="n">
        <v>8</v>
      </c>
      <c r="J131" s="52">
        <f>H131+I131</f>
        <v/>
      </c>
      <c r="K131" s="52">
        <f>J131-H131</f>
        <v/>
      </c>
      <c r="L131" s="52">
        <f>SUMIFS(Quota_Groups!$G:$G,Quota_Groups!$B:$B,A131,Quota_Groups!$D:$D,E131)</f>
        <v/>
      </c>
      <c r="M131" s="53">
        <f>MIN(K131,L131)</f>
        <v/>
      </c>
      <c r="N131" s="11">
        <f>IF(K131&lt;=L131,"CAPACITY","QUOTA")</f>
        <v/>
      </c>
      <c r="O131" s="11">
        <f>IF(K131&lt;=0,"RESERVATION_DEFICIT",IF(L131&lt;=0,"QUOTA_DEFICIT",IF(M131&lt;I131*0.5,"READY_WITH_RISK","READY")))</f>
        <v/>
      </c>
      <c r="P131" s="39" t="inlineStr"/>
    </row>
    <row r="132">
      <c r="A132" s="11" t="inlineStr">
        <is>
          <t>Sweden Central</t>
        </is>
      </c>
      <c r="B132" s="11" t="inlineStr">
        <is>
          <t>EU</t>
        </is>
      </c>
      <c r="C132" s="11" t="inlineStr">
        <is>
          <t>Prod</t>
        </is>
      </c>
      <c r="D132" s="11" t="inlineStr">
        <is>
          <t>Standard_D16as_v5</t>
        </is>
      </c>
      <c r="E132" s="11">
        <f>VLOOKUP(D132,SKU_Family_Map!$A:$B,2,FALSE)</f>
        <v/>
      </c>
      <c r="F132" s="11" t="inlineStr">
        <is>
          <t>crg-pr-sec-reg</t>
        </is>
      </c>
      <c r="G132" s="11" t="n">
        <v>16</v>
      </c>
      <c r="H132" s="29" t="n">
        <v>0</v>
      </c>
      <c r="I132" s="29" t="n">
        <v>8</v>
      </c>
      <c r="J132" s="52">
        <f>H132+I132</f>
        <v/>
      </c>
      <c r="K132" s="52">
        <f>J132-H132</f>
        <v/>
      </c>
      <c r="L132" s="52">
        <f>SUMIFS(Quota_Groups!$G:$G,Quota_Groups!$B:$B,A132,Quota_Groups!$D:$D,E132)</f>
        <v/>
      </c>
      <c r="M132" s="53">
        <f>MIN(K132,L132)</f>
        <v/>
      </c>
      <c r="N132" s="11">
        <f>IF(K132&lt;=L132,"CAPACITY","QUOTA")</f>
        <v/>
      </c>
      <c r="O132" s="11">
        <f>IF(K132&lt;=0,"RESERVATION_DEFICIT",IF(L132&lt;=0,"QUOTA_DEFICIT",IF(M132&lt;I132*0.5,"READY_WITH_RISK","READY")))</f>
        <v/>
      </c>
      <c r="P132" s="39" t="inlineStr"/>
    </row>
    <row r="133">
      <c r="A133" s="11" t="inlineStr">
        <is>
          <t>Sweden Central</t>
        </is>
      </c>
      <c r="B133" s="11" t="inlineStr">
        <is>
          <t>EU</t>
        </is>
      </c>
      <c r="C133" s="11" t="inlineStr">
        <is>
          <t>NonProd</t>
        </is>
      </c>
      <c r="D133" s="11" t="inlineStr">
        <is>
          <t>Standard_E32ads_v5</t>
        </is>
      </c>
      <c r="E133" s="11">
        <f>VLOOKUP(D133,SKU_Family_Map!$A:$B,2,FALSE)</f>
        <v/>
      </c>
      <c r="F133" s="11" t="inlineStr">
        <is>
          <t>crg-np-sec-reg</t>
        </is>
      </c>
      <c r="G133" s="11" t="n">
        <v>32</v>
      </c>
      <c r="H133" s="29" t="n">
        <v>64</v>
      </c>
      <c r="I133" s="29" t="n">
        <v>8</v>
      </c>
      <c r="J133" s="52">
        <f>H133+I133</f>
        <v/>
      </c>
      <c r="K133" s="52">
        <f>J133-H133</f>
        <v/>
      </c>
      <c r="L133" s="52">
        <f>SUMIFS(Quota_Groups!$G:$G,Quota_Groups!$B:$B,A133,Quota_Groups!$D:$D,E133)</f>
        <v/>
      </c>
      <c r="M133" s="53">
        <f>MIN(K133,L133)</f>
        <v/>
      </c>
      <c r="N133" s="11">
        <f>IF(K133&lt;=L133,"CAPACITY","QUOTA")</f>
        <v/>
      </c>
      <c r="O133" s="11">
        <f>IF(K133&lt;=0,"RESERVATION_DEFICIT",IF(L133&lt;=0,"QUOTA_DEFICIT",IF(M133&lt;I133*0.5,"READY_WITH_RISK","READY")))</f>
        <v/>
      </c>
      <c r="P133" s="39" t="inlineStr"/>
    </row>
    <row r="134">
      <c r="A134" s="11" t="inlineStr">
        <is>
          <t>Sweden Central</t>
        </is>
      </c>
      <c r="B134" s="11" t="inlineStr">
        <is>
          <t>EU</t>
        </is>
      </c>
      <c r="C134" s="11" t="inlineStr">
        <is>
          <t>NonProd</t>
        </is>
      </c>
      <c r="D134" s="11" t="inlineStr">
        <is>
          <t>Standard_E64ads_v5</t>
        </is>
      </c>
      <c r="E134" s="11">
        <f>VLOOKUP(D134,SKU_Family_Map!$A:$B,2,FALSE)</f>
        <v/>
      </c>
      <c r="F134" s="11" t="inlineStr">
        <is>
          <t>crg-np-sec-reg</t>
        </is>
      </c>
      <c r="G134" s="11" t="n">
        <v>64</v>
      </c>
      <c r="H134" s="29" t="n">
        <v>0</v>
      </c>
      <c r="I134" s="29" t="n">
        <v>8</v>
      </c>
      <c r="J134" s="52">
        <f>H134+I134</f>
        <v/>
      </c>
      <c r="K134" s="52">
        <f>J134-H134</f>
        <v/>
      </c>
      <c r="L134" s="52">
        <f>SUMIFS(Quota_Groups!$G:$G,Quota_Groups!$B:$B,A134,Quota_Groups!$D:$D,E134)</f>
        <v/>
      </c>
      <c r="M134" s="53">
        <f>MIN(K134,L134)</f>
        <v/>
      </c>
      <c r="N134" s="11">
        <f>IF(K134&lt;=L134,"CAPACITY","QUOTA")</f>
        <v/>
      </c>
      <c r="O134" s="11">
        <f>IF(K134&lt;=0,"RESERVATION_DEFICIT",IF(L134&lt;=0,"QUOTA_DEFICIT",IF(M134&lt;I134*0.5,"READY_WITH_RISK","READY")))</f>
        <v/>
      </c>
      <c r="P134" s="39" t="inlineStr"/>
    </row>
    <row r="135">
      <c r="A135" s="11" t="inlineStr">
        <is>
          <t>Sweden Central</t>
        </is>
      </c>
      <c r="B135" s="11" t="inlineStr">
        <is>
          <t>EU</t>
        </is>
      </c>
      <c r="C135" s="11" t="inlineStr">
        <is>
          <t>NonProd</t>
        </is>
      </c>
      <c r="D135" s="11" t="inlineStr">
        <is>
          <t>Standard_E16ads_v5</t>
        </is>
      </c>
      <c r="E135" s="11">
        <f>VLOOKUP(D135,SKU_Family_Map!$A:$B,2,FALSE)</f>
        <v/>
      </c>
      <c r="F135" s="11" t="inlineStr">
        <is>
          <t>crg-np-sec-reg</t>
        </is>
      </c>
      <c r="G135" s="11" t="n">
        <v>16</v>
      </c>
      <c r="H135" s="29" t="n">
        <v>96</v>
      </c>
      <c r="I135" s="29" t="n">
        <v>12</v>
      </c>
      <c r="J135" s="52">
        <f>H135+I135</f>
        <v/>
      </c>
      <c r="K135" s="52">
        <f>J135-H135</f>
        <v/>
      </c>
      <c r="L135" s="52">
        <f>SUMIFS(Quota_Groups!$G:$G,Quota_Groups!$B:$B,A135,Quota_Groups!$D:$D,E135)</f>
        <v/>
      </c>
      <c r="M135" s="53">
        <f>MIN(K135,L135)</f>
        <v/>
      </c>
      <c r="N135" s="11">
        <f>IF(K135&lt;=L135,"CAPACITY","QUOTA")</f>
        <v/>
      </c>
      <c r="O135" s="11">
        <f>IF(K135&lt;=0,"RESERVATION_DEFICIT",IF(L135&lt;=0,"QUOTA_DEFICIT",IF(M135&lt;I135*0.5,"READY_WITH_RISK","READY")))</f>
        <v/>
      </c>
      <c r="P135" s="39" t="inlineStr"/>
    </row>
    <row r="136">
      <c r="A136" s="11" t="inlineStr">
        <is>
          <t>Sweden Central</t>
        </is>
      </c>
      <c r="B136" s="11" t="inlineStr">
        <is>
          <t>EU</t>
        </is>
      </c>
      <c r="C136" s="11" t="inlineStr">
        <is>
          <t>NonProd</t>
        </is>
      </c>
      <c r="D136" s="11" t="inlineStr">
        <is>
          <t>Standard_E32ads_v6</t>
        </is>
      </c>
      <c r="E136" s="11">
        <f>VLOOKUP(D136,SKU_Family_Map!$A:$B,2,FALSE)</f>
        <v/>
      </c>
      <c r="F136" s="11" t="inlineStr">
        <is>
          <t>crg-np-sec-reg</t>
        </is>
      </c>
      <c r="G136" s="11" t="n">
        <v>32</v>
      </c>
      <c r="H136" s="29" t="n">
        <v>768</v>
      </c>
      <c r="I136" s="29" t="n">
        <v>92</v>
      </c>
      <c r="J136" s="52">
        <f>H136+I136</f>
        <v/>
      </c>
      <c r="K136" s="52">
        <f>J136-H136</f>
        <v/>
      </c>
      <c r="L136" s="52">
        <f>SUMIFS(Quota_Groups!$G:$G,Quota_Groups!$B:$B,A136,Quota_Groups!$D:$D,E136)</f>
        <v/>
      </c>
      <c r="M136" s="53">
        <f>MIN(K136,L136)</f>
        <v/>
      </c>
      <c r="N136" s="11">
        <f>IF(K136&lt;=L136,"CAPACITY","QUOTA")</f>
        <v/>
      </c>
      <c r="O136" s="11">
        <f>IF(K136&lt;=0,"RESERVATION_DEFICIT",IF(L136&lt;=0,"QUOTA_DEFICIT",IF(M136&lt;I136*0.5,"READY_WITH_RISK","READY")))</f>
        <v/>
      </c>
      <c r="P136" s="39" t="inlineStr"/>
    </row>
    <row r="137">
      <c r="A137" s="11" t="inlineStr">
        <is>
          <t>Sweden Central</t>
        </is>
      </c>
      <c r="B137" s="11" t="inlineStr">
        <is>
          <t>EU</t>
        </is>
      </c>
      <c r="C137" s="11" t="inlineStr">
        <is>
          <t>NonProd</t>
        </is>
      </c>
      <c r="D137" s="11" t="inlineStr">
        <is>
          <t>Standard_D8ads_v5</t>
        </is>
      </c>
      <c r="E137" s="11">
        <f>VLOOKUP(D137,SKU_Family_Map!$A:$B,2,FALSE)</f>
        <v/>
      </c>
      <c r="F137" s="11" t="inlineStr">
        <is>
          <t>crg-np-sec-reg</t>
        </is>
      </c>
      <c r="G137" s="11" t="n">
        <v>8</v>
      </c>
      <c r="H137" s="29" t="n">
        <v>0</v>
      </c>
      <c r="I137" s="29" t="n">
        <v>8</v>
      </c>
      <c r="J137" s="52">
        <f>H137+I137</f>
        <v/>
      </c>
      <c r="K137" s="52">
        <f>J137-H137</f>
        <v/>
      </c>
      <c r="L137" s="52">
        <f>SUMIFS(Quota_Groups!$G:$G,Quota_Groups!$B:$B,A137,Quota_Groups!$D:$D,E137)</f>
        <v/>
      </c>
      <c r="M137" s="53">
        <f>MIN(K137,L137)</f>
        <v/>
      </c>
      <c r="N137" s="11">
        <f>IF(K137&lt;=L137,"CAPACITY","QUOTA")</f>
        <v/>
      </c>
      <c r="O137" s="11">
        <f>IF(K137&lt;=0,"RESERVATION_DEFICIT",IF(L137&lt;=0,"QUOTA_DEFICIT",IF(M137&lt;I137*0.5,"READY_WITH_RISK","READY")))</f>
        <v/>
      </c>
      <c r="P137" s="39" t="inlineStr"/>
    </row>
    <row r="138">
      <c r="A138" s="11" t="inlineStr">
        <is>
          <t>Sweden Central</t>
        </is>
      </c>
      <c r="B138" s="11" t="inlineStr">
        <is>
          <t>EU</t>
        </is>
      </c>
      <c r="C138" s="11" t="inlineStr">
        <is>
          <t>NonProd</t>
        </is>
      </c>
      <c r="D138" s="11" t="inlineStr">
        <is>
          <t>Standard_D16ads_v5</t>
        </is>
      </c>
      <c r="E138" s="11">
        <f>VLOOKUP(D138,SKU_Family_Map!$A:$B,2,FALSE)</f>
        <v/>
      </c>
      <c r="F138" s="11" t="inlineStr">
        <is>
          <t>crg-np-sec-reg</t>
        </is>
      </c>
      <c r="G138" s="11" t="n">
        <v>16</v>
      </c>
      <c r="H138" s="29" t="n">
        <v>0</v>
      </c>
      <c r="I138" s="29" t="n">
        <v>8</v>
      </c>
      <c r="J138" s="52">
        <f>H138+I138</f>
        <v/>
      </c>
      <c r="K138" s="52">
        <f>J138-H138</f>
        <v/>
      </c>
      <c r="L138" s="52">
        <f>SUMIFS(Quota_Groups!$G:$G,Quota_Groups!$B:$B,A138,Quota_Groups!$D:$D,E138)</f>
        <v/>
      </c>
      <c r="M138" s="53">
        <f>MIN(K138,L138)</f>
        <v/>
      </c>
      <c r="N138" s="11">
        <f>IF(K138&lt;=L138,"CAPACITY","QUOTA")</f>
        <v/>
      </c>
      <c r="O138" s="11">
        <f>IF(K138&lt;=0,"RESERVATION_DEFICIT",IF(L138&lt;=0,"QUOTA_DEFICIT",IF(M138&lt;I138*0.5,"READY_WITH_RISK","READY")))</f>
        <v/>
      </c>
      <c r="P138" s="39" t="inlineStr"/>
    </row>
    <row r="139">
      <c r="A139" s="11" t="inlineStr">
        <is>
          <t>Sweden Central</t>
        </is>
      </c>
      <c r="B139" s="11" t="inlineStr">
        <is>
          <t>EU</t>
        </is>
      </c>
      <c r="C139" s="11" t="inlineStr">
        <is>
          <t>NonProd</t>
        </is>
      </c>
      <c r="D139" s="11" t="inlineStr">
        <is>
          <t>Standard_D8as_v5</t>
        </is>
      </c>
      <c r="E139" s="11">
        <f>VLOOKUP(D139,SKU_Family_Map!$A:$B,2,FALSE)</f>
        <v/>
      </c>
      <c r="F139" s="11" t="inlineStr">
        <is>
          <t>crg-np-sec-reg</t>
        </is>
      </c>
      <c r="G139" s="11" t="n">
        <v>8</v>
      </c>
      <c r="H139" s="29" t="n">
        <v>0</v>
      </c>
      <c r="I139" s="29" t="n">
        <v>8</v>
      </c>
      <c r="J139" s="52">
        <f>H139+I139</f>
        <v/>
      </c>
      <c r="K139" s="52">
        <f>J139-H139</f>
        <v/>
      </c>
      <c r="L139" s="52">
        <f>SUMIFS(Quota_Groups!$G:$G,Quota_Groups!$B:$B,A139,Quota_Groups!$D:$D,E139)</f>
        <v/>
      </c>
      <c r="M139" s="53">
        <f>MIN(K139,L139)</f>
        <v/>
      </c>
      <c r="N139" s="11">
        <f>IF(K139&lt;=L139,"CAPACITY","QUOTA")</f>
        <v/>
      </c>
      <c r="O139" s="11">
        <f>IF(K139&lt;=0,"RESERVATION_DEFICIT",IF(L139&lt;=0,"QUOTA_DEFICIT",IF(M139&lt;I139*0.5,"READY_WITH_RISK","READY")))</f>
        <v/>
      </c>
      <c r="P139" s="39" t="inlineStr"/>
    </row>
    <row r="140">
      <c r="A140" s="11" t="inlineStr">
        <is>
          <t>Sweden Central</t>
        </is>
      </c>
      <c r="B140" s="11" t="inlineStr">
        <is>
          <t>EU</t>
        </is>
      </c>
      <c r="C140" s="11" t="inlineStr">
        <is>
          <t>NonProd</t>
        </is>
      </c>
      <c r="D140" s="11" t="inlineStr">
        <is>
          <t>Standard_D16as_v5</t>
        </is>
      </c>
      <c r="E140" s="11">
        <f>VLOOKUP(D140,SKU_Family_Map!$A:$B,2,FALSE)</f>
        <v/>
      </c>
      <c r="F140" s="11" t="inlineStr">
        <is>
          <t>crg-np-sec-reg</t>
        </is>
      </c>
      <c r="G140" s="11" t="n">
        <v>16</v>
      </c>
      <c r="H140" s="29" t="n">
        <v>0</v>
      </c>
      <c r="I140" s="29" t="n">
        <v>8</v>
      </c>
      <c r="J140" s="52">
        <f>H140+I140</f>
        <v/>
      </c>
      <c r="K140" s="52">
        <f>J140-H140</f>
        <v/>
      </c>
      <c r="L140" s="52">
        <f>SUMIFS(Quota_Groups!$G:$G,Quota_Groups!$B:$B,A140,Quota_Groups!$D:$D,E140)</f>
        <v/>
      </c>
      <c r="M140" s="53">
        <f>MIN(K140,L140)</f>
        <v/>
      </c>
      <c r="N140" s="11">
        <f>IF(K140&lt;=L140,"CAPACITY","QUOTA")</f>
        <v/>
      </c>
      <c r="O140" s="11">
        <f>IF(K140&lt;=0,"RESERVATION_DEFICIT",IF(L140&lt;=0,"QUOTA_DEFICIT",IF(M140&lt;I140*0.5,"READY_WITH_RISK","READY")))</f>
        <v/>
      </c>
      <c r="P140" s="39" t="inlineStr"/>
    </row>
    <row r="141">
      <c r="A141" s="11" t="inlineStr">
        <is>
          <t>Sweden Central</t>
        </is>
      </c>
      <c r="B141" s="11" t="inlineStr">
        <is>
          <t>EU</t>
        </is>
      </c>
      <c r="C141" s="11" t="inlineStr">
        <is>
          <t>DR</t>
        </is>
      </c>
      <c r="D141" s="11" t="inlineStr">
        <is>
          <t>Standard_E32ads_v5</t>
        </is>
      </c>
      <c r="E141" s="11">
        <f>VLOOKUP(D141,SKU_Family_Map!$A:$B,2,FALSE)</f>
        <v/>
      </c>
      <c r="F141" s="11" t="inlineStr">
        <is>
          <t>crg-dr-sec-reg</t>
        </is>
      </c>
      <c r="G141" s="11" t="n">
        <v>32</v>
      </c>
      <c r="H141" s="29" t="n">
        <v>19</v>
      </c>
      <c r="I141" s="29" t="n">
        <v>8</v>
      </c>
      <c r="J141" s="52">
        <f>H141+I141</f>
        <v/>
      </c>
      <c r="K141" s="52">
        <f>J141-H141</f>
        <v/>
      </c>
      <c r="L141" s="52">
        <f>SUMIFS(Quota_Groups!$G:$G,Quota_Groups!$B:$B,A141,Quota_Groups!$D:$D,E141)</f>
        <v/>
      </c>
      <c r="M141" s="53">
        <f>MIN(K141,L141)</f>
        <v/>
      </c>
      <c r="N141" s="11">
        <f>IF(K141&lt;=L141,"CAPACITY","QUOTA")</f>
        <v/>
      </c>
      <c r="O141" s="11">
        <f>IF(K141&lt;=0,"RESERVATION_DEFICIT",IF(L141&lt;=0,"QUOTA_DEFICIT",IF(M141&lt;I141*0.5,"READY_WITH_RISK","READY")))</f>
        <v/>
      </c>
      <c r="P141" s="39" t="inlineStr">
        <is>
          <t>DR 30% bootstrap (ENV-005)</t>
        </is>
      </c>
    </row>
    <row r="142">
      <c r="A142" s="11" t="inlineStr">
        <is>
          <t>Sweden Central</t>
        </is>
      </c>
      <c r="B142" s="11" t="inlineStr">
        <is>
          <t>EU</t>
        </is>
      </c>
      <c r="C142" s="11" t="inlineStr">
        <is>
          <t>DR</t>
        </is>
      </c>
      <c r="D142" s="11" t="inlineStr">
        <is>
          <t>Standard_E64ads_v5</t>
        </is>
      </c>
      <c r="E142" s="11">
        <f>VLOOKUP(D142,SKU_Family_Map!$A:$B,2,FALSE)</f>
        <v/>
      </c>
      <c r="F142" s="11" t="inlineStr">
        <is>
          <t>crg-dr-sec-reg</t>
        </is>
      </c>
      <c r="G142" s="11" t="n">
        <v>64</v>
      </c>
      <c r="H142" s="29" t="n">
        <v>0</v>
      </c>
      <c r="I142" s="29" t="n">
        <v>8</v>
      </c>
      <c r="J142" s="52">
        <f>H142+I142</f>
        <v/>
      </c>
      <c r="K142" s="52">
        <f>J142-H142</f>
        <v/>
      </c>
      <c r="L142" s="52">
        <f>SUMIFS(Quota_Groups!$G:$G,Quota_Groups!$B:$B,A142,Quota_Groups!$D:$D,E142)</f>
        <v/>
      </c>
      <c r="M142" s="53">
        <f>MIN(K142,L142)</f>
        <v/>
      </c>
      <c r="N142" s="11">
        <f>IF(K142&lt;=L142,"CAPACITY","QUOTA")</f>
        <v/>
      </c>
      <c r="O142" s="11">
        <f>IF(K142&lt;=0,"RESERVATION_DEFICIT",IF(L142&lt;=0,"QUOTA_DEFICIT",IF(M142&lt;I142*0.5,"READY_WITH_RISK","READY")))</f>
        <v/>
      </c>
      <c r="P142" s="39" t="inlineStr">
        <is>
          <t>DR 30% bootstrap (ENV-005)</t>
        </is>
      </c>
    </row>
    <row r="143">
      <c r="A143" s="11" t="inlineStr">
        <is>
          <t>Sweden Central</t>
        </is>
      </c>
      <c r="B143" s="11" t="inlineStr">
        <is>
          <t>EU</t>
        </is>
      </c>
      <c r="C143" s="11" t="inlineStr">
        <is>
          <t>DR</t>
        </is>
      </c>
      <c r="D143" s="11" t="inlineStr">
        <is>
          <t>Standard_E16ads_v5</t>
        </is>
      </c>
      <c r="E143" s="11">
        <f>VLOOKUP(D143,SKU_Family_Map!$A:$B,2,FALSE)</f>
        <v/>
      </c>
      <c r="F143" s="11" t="inlineStr">
        <is>
          <t>crg-dr-sec-reg</t>
        </is>
      </c>
      <c r="G143" s="11" t="n">
        <v>16</v>
      </c>
      <c r="H143" s="29" t="n">
        <v>29</v>
      </c>
      <c r="I143" s="29" t="n">
        <v>8</v>
      </c>
      <c r="J143" s="52">
        <f>H143+I143</f>
        <v/>
      </c>
      <c r="K143" s="52">
        <f>J143-H143</f>
        <v/>
      </c>
      <c r="L143" s="52">
        <f>SUMIFS(Quota_Groups!$G:$G,Quota_Groups!$B:$B,A143,Quota_Groups!$D:$D,E143)</f>
        <v/>
      </c>
      <c r="M143" s="53">
        <f>MIN(K143,L143)</f>
        <v/>
      </c>
      <c r="N143" s="11">
        <f>IF(K143&lt;=L143,"CAPACITY","QUOTA")</f>
        <v/>
      </c>
      <c r="O143" s="11">
        <f>IF(K143&lt;=0,"RESERVATION_DEFICIT",IF(L143&lt;=0,"QUOTA_DEFICIT",IF(M143&lt;I143*0.5,"READY_WITH_RISK","READY")))</f>
        <v/>
      </c>
      <c r="P143" s="39" t="inlineStr">
        <is>
          <t>DR 30% bootstrap (ENV-005)</t>
        </is>
      </c>
    </row>
    <row r="144">
      <c r="A144" s="11" t="inlineStr">
        <is>
          <t>Sweden Central</t>
        </is>
      </c>
      <c r="B144" s="11" t="inlineStr">
        <is>
          <t>EU</t>
        </is>
      </c>
      <c r="C144" s="11" t="inlineStr">
        <is>
          <t>DR</t>
        </is>
      </c>
      <c r="D144" s="11" t="inlineStr">
        <is>
          <t>Standard_E32ads_v6</t>
        </is>
      </c>
      <c r="E144" s="11">
        <f>VLOOKUP(D144,SKU_Family_Map!$A:$B,2,FALSE)</f>
        <v/>
      </c>
      <c r="F144" s="11" t="inlineStr">
        <is>
          <t>crg-dr-sec-reg</t>
        </is>
      </c>
      <c r="G144" s="11" t="n">
        <v>32</v>
      </c>
      <c r="H144" s="29" t="n">
        <v>230</v>
      </c>
      <c r="I144" s="29" t="n">
        <v>28</v>
      </c>
      <c r="J144" s="52">
        <f>H144+I144</f>
        <v/>
      </c>
      <c r="K144" s="52">
        <f>J144-H144</f>
        <v/>
      </c>
      <c r="L144" s="52">
        <f>SUMIFS(Quota_Groups!$G:$G,Quota_Groups!$B:$B,A144,Quota_Groups!$D:$D,E144)</f>
        <v/>
      </c>
      <c r="M144" s="53">
        <f>MIN(K144,L144)</f>
        <v/>
      </c>
      <c r="N144" s="11">
        <f>IF(K144&lt;=L144,"CAPACITY","QUOTA")</f>
        <v/>
      </c>
      <c r="O144" s="11">
        <f>IF(K144&lt;=0,"RESERVATION_DEFICIT",IF(L144&lt;=0,"QUOTA_DEFICIT",IF(M144&lt;I144*0.5,"READY_WITH_RISK","READY")))</f>
        <v/>
      </c>
      <c r="P144" s="39" t="inlineStr">
        <is>
          <t>DR 30% bootstrap (ENV-005)</t>
        </is>
      </c>
    </row>
    <row r="145">
      <c r="A145" s="11" t="inlineStr">
        <is>
          <t>Sweden Central</t>
        </is>
      </c>
      <c r="B145" s="11" t="inlineStr">
        <is>
          <t>EU</t>
        </is>
      </c>
      <c r="C145" s="11" t="inlineStr">
        <is>
          <t>DR</t>
        </is>
      </c>
      <c r="D145" s="11" t="inlineStr">
        <is>
          <t>Standard_D8ads_v5</t>
        </is>
      </c>
      <c r="E145" s="11">
        <f>VLOOKUP(D145,SKU_Family_Map!$A:$B,2,FALSE)</f>
        <v/>
      </c>
      <c r="F145" s="11" t="inlineStr">
        <is>
          <t>crg-dr-sec-reg</t>
        </is>
      </c>
      <c r="G145" s="11" t="n">
        <v>8</v>
      </c>
      <c r="H145" s="29" t="n">
        <v>0</v>
      </c>
      <c r="I145" s="29" t="n">
        <v>8</v>
      </c>
      <c r="J145" s="52">
        <f>H145+I145</f>
        <v/>
      </c>
      <c r="K145" s="52">
        <f>J145-H145</f>
        <v/>
      </c>
      <c r="L145" s="52">
        <f>SUMIFS(Quota_Groups!$G:$G,Quota_Groups!$B:$B,A145,Quota_Groups!$D:$D,E145)</f>
        <v/>
      </c>
      <c r="M145" s="53">
        <f>MIN(K145,L145)</f>
        <v/>
      </c>
      <c r="N145" s="11">
        <f>IF(K145&lt;=L145,"CAPACITY","QUOTA")</f>
        <v/>
      </c>
      <c r="O145" s="11">
        <f>IF(K145&lt;=0,"RESERVATION_DEFICIT",IF(L145&lt;=0,"QUOTA_DEFICIT",IF(M145&lt;I145*0.5,"READY_WITH_RISK","READY")))</f>
        <v/>
      </c>
      <c r="P145" s="39" t="inlineStr">
        <is>
          <t>DR 30% bootstrap (ENV-005)</t>
        </is>
      </c>
    </row>
    <row r="146">
      <c r="A146" s="11" t="inlineStr">
        <is>
          <t>Sweden Central</t>
        </is>
      </c>
      <c r="B146" s="11" t="inlineStr">
        <is>
          <t>EU</t>
        </is>
      </c>
      <c r="C146" s="11" t="inlineStr">
        <is>
          <t>DR</t>
        </is>
      </c>
      <c r="D146" s="11" t="inlineStr">
        <is>
          <t>Standard_D16ads_v5</t>
        </is>
      </c>
      <c r="E146" s="11">
        <f>VLOOKUP(D146,SKU_Family_Map!$A:$B,2,FALSE)</f>
        <v/>
      </c>
      <c r="F146" s="11" t="inlineStr">
        <is>
          <t>crg-dr-sec-reg</t>
        </is>
      </c>
      <c r="G146" s="11" t="n">
        <v>16</v>
      </c>
      <c r="H146" s="29" t="n">
        <v>0</v>
      </c>
      <c r="I146" s="29" t="n">
        <v>8</v>
      </c>
      <c r="J146" s="52">
        <f>H146+I146</f>
        <v/>
      </c>
      <c r="K146" s="52">
        <f>J146-H146</f>
        <v/>
      </c>
      <c r="L146" s="52">
        <f>SUMIFS(Quota_Groups!$G:$G,Quota_Groups!$B:$B,A146,Quota_Groups!$D:$D,E146)</f>
        <v/>
      </c>
      <c r="M146" s="53">
        <f>MIN(K146,L146)</f>
        <v/>
      </c>
      <c r="N146" s="11">
        <f>IF(K146&lt;=L146,"CAPACITY","QUOTA")</f>
        <v/>
      </c>
      <c r="O146" s="11">
        <f>IF(K146&lt;=0,"RESERVATION_DEFICIT",IF(L146&lt;=0,"QUOTA_DEFICIT",IF(M146&lt;I146*0.5,"READY_WITH_RISK","READY")))</f>
        <v/>
      </c>
      <c r="P146" s="39" t="inlineStr">
        <is>
          <t>DR 30% bootstrap (ENV-005)</t>
        </is>
      </c>
    </row>
    <row r="147">
      <c r="A147" s="11" t="inlineStr">
        <is>
          <t>Sweden Central</t>
        </is>
      </c>
      <c r="B147" s="11" t="inlineStr">
        <is>
          <t>EU</t>
        </is>
      </c>
      <c r="C147" s="11" t="inlineStr">
        <is>
          <t>DR</t>
        </is>
      </c>
      <c r="D147" s="11" t="inlineStr">
        <is>
          <t>Standard_D8as_v5</t>
        </is>
      </c>
      <c r="E147" s="11">
        <f>VLOOKUP(D147,SKU_Family_Map!$A:$B,2,FALSE)</f>
        <v/>
      </c>
      <c r="F147" s="11" t="inlineStr">
        <is>
          <t>crg-dr-sec-reg</t>
        </is>
      </c>
      <c r="G147" s="11" t="n">
        <v>8</v>
      </c>
      <c r="H147" s="29" t="n">
        <v>0</v>
      </c>
      <c r="I147" s="29" t="n">
        <v>8</v>
      </c>
      <c r="J147" s="52">
        <f>H147+I147</f>
        <v/>
      </c>
      <c r="K147" s="52">
        <f>J147-H147</f>
        <v/>
      </c>
      <c r="L147" s="52">
        <f>SUMIFS(Quota_Groups!$G:$G,Quota_Groups!$B:$B,A147,Quota_Groups!$D:$D,E147)</f>
        <v/>
      </c>
      <c r="M147" s="53">
        <f>MIN(K147,L147)</f>
        <v/>
      </c>
      <c r="N147" s="11">
        <f>IF(K147&lt;=L147,"CAPACITY","QUOTA")</f>
        <v/>
      </c>
      <c r="O147" s="11">
        <f>IF(K147&lt;=0,"RESERVATION_DEFICIT",IF(L147&lt;=0,"QUOTA_DEFICIT",IF(M147&lt;I147*0.5,"READY_WITH_RISK","READY")))</f>
        <v/>
      </c>
      <c r="P147" s="39" t="inlineStr">
        <is>
          <t>DR 30% bootstrap (ENV-005)</t>
        </is>
      </c>
    </row>
    <row r="148">
      <c r="A148" s="11" t="inlineStr">
        <is>
          <t>Sweden Central</t>
        </is>
      </c>
      <c r="B148" s="11" t="inlineStr">
        <is>
          <t>EU</t>
        </is>
      </c>
      <c r="C148" s="11" t="inlineStr">
        <is>
          <t>DR</t>
        </is>
      </c>
      <c r="D148" s="11" t="inlineStr">
        <is>
          <t>Standard_D16as_v5</t>
        </is>
      </c>
      <c r="E148" s="11">
        <f>VLOOKUP(D148,SKU_Family_Map!$A:$B,2,FALSE)</f>
        <v/>
      </c>
      <c r="F148" s="11" t="inlineStr">
        <is>
          <t>crg-dr-sec-reg</t>
        </is>
      </c>
      <c r="G148" s="11" t="n">
        <v>16</v>
      </c>
      <c r="H148" s="29" t="n">
        <v>0</v>
      </c>
      <c r="I148" s="29" t="n">
        <v>8</v>
      </c>
      <c r="J148" s="52">
        <f>H148+I148</f>
        <v/>
      </c>
      <c r="K148" s="52">
        <f>J148-H148</f>
        <v/>
      </c>
      <c r="L148" s="52">
        <f>SUMIFS(Quota_Groups!$G:$G,Quota_Groups!$B:$B,A148,Quota_Groups!$D:$D,E148)</f>
        <v/>
      </c>
      <c r="M148" s="53">
        <f>MIN(K148,L148)</f>
        <v/>
      </c>
      <c r="N148" s="11">
        <f>IF(K148&lt;=L148,"CAPACITY","QUOTA")</f>
        <v/>
      </c>
      <c r="O148" s="11">
        <f>IF(K148&lt;=0,"RESERVATION_DEFICIT",IF(L148&lt;=0,"QUOTA_DEFICIT",IF(M148&lt;I148*0.5,"READY_WITH_RISK","READY")))</f>
        <v/>
      </c>
      <c r="P148" s="39" t="inlineStr">
        <is>
          <t>DR 30% bootstrap (ENV-005)</t>
        </is>
      </c>
    </row>
    <row r="149">
      <c r="A149" s="11" t="inlineStr">
        <is>
          <t>North Europe</t>
        </is>
      </c>
      <c r="B149" s="11" t="inlineStr">
        <is>
          <t>EU</t>
        </is>
      </c>
      <c r="C149" s="11" t="inlineStr">
        <is>
          <t>Prod</t>
        </is>
      </c>
      <c r="D149" s="11" t="inlineStr">
        <is>
          <t>Standard_E32ads_v5</t>
        </is>
      </c>
      <c r="E149" s="11">
        <f>VLOOKUP(D149,SKU_Family_Map!$A:$B,2,FALSE)</f>
        <v/>
      </c>
      <c r="F149" s="11" t="inlineStr">
        <is>
          <t>crg-pr-neu-reg</t>
        </is>
      </c>
      <c r="G149" s="11" t="n">
        <v>32</v>
      </c>
      <c r="H149" s="29" t="n">
        <v>0</v>
      </c>
      <c r="I149" s="29" t="n">
        <v>8</v>
      </c>
      <c r="J149" s="52">
        <f>H149+I149</f>
        <v/>
      </c>
      <c r="K149" s="52">
        <f>J149-H149</f>
        <v/>
      </c>
      <c r="L149" s="52">
        <f>SUMIFS(Quota_Groups!$G:$G,Quota_Groups!$B:$B,A149,Quota_Groups!$D:$D,E149)</f>
        <v/>
      </c>
      <c r="M149" s="53">
        <f>MIN(K149,L149)</f>
        <v/>
      </c>
      <c r="N149" s="11">
        <f>IF(K149&lt;=L149,"CAPACITY","QUOTA")</f>
        <v/>
      </c>
      <c r="O149" s="11">
        <f>IF(K149&lt;=0,"RESERVATION_DEFICIT",IF(L149&lt;=0,"QUOTA_DEFICIT",IF(M149&lt;I149*0.5,"READY_WITH_RISK","READY")))</f>
        <v/>
      </c>
      <c r="P149" s="39" t="inlineStr"/>
    </row>
    <row r="150">
      <c r="A150" s="11" t="inlineStr">
        <is>
          <t>North Europe</t>
        </is>
      </c>
      <c r="B150" s="11" t="inlineStr">
        <is>
          <t>EU</t>
        </is>
      </c>
      <c r="C150" s="11" t="inlineStr">
        <is>
          <t>Prod</t>
        </is>
      </c>
      <c r="D150" s="11" t="inlineStr">
        <is>
          <t>Standard_E64ads_v5</t>
        </is>
      </c>
      <c r="E150" s="11">
        <f>VLOOKUP(D150,SKU_Family_Map!$A:$B,2,FALSE)</f>
        <v/>
      </c>
      <c r="F150" s="11" t="inlineStr">
        <is>
          <t>crg-pr-neu-reg</t>
        </is>
      </c>
      <c r="G150" s="11" t="n">
        <v>64</v>
      </c>
      <c r="H150" s="29" t="n">
        <v>0</v>
      </c>
      <c r="I150" s="29" t="n">
        <v>8</v>
      </c>
      <c r="J150" s="52">
        <f>H150+I150</f>
        <v/>
      </c>
      <c r="K150" s="52">
        <f>J150-H150</f>
        <v/>
      </c>
      <c r="L150" s="52">
        <f>SUMIFS(Quota_Groups!$G:$G,Quota_Groups!$B:$B,A150,Quota_Groups!$D:$D,E150)</f>
        <v/>
      </c>
      <c r="M150" s="53">
        <f>MIN(K150,L150)</f>
        <v/>
      </c>
      <c r="N150" s="11">
        <f>IF(K150&lt;=L150,"CAPACITY","QUOTA")</f>
        <v/>
      </c>
      <c r="O150" s="11">
        <f>IF(K150&lt;=0,"RESERVATION_DEFICIT",IF(L150&lt;=0,"QUOTA_DEFICIT",IF(M150&lt;I150*0.5,"READY_WITH_RISK","READY")))</f>
        <v/>
      </c>
      <c r="P150" s="39" t="inlineStr"/>
    </row>
    <row r="151">
      <c r="A151" s="11" t="inlineStr">
        <is>
          <t>North Europe</t>
        </is>
      </c>
      <c r="B151" s="11" t="inlineStr">
        <is>
          <t>EU</t>
        </is>
      </c>
      <c r="C151" s="11" t="inlineStr">
        <is>
          <t>Prod</t>
        </is>
      </c>
      <c r="D151" s="11" t="inlineStr">
        <is>
          <t>Standard_E16ads_v5</t>
        </is>
      </c>
      <c r="E151" s="11">
        <f>VLOOKUP(D151,SKU_Family_Map!$A:$B,2,FALSE)</f>
        <v/>
      </c>
      <c r="F151" s="11" t="inlineStr">
        <is>
          <t>crg-pr-neu-reg</t>
        </is>
      </c>
      <c r="G151" s="11" t="n">
        <v>16</v>
      </c>
      <c r="H151" s="29" t="n">
        <v>32</v>
      </c>
      <c r="I151" s="29" t="n">
        <v>8</v>
      </c>
      <c r="J151" s="52">
        <f>H151+I151</f>
        <v/>
      </c>
      <c r="K151" s="52">
        <f>J151-H151</f>
        <v/>
      </c>
      <c r="L151" s="52">
        <f>SUMIFS(Quota_Groups!$G:$G,Quota_Groups!$B:$B,A151,Quota_Groups!$D:$D,E151)</f>
        <v/>
      </c>
      <c r="M151" s="53">
        <f>MIN(K151,L151)</f>
        <v/>
      </c>
      <c r="N151" s="11">
        <f>IF(K151&lt;=L151,"CAPACITY","QUOTA")</f>
        <v/>
      </c>
      <c r="O151" s="11">
        <f>IF(K151&lt;=0,"RESERVATION_DEFICIT",IF(L151&lt;=0,"QUOTA_DEFICIT",IF(M151&lt;I151*0.5,"READY_WITH_RISK","READY")))</f>
        <v/>
      </c>
      <c r="P151" s="39" t="inlineStr"/>
    </row>
    <row r="152">
      <c r="A152" s="11" t="inlineStr">
        <is>
          <t>North Europe</t>
        </is>
      </c>
      <c r="B152" s="11" t="inlineStr">
        <is>
          <t>EU</t>
        </is>
      </c>
      <c r="C152" s="11" t="inlineStr">
        <is>
          <t>Prod</t>
        </is>
      </c>
      <c r="D152" s="11" t="inlineStr">
        <is>
          <t>Standard_E32ads_v6</t>
        </is>
      </c>
      <c r="E152" s="11">
        <f>VLOOKUP(D152,SKU_Family_Map!$A:$B,2,FALSE)</f>
        <v/>
      </c>
      <c r="F152" s="11" t="inlineStr">
        <is>
          <t>crg-pr-neu-reg</t>
        </is>
      </c>
      <c r="G152" s="11" t="n">
        <v>32</v>
      </c>
      <c r="H152" s="29" t="n">
        <v>640</v>
      </c>
      <c r="I152" s="29" t="n">
        <v>77</v>
      </c>
      <c r="J152" s="52">
        <f>H152+I152</f>
        <v/>
      </c>
      <c r="K152" s="52">
        <f>J152-H152</f>
        <v/>
      </c>
      <c r="L152" s="52">
        <f>SUMIFS(Quota_Groups!$G:$G,Quota_Groups!$B:$B,A152,Quota_Groups!$D:$D,E152)</f>
        <v/>
      </c>
      <c r="M152" s="53">
        <f>MIN(K152,L152)</f>
        <v/>
      </c>
      <c r="N152" s="11">
        <f>IF(K152&lt;=L152,"CAPACITY","QUOTA")</f>
        <v/>
      </c>
      <c r="O152" s="11">
        <f>IF(K152&lt;=0,"RESERVATION_DEFICIT",IF(L152&lt;=0,"QUOTA_DEFICIT",IF(M152&lt;I152*0.5,"READY_WITH_RISK","READY")))</f>
        <v/>
      </c>
      <c r="P152" s="39" t="inlineStr"/>
    </row>
    <row r="153">
      <c r="A153" s="11" t="inlineStr">
        <is>
          <t>North Europe</t>
        </is>
      </c>
      <c r="B153" s="11" t="inlineStr">
        <is>
          <t>EU</t>
        </is>
      </c>
      <c r="C153" s="11" t="inlineStr">
        <is>
          <t>Prod</t>
        </is>
      </c>
      <c r="D153" s="11" t="inlineStr">
        <is>
          <t>Standard_D8ads_v5</t>
        </is>
      </c>
      <c r="E153" s="11">
        <f>VLOOKUP(D153,SKU_Family_Map!$A:$B,2,FALSE)</f>
        <v/>
      </c>
      <c r="F153" s="11" t="inlineStr">
        <is>
          <t>crg-pr-neu-reg</t>
        </is>
      </c>
      <c r="G153" s="11" t="n">
        <v>8</v>
      </c>
      <c r="H153" s="29" t="n">
        <v>184</v>
      </c>
      <c r="I153" s="29" t="n">
        <v>22</v>
      </c>
      <c r="J153" s="52">
        <f>H153+I153</f>
        <v/>
      </c>
      <c r="K153" s="52">
        <f>J153-H153</f>
        <v/>
      </c>
      <c r="L153" s="52">
        <f>SUMIFS(Quota_Groups!$G:$G,Quota_Groups!$B:$B,A153,Quota_Groups!$D:$D,E153)</f>
        <v/>
      </c>
      <c r="M153" s="53">
        <f>MIN(K153,L153)</f>
        <v/>
      </c>
      <c r="N153" s="11">
        <f>IF(K153&lt;=L153,"CAPACITY","QUOTA")</f>
        <v/>
      </c>
      <c r="O153" s="11">
        <f>IF(K153&lt;=0,"RESERVATION_DEFICIT",IF(L153&lt;=0,"QUOTA_DEFICIT",IF(M153&lt;I153*0.5,"READY_WITH_RISK","READY")))</f>
        <v/>
      </c>
      <c r="P153" s="39" t="inlineStr"/>
    </row>
    <row r="154">
      <c r="A154" s="11" t="inlineStr">
        <is>
          <t>North Europe</t>
        </is>
      </c>
      <c r="B154" s="11" t="inlineStr">
        <is>
          <t>EU</t>
        </is>
      </c>
      <c r="C154" s="11" t="inlineStr">
        <is>
          <t>Prod</t>
        </is>
      </c>
      <c r="D154" s="11" t="inlineStr">
        <is>
          <t>Standard_D16ads_v5</t>
        </is>
      </c>
      <c r="E154" s="11">
        <f>VLOOKUP(D154,SKU_Family_Map!$A:$B,2,FALSE)</f>
        <v/>
      </c>
      <c r="F154" s="11" t="inlineStr">
        <is>
          <t>crg-pr-neu-reg</t>
        </is>
      </c>
      <c r="G154" s="11" t="n">
        <v>16</v>
      </c>
      <c r="H154" s="29" t="n">
        <v>144</v>
      </c>
      <c r="I154" s="29" t="n">
        <v>17</v>
      </c>
      <c r="J154" s="52">
        <f>H154+I154</f>
        <v/>
      </c>
      <c r="K154" s="52">
        <f>J154-H154</f>
        <v/>
      </c>
      <c r="L154" s="52">
        <f>SUMIFS(Quota_Groups!$G:$G,Quota_Groups!$B:$B,A154,Quota_Groups!$D:$D,E154)</f>
        <v/>
      </c>
      <c r="M154" s="53">
        <f>MIN(K154,L154)</f>
        <v/>
      </c>
      <c r="N154" s="11">
        <f>IF(K154&lt;=L154,"CAPACITY","QUOTA")</f>
        <v/>
      </c>
      <c r="O154" s="11">
        <f>IF(K154&lt;=0,"RESERVATION_DEFICIT",IF(L154&lt;=0,"QUOTA_DEFICIT",IF(M154&lt;I154*0.5,"READY_WITH_RISK","READY")))</f>
        <v/>
      </c>
      <c r="P154" s="39" t="inlineStr"/>
    </row>
    <row r="155">
      <c r="A155" s="11" t="inlineStr">
        <is>
          <t>North Europe</t>
        </is>
      </c>
      <c r="B155" s="11" t="inlineStr">
        <is>
          <t>EU</t>
        </is>
      </c>
      <c r="C155" s="11" t="inlineStr">
        <is>
          <t>Prod</t>
        </is>
      </c>
      <c r="D155" s="11" t="inlineStr">
        <is>
          <t>Standard_D8as_v5</t>
        </is>
      </c>
      <c r="E155" s="11">
        <f>VLOOKUP(D155,SKU_Family_Map!$A:$B,2,FALSE)</f>
        <v/>
      </c>
      <c r="F155" s="11" t="inlineStr">
        <is>
          <t>crg-pr-neu-reg</t>
        </is>
      </c>
      <c r="G155" s="11" t="n">
        <v>8</v>
      </c>
      <c r="H155" s="29" t="n">
        <v>1672</v>
      </c>
      <c r="I155" s="29" t="n">
        <v>201</v>
      </c>
      <c r="J155" s="52">
        <f>H155+I155</f>
        <v/>
      </c>
      <c r="K155" s="52">
        <f>J155-H155</f>
        <v/>
      </c>
      <c r="L155" s="52">
        <f>SUMIFS(Quota_Groups!$G:$G,Quota_Groups!$B:$B,A155,Quota_Groups!$D:$D,E155)</f>
        <v/>
      </c>
      <c r="M155" s="53">
        <f>MIN(K155,L155)</f>
        <v/>
      </c>
      <c r="N155" s="11">
        <f>IF(K155&lt;=L155,"CAPACITY","QUOTA")</f>
        <v/>
      </c>
      <c r="O155" s="11">
        <f>IF(K155&lt;=0,"RESERVATION_DEFICIT",IF(L155&lt;=0,"QUOTA_DEFICIT",IF(M155&lt;I155*0.5,"READY_WITH_RISK","READY")))</f>
        <v/>
      </c>
      <c r="P155" s="39" t="inlineStr"/>
    </row>
    <row r="156">
      <c r="A156" s="11" t="inlineStr">
        <is>
          <t>North Europe</t>
        </is>
      </c>
      <c r="B156" s="11" t="inlineStr">
        <is>
          <t>EU</t>
        </is>
      </c>
      <c r="C156" s="11" t="inlineStr">
        <is>
          <t>Prod</t>
        </is>
      </c>
      <c r="D156" s="11" t="inlineStr">
        <is>
          <t>Standard_D16as_v5</t>
        </is>
      </c>
      <c r="E156" s="11">
        <f>VLOOKUP(D156,SKU_Family_Map!$A:$B,2,FALSE)</f>
        <v/>
      </c>
      <c r="F156" s="11" t="inlineStr">
        <is>
          <t>crg-pr-neu-reg</t>
        </is>
      </c>
      <c r="G156" s="11" t="n">
        <v>16</v>
      </c>
      <c r="H156" s="29" t="n">
        <v>1168</v>
      </c>
      <c r="I156" s="29" t="n">
        <v>140</v>
      </c>
      <c r="J156" s="52">
        <f>H156+I156</f>
        <v/>
      </c>
      <c r="K156" s="52">
        <f>J156-H156</f>
        <v/>
      </c>
      <c r="L156" s="52">
        <f>SUMIFS(Quota_Groups!$G:$G,Quota_Groups!$B:$B,A156,Quota_Groups!$D:$D,E156)</f>
        <v/>
      </c>
      <c r="M156" s="53">
        <f>MIN(K156,L156)</f>
        <v/>
      </c>
      <c r="N156" s="11">
        <f>IF(K156&lt;=L156,"CAPACITY","QUOTA")</f>
        <v/>
      </c>
      <c r="O156" s="11">
        <f>IF(K156&lt;=0,"RESERVATION_DEFICIT",IF(L156&lt;=0,"QUOTA_DEFICIT",IF(M156&lt;I156*0.5,"READY_WITH_RISK","READY")))</f>
        <v/>
      </c>
      <c r="P156" s="39" t="inlineStr"/>
    </row>
    <row r="157">
      <c r="A157" s="11" t="inlineStr">
        <is>
          <t>North Europe</t>
        </is>
      </c>
      <c r="B157" s="11" t="inlineStr">
        <is>
          <t>EU</t>
        </is>
      </c>
      <c r="C157" s="11" t="inlineStr">
        <is>
          <t>NonProd</t>
        </is>
      </c>
      <c r="D157" s="11" t="inlineStr">
        <is>
          <t>Standard_E32ads_v5</t>
        </is>
      </c>
      <c r="E157" s="11">
        <f>VLOOKUP(D157,SKU_Family_Map!$A:$B,2,FALSE)</f>
        <v/>
      </c>
      <c r="F157" s="11" t="inlineStr">
        <is>
          <t>crg-np-neu-reg</t>
        </is>
      </c>
      <c r="G157" s="11" t="n">
        <v>32</v>
      </c>
      <c r="H157" s="29" t="n">
        <v>1408</v>
      </c>
      <c r="I157" s="29" t="n">
        <v>169</v>
      </c>
      <c r="J157" s="52">
        <f>H157+I157</f>
        <v/>
      </c>
      <c r="K157" s="52">
        <f>J157-H157</f>
        <v/>
      </c>
      <c r="L157" s="52">
        <f>SUMIFS(Quota_Groups!$G:$G,Quota_Groups!$B:$B,A157,Quota_Groups!$D:$D,E157)</f>
        <v/>
      </c>
      <c r="M157" s="53">
        <f>MIN(K157,L157)</f>
        <v/>
      </c>
      <c r="N157" s="11">
        <f>IF(K157&lt;=L157,"CAPACITY","QUOTA")</f>
        <v/>
      </c>
      <c r="O157" s="11">
        <f>IF(K157&lt;=0,"RESERVATION_DEFICIT",IF(L157&lt;=0,"QUOTA_DEFICIT",IF(M157&lt;I157*0.5,"READY_WITH_RISK","READY")))</f>
        <v/>
      </c>
      <c r="P157" s="39" t="inlineStr"/>
    </row>
    <row r="158">
      <c r="A158" s="11" t="inlineStr">
        <is>
          <t>North Europe</t>
        </is>
      </c>
      <c r="B158" s="11" t="inlineStr">
        <is>
          <t>EU</t>
        </is>
      </c>
      <c r="C158" s="11" t="inlineStr">
        <is>
          <t>NonProd</t>
        </is>
      </c>
      <c r="D158" s="11" t="inlineStr">
        <is>
          <t>Standard_E64ads_v5</t>
        </is>
      </c>
      <c r="E158" s="11">
        <f>VLOOKUP(D158,SKU_Family_Map!$A:$B,2,FALSE)</f>
        <v/>
      </c>
      <c r="F158" s="11" t="inlineStr">
        <is>
          <t>crg-np-neu-reg</t>
        </is>
      </c>
      <c r="G158" s="11" t="n">
        <v>64</v>
      </c>
      <c r="H158" s="29" t="n">
        <v>384</v>
      </c>
      <c r="I158" s="29" t="n">
        <v>46</v>
      </c>
      <c r="J158" s="52">
        <f>H158+I158</f>
        <v/>
      </c>
      <c r="K158" s="52">
        <f>J158-H158</f>
        <v/>
      </c>
      <c r="L158" s="52">
        <f>SUMIFS(Quota_Groups!$G:$G,Quota_Groups!$B:$B,A158,Quota_Groups!$D:$D,E158)</f>
        <v/>
      </c>
      <c r="M158" s="53">
        <f>MIN(K158,L158)</f>
        <v/>
      </c>
      <c r="N158" s="11">
        <f>IF(K158&lt;=L158,"CAPACITY","QUOTA")</f>
        <v/>
      </c>
      <c r="O158" s="11">
        <f>IF(K158&lt;=0,"RESERVATION_DEFICIT",IF(L158&lt;=0,"QUOTA_DEFICIT",IF(M158&lt;I158*0.5,"READY_WITH_RISK","READY")))</f>
        <v/>
      </c>
      <c r="P158" s="39" t="inlineStr"/>
    </row>
    <row r="159">
      <c r="A159" s="11" t="inlineStr">
        <is>
          <t>North Europe</t>
        </is>
      </c>
      <c r="B159" s="11" t="inlineStr">
        <is>
          <t>EU</t>
        </is>
      </c>
      <c r="C159" s="11" t="inlineStr">
        <is>
          <t>NonProd</t>
        </is>
      </c>
      <c r="D159" s="11" t="inlineStr">
        <is>
          <t>Standard_E16ads_v5</t>
        </is>
      </c>
      <c r="E159" s="11">
        <f>VLOOKUP(D159,SKU_Family_Map!$A:$B,2,FALSE)</f>
        <v/>
      </c>
      <c r="F159" s="11" t="inlineStr">
        <is>
          <t>crg-np-neu-reg</t>
        </is>
      </c>
      <c r="G159" s="11" t="n">
        <v>16</v>
      </c>
      <c r="H159" s="29" t="n">
        <v>2912</v>
      </c>
      <c r="I159" s="29" t="n">
        <v>349</v>
      </c>
      <c r="J159" s="52">
        <f>H159+I159</f>
        <v/>
      </c>
      <c r="K159" s="52">
        <f>J159-H159</f>
        <v/>
      </c>
      <c r="L159" s="52">
        <f>SUMIFS(Quota_Groups!$G:$G,Quota_Groups!$B:$B,A159,Quota_Groups!$D:$D,E159)</f>
        <v/>
      </c>
      <c r="M159" s="53">
        <f>MIN(K159,L159)</f>
        <v/>
      </c>
      <c r="N159" s="11">
        <f>IF(K159&lt;=L159,"CAPACITY","QUOTA")</f>
        <v/>
      </c>
      <c r="O159" s="11">
        <f>IF(K159&lt;=0,"RESERVATION_DEFICIT",IF(L159&lt;=0,"QUOTA_DEFICIT",IF(M159&lt;I159*0.5,"READY_WITH_RISK","READY")))</f>
        <v/>
      </c>
      <c r="P159" s="39" t="inlineStr"/>
    </row>
    <row r="160">
      <c r="A160" s="11" t="inlineStr">
        <is>
          <t>North Europe</t>
        </is>
      </c>
      <c r="B160" s="11" t="inlineStr">
        <is>
          <t>EU</t>
        </is>
      </c>
      <c r="C160" s="11" t="inlineStr">
        <is>
          <t>NonProd</t>
        </is>
      </c>
      <c r="D160" s="11" t="inlineStr">
        <is>
          <t>Standard_E32ads_v6</t>
        </is>
      </c>
      <c r="E160" s="11">
        <f>VLOOKUP(D160,SKU_Family_Map!$A:$B,2,FALSE)</f>
        <v/>
      </c>
      <c r="F160" s="11" t="inlineStr">
        <is>
          <t>crg-np-neu-reg</t>
        </is>
      </c>
      <c r="G160" s="11" t="n">
        <v>32</v>
      </c>
      <c r="H160" s="29" t="n">
        <v>64</v>
      </c>
      <c r="I160" s="29" t="n">
        <v>8</v>
      </c>
      <c r="J160" s="52">
        <f>H160+I160</f>
        <v/>
      </c>
      <c r="K160" s="52">
        <f>J160-H160</f>
        <v/>
      </c>
      <c r="L160" s="52">
        <f>SUMIFS(Quota_Groups!$G:$G,Quota_Groups!$B:$B,A160,Quota_Groups!$D:$D,E160)</f>
        <v/>
      </c>
      <c r="M160" s="53">
        <f>MIN(K160,L160)</f>
        <v/>
      </c>
      <c r="N160" s="11">
        <f>IF(K160&lt;=L160,"CAPACITY","QUOTA")</f>
        <v/>
      </c>
      <c r="O160" s="11">
        <f>IF(K160&lt;=0,"RESERVATION_DEFICIT",IF(L160&lt;=0,"QUOTA_DEFICIT",IF(M160&lt;I160*0.5,"READY_WITH_RISK","READY")))</f>
        <v/>
      </c>
      <c r="P160" s="39" t="inlineStr"/>
    </row>
    <row r="161">
      <c r="A161" s="11" t="inlineStr">
        <is>
          <t>North Europe</t>
        </is>
      </c>
      <c r="B161" s="11" t="inlineStr">
        <is>
          <t>EU</t>
        </is>
      </c>
      <c r="C161" s="11" t="inlineStr">
        <is>
          <t>NonProd</t>
        </is>
      </c>
      <c r="D161" s="11" t="inlineStr">
        <is>
          <t>Standard_D8ads_v5</t>
        </is>
      </c>
      <c r="E161" s="11">
        <f>VLOOKUP(D161,SKU_Family_Map!$A:$B,2,FALSE)</f>
        <v/>
      </c>
      <c r="F161" s="11" t="inlineStr">
        <is>
          <t>crg-np-neu-reg</t>
        </is>
      </c>
      <c r="G161" s="11" t="n">
        <v>8</v>
      </c>
      <c r="H161" s="29" t="n">
        <v>48</v>
      </c>
      <c r="I161" s="29" t="n">
        <v>8</v>
      </c>
      <c r="J161" s="52">
        <f>H161+I161</f>
        <v/>
      </c>
      <c r="K161" s="52">
        <f>J161-H161</f>
        <v/>
      </c>
      <c r="L161" s="52">
        <f>SUMIFS(Quota_Groups!$G:$G,Quota_Groups!$B:$B,A161,Quota_Groups!$D:$D,E161)</f>
        <v/>
      </c>
      <c r="M161" s="53">
        <f>MIN(K161,L161)</f>
        <v/>
      </c>
      <c r="N161" s="11">
        <f>IF(K161&lt;=L161,"CAPACITY","QUOTA")</f>
        <v/>
      </c>
      <c r="O161" s="11">
        <f>IF(K161&lt;=0,"RESERVATION_DEFICIT",IF(L161&lt;=0,"QUOTA_DEFICIT",IF(M161&lt;I161*0.5,"READY_WITH_RISK","READY")))</f>
        <v/>
      </c>
      <c r="P161" s="39" t="inlineStr"/>
    </row>
    <row r="162">
      <c r="A162" s="11" t="inlineStr">
        <is>
          <t>North Europe</t>
        </is>
      </c>
      <c r="B162" s="11" t="inlineStr">
        <is>
          <t>EU</t>
        </is>
      </c>
      <c r="C162" s="11" t="inlineStr">
        <is>
          <t>NonProd</t>
        </is>
      </c>
      <c r="D162" s="11" t="inlineStr">
        <is>
          <t>Standard_D16ads_v5</t>
        </is>
      </c>
      <c r="E162" s="11">
        <f>VLOOKUP(D162,SKU_Family_Map!$A:$B,2,FALSE)</f>
        <v/>
      </c>
      <c r="F162" s="11" t="inlineStr">
        <is>
          <t>crg-np-neu-reg</t>
        </is>
      </c>
      <c r="G162" s="11" t="n">
        <v>16</v>
      </c>
      <c r="H162" s="29" t="n">
        <v>0</v>
      </c>
      <c r="I162" s="29" t="n">
        <v>8</v>
      </c>
      <c r="J162" s="52">
        <f>H162+I162</f>
        <v/>
      </c>
      <c r="K162" s="52">
        <f>J162-H162</f>
        <v/>
      </c>
      <c r="L162" s="52">
        <f>SUMIFS(Quota_Groups!$G:$G,Quota_Groups!$B:$B,A162,Quota_Groups!$D:$D,E162)</f>
        <v/>
      </c>
      <c r="M162" s="53">
        <f>MIN(K162,L162)</f>
        <v/>
      </c>
      <c r="N162" s="11">
        <f>IF(K162&lt;=L162,"CAPACITY","QUOTA")</f>
        <v/>
      </c>
      <c r="O162" s="11">
        <f>IF(K162&lt;=0,"RESERVATION_DEFICIT",IF(L162&lt;=0,"QUOTA_DEFICIT",IF(M162&lt;I162*0.5,"READY_WITH_RISK","READY")))</f>
        <v/>
      </c>
      <c r="P162" s="39" t="inlineStr"/>
    </row>
    <row r="163">
      <c r="A163" s="11" t="inlineStr">
        <is>
          <t>North Europe</t>
        </is>
      </c>
      <c r="B163" s="11" t="inlineStr">
        <is>
          <t>EU</t>
        </is>
      </c>
      <c r="C163" s="11" t="inlineStr">
        <is>
          <t>NonProd</t>
        </is>
      </c>
      <c r="D163" s="11" t="inlineStr">
        <is>
          <t>Standard_D8as_v5</t>
        </is>
      </c>
      <c r="E163" s="11">
        <f>VLOOKUP(D163,SKU_Family_Map!$A:$B,2,FALSE)</f>
        <v/>
      </c>
      <c r="F163" s="11" t="inlineStr">
        <is>
          <t>crg-np-neu-reg</t>
        </is>
      </c>
      <c r="G163" s="11" t="n">
        <v>8</v>
      </c>
      <c r="H163" s="29" t="n">
        <v>352</v>
      </c>
      <c r="I163" s="29" t="n">
        <v>42</v>
      </c>
      <c r="J163" s="52">
        <f>H163+I163</f>
        <v/>
      </c>
      <c r="K163" s="52">
        <f>J163-H163</f>
        <v/>
      </c>
      <c r="L163" s="52">
        <f>SUMIFS(Quota_Groups!$G:$G,Quota_Groups!$B:$B,A163,Quota_Groups!$D:$D,E163)</f>
        <v/>
      </c>
      <c r="M163" s="53">
        <f>MIN(K163,L163)</f>
        <v/>
      </c>
      <c r="N163" s="11">
        <f>IF(K163&lt;=L163,"CAPACITY","QUOTA")</f>
        <v/>
      </c>
      <c r="O163" s="11">
        <f>IF(K163&lt;=0,"RESERVATION_DEFICIT",IF(L163&lt;=0,"QUOTA_DEFICIT",IF(M163&lt;I163*0.5,"READY_WITH_RISK","READY")))</f>
        <v/>
      </c>
      <c r="P163" s="39" t="inlineStr"/>
    </row>
    <row r="164">
      <c r="A164" s="11" t="inlineStr">
        <is>
          <t>North Europe</t>
        </is>
      </c>
      <c r="B164" s="11" t="inlineStr">
        <is>
          <t>EU</t>
        </is>
      </c>
      <c r="C164" s="11" t="inlineStr">
        <is>
          <t>NonProd</t>
        </is>
      </c>
      <c r="D164" s="11" t="inlineStr">
        <is>
          <t>Standard_D16as_v5</t>
        </is>
      </c>
      <c r="E164" s="11">
        <f>VLOOKUP(D164,SKU_Family_Map!$A:$B,2,FALSE)</f>
        <v/>
      </c>
      <c r="F164" s="11" t="inlineStr">
        <is>
          <t>crg-np-neu-reg</t>
        </is>
      </c>
      <c r="G164" s="11" t="n">
        <v>16</v>
      </c>
      <c r="H164" s="29" t="n">
        <v>48</v>
      </c>
      <c r="I164" s="29" t="n">
        <v>8</v>
      </c>
      <c r="J164" s="52">
        <f>H164+I164</f>
        <v/>
      </c>
      <c r="K164" s="52">
        <f>J164-H164</f>
        <v/>
      </c>
      <c r="L164" s="52">
        <f>SUMIFS(Quota_Groups!$G:$G,Quota_Groups!$B:$B,A164,Quota_Groups!$D:$D,E164)</f>
        <v/>
      </c>
      <c r="M164" s="53">
        <f>MIN(K164,L164)</f>
        <v/>
      </c>
      <c r="N164" s="11">
        <f>IF(K164&lt;=L164,"CAPACITY","QUOTA")</f>
        <v/>
      </c>
      <c r="O164" s="11">
        <f>IF(K164&lt;=0,"RESERVATION_DEFICIT",IF(L164&lt;=0,"QUOTA_DEFICIT",IF(M164&lt;I164*0.5,"READY_WITH_RISK","READY")))</f>
        <v/>
      </c>
      <c r="P164" s="39" t="inlineStr"/>
    </row>
    <row r="165">
      <c r="A165" s="11" t="inlineStr">
        <is>
          <t>North Europe</t>
        </is>
      </c>
      <c r="B165" s="11" t="inlineStr">
        <is>
          <t>EU</t>
        </is>
      </c>
      <c r="C165" s="11" t="inlineStr">
        <is>
          <t>DR</t>
        </is>
      </c>
      <c r="D165" s="11" t="inlineStr">
        <is>
          <t>Standard_E32ads_v5</t>
        </is>
      </c>
      <c r="E165" s="11">
        <f>VLOOKUP(D165,SKU_Family_Map!$A:$B,2,FALSE)</f>
        <v/>
      </c>
      <c r="F165" s="11" t="inlineStr">
        <is>
          <t>crg-dr-neu-reg</t>
        </is>
      </c>
      <c r="G165" s="11" t="n">
        <v>32</v>
      </c>
      <c r="H165" s="29" t="n">
        <v>0</v>
      </c>
      <c r="I165" s="29" t="n">
        <v>8</v>
      </c>
      <c r="J165" s="52">
        <f>H165+I165</f>
        <v/>
      </c>
      <c r="K165" s="52">
        <f>J165-H165</f>
        <v/>
      </c>
      <c r="L165" s="52">
        <f>SUMIFS(Quota_Groups!$G:$G,Quota_Groups!$B:$B,A165,Quota_Groups!$D:$D,E165)</f>
        <v/>
      </c>
      <c r="M165" s="53">
        <f>MIN(K165,L165)</f>
        <v/>
      </c>
      <c r="N165" s="11">
        <f>IF(K165&lt;=L165,"CAPACITY","QUOTA")</f>
        <v/>
      </c>
      <c r="O165" s="11">
        <f>IF(K165&lt;=0,"RESERVATION_DEFICIT",IF(L165&lt;=0,"QUOTA_DEFICIT",IF(M165&lt;I165*0.5,"READY_WITH_RISK","READY")))</f>
        <v/>
      </c>
      <c r="P165" s="39" t="inlineStr">
        <is>
          <t>DR 30% bootstrap (ENV-005)</t>
        </is>
      </c>
    </row>
    <row r="166">
      <c r="A166" s="11" t="inlineStr">
        <is>
          <t>North Europe</t>
        </is>
      </c>
      <c r="B166" s="11" t="inlineStr">
        <is>
          <t>EU</t>
        </is>
      </c>
      <c r="C166" s="11" t="inlineStr">
        <is>
          <t>DR</t>
        </is>
      </c>
      <c r="D166" s="11" t="inlineStr">
        <is>
          <t>Standard_E64ads_v5</t>
        </is>
      </c>
      <c r="E166" s="11">
        <f>VLOOKUP(D166,SKU_Family_Map!$A:$B,2,FALSE)</f>
        <v/>
      </c>
      <c r="F166" s="11" t="inlineStr">
        <is>
          <t>crg-dr-neu-reg</t>
        </is>
      </c>
      <c r="G166" s="11" t="n">
        <v>64</v>
      </c>
      <c r="H166" s="29" t="n">
        <v>0</v>
      </c>
      <c r="I166" s="29" t="n">
        <v>8</v>
      </c>
      <c r="J166" s="52">
        <f>H166+I166</f>
        <v/>
      </c>
      <c r="K166" s="52">
        <f>J166-H166</f>
        <v/>
      </c>
      <c r="L166" s="52">
        <f>SUMIFS(Quota_Groups!$G:$G,Quota_Groups!$B:$B,A166,Quota_Groups!$D:$D,E166)</f>
        <v/>
      </c>
      <c r="M166" s="53">
        <f>MIN(K166,L166)</f>
        <v/>
      </c>
      <c r="N166" s="11">
        <f>IF(K166&lt;=L166,"CAPACITY","QUOTA")</f>
        <v/>
      </c>
      <c r="O166" s="11">
        <f>IF(K166&lt;=0,"RESERVATION_DEFICIT",IF(L166&lt;=0,"QUOTA_DEFICIT",IF(M166&lt;I166*0.5,"READY_WITH_RISK","READY")))</f>
        <v/>
      </c>
      <c r="P166" s="39" t="inlineStr">
        <is>
          <t>DR 30% bootstrap (ENV-005)</t>
        </is>
      </c>
    </row>
    <row r="167">
      <c r="A167" s="11" t="inlineStr">
        <is>
          <t>North Europe</t>
        </is>
      </c>
      <c r="B167" s="11" t="inlineStr">
        <is>
          <t>EU</t>
        </is>
      </c>
      <c r="C167" s="11" t="inlineStr">
        <is>
          <t>DR</t>
        </is>
      </c>
      <c r="D167" s="11" t="inlineStr">
        <is>
          <t>Standard_E16ads_v5</t>
        </is>
      </c>
      <c r="E167" s="11">
        <f>VLOOKUP(D167,SKU_Family_Map!$A:$B,2,FALSE)</f>
        <v/>
      </c>
      <c r="F167" s="11" t="inlineStr">
        <is>
          <t>crg-dr-neu-reg</t>
        </is>
      </c>
      <c r="G167" s="11" t="n">
        <v>16</v>
      </c>
      <c r="H167" s="29" t="n">
        <v>10</v>
      </c>
      <c r="I167" s="29" t="n">
        <v>8</v>
      </c>
      <c r="J167" s="52">
        <f>H167+I167</f>
        <v/>
      </c>
      <c r="K167" s="52">
        <f>J167-H167</f>
        <v/>
      </c>
      <c r="L167" s="52">
        <f>SUMIFS(Quota_Groups!$G:$G,Quota_Groups!$B:$B,A167,Quota_Groups!$D:$D,E167)</f>
        <v/>
      </c>
      <c r="M167" s="53">
        <f>MIN(K167,L167)</f>
        <v/>
      </c>
      <c r="N167" s="11">
        <f>IF(K167&lt;=L167,"CAPACITY","QUOTA")</f>
        <v/>
      </c>
      <c r="O167" s="11">
        <f>IF(K167&lt;=0,"RESERVATION_DEFICIT",IF(L167&lt;=0,"QUOTA_DEFICIT",IF(M167&lt;I167*0.5,"READY_WITH_RISK","READY")))</f>
        <v/>
      </c>
      <c r="P167" s="39" t="inlineStr">
        <is>
          <t>DR 30% bootstrap (ENV-005)</t>
        </is>
      </c>
    </row>
    <row r="168">
      <c r="A168" s="11" t="inlineStr">
        <is>
          <t>North Europe</t>
        </is>
      </c>
      <c r="B168" s="11" t="inlineStr">
        <is>
          <t>EU</t>
        </is>
      </c>
      <c r="C168" s="11" t="inlineStr">
        <is>
          <t>DR</t>
        </is>
      </c>
      <c r="D168" s="11" t="inlineStr">
        <is>
          <t>Standard_E32ads_v6</t>
        </is>
      </c>
      <c r="E168" s="11">
        <f>VLOOKUP(D168,SKU_Family_Map!$A:$B,2,FALSE)</f>
        <v/>
      </c>
      <c r="F168" s="11" t="inlineStr">
        <is>
          <t>crg-dr-neu-reg</t>
        </is>
      </c>
      <c r="G168" s="11" t="n">
        <v>32</v>
      </c>
      <c r="H168" s="29" t="n">
        <v>192</v>
      </c>
      <c r="I168" s="29" t="n">
        <v>23</v>
      </c>
      <c r="J168" s="52">
        <f>H168+I168</f>
        <v/>
      </c>
      <c r="K168" s="52">
        <f>J168-H168</f>
        <v/>
      </c>
      <c r="L168" s="52">
        <f>SUMIFS(Quota_Groups!$G:$G,Quota_Groups!$B:$B,A168,Quota_Groups!$D:$D,E168)</f>
        <v/>
      </c>
      <c r="M168" s="53">
        <f>MIN(K168,L168)</f>
        <v/>
      </c>
      <c r="N168" s="11">
        <f>IF(K168&lt;=L168,"CAPACITY","QUOTA")</f>
        <v/>
      </c>
      <c r="O168" s="11">
        <f>IF(K168&lt;=0,"RESERVATION_DEFICIT",IF(L168&lt;=0,"QUOTA_DEFICIT",IF(M168&lt;I168*0.5,"READY_WITH_RISK","READY")))</f>
        <v/>
      </c>
      <c r="P168" s="39" t="inlineStr">
        <is>
          <t>DR 30% bootstrap (ENV-005)</t>
        </is>
      </c>
    </row>
    <row r="169">
      <c r="A169" s="11" t="inlineStr">
        <is>
          <t>North Europe</t>
        </is>
      </c>
      <c r="B169" s="11" t="inlineStr">
        <is>
          <t>EU</t>
        </is>
      </c>
      <c r="C169" s="11" t="inlineStr">
        <is>
          <t>DR</t>
        </is>
      </c>
      <c r="D169" s="11" t="inlineStr">
        <is>
          <t>Standard_D8ads_v5</t>
        </is>
      </c>
      <c r="E169" s="11">
        <f>VLOOKUP(D169,SKU_Family_Map!$A:$B,2,FALSE)</f>
        <v/>
      </c>
      <c r="F169" s="11" t="inlineStr">
        <is>
          <t>crg-dr-neu-reg</t>
        </is>
      </c>
      <c r="G169" s="11" t="n">
        <v>8</v>
      </c>
      <c r="H169" s="29" t="n">
        <v>55</v>
      </c>
      <c r="I169" s="29" t="n">
        <v>8</v>
      </c>
      <c r="J169" s="52">
        <f>H169+I169</f>
        <v/>
      </c>
      <c r="K169" s="52">
        <f>J169-H169</f>
        <v/>
      </c>
      <c r="L169" s="52">
        <f>SUMIFS(Quota_Groups!$G:$G,Quota_Groups!$B:$B,A169,Quota_Groups!$D:$D,E169)</f>
        <v/>
      </c>
      <c r="M169" s="53">
        <f>MIN(K169,L169)</f>
        <v/>
      </c>
      <c r="N169" s="11">
        <f>IF(K169&lt;=L169,"CAPACITY","QUOTA")</f>
        <v/>
      </c>
      <c r="O169" s="11">
        <f>IF(K169&lt;=0,"RESERVATION_DEFICIT",IF(L169&lt;=0,"QUOTA_DEFICIT",IF(M169&lt;I169*0.5,"READY_WITH_RISK","READY")))</f>
        <v/>
      </c>
      <c r="P169" s="39" t="inlineStr">
        <is>
          <t>DR 30% bootstrap (ENV-005)</t>
        </is>
      </c>
    </row>
    <row r="170">
      <c r="A170" s="11" t="inlineStr">
        <is>
          <t>North Europe</t>
        </is>
      </c>
      <c r="B170" s="11" t="inlineStr">
        <is>
          <t>EU</t>
        </is>
      </c>
      <c r="C170" s="11" t="inlineStr">
        <is>
          <t>DR</t>
        </is>
      </c>
      <c r="D170" s="11" t="inlineStr">
        <is>
          <t>Standard_D16ads_v5</t>
        </is>
      </c>
      <c r="E170" s="11">
        <f>VLOOKUP(D170,SKU_Family_Map!$A:$B,2,FALSE)</f>
        <v/>
      </c>
      <c r="F170" s="11" t="inlineStr">
        <is>
          <t>crg-dr-neu-reg</t>
        </is>
      </c>
      <c r="G170" s="11" t="n">
        <v>16</v>
      </c>
      <c r="H170" s="29" t="n">
        <v>43</v>
      </c>
      <c r="I170" s="29" t="n">
        <v>8</v>
      </c>
      <c r="J170" s="52">
        <f>H170+I170</f>
        <v/>
      </c>
      <c r="K170" s="52">
        <f>J170-H170</f>
        <v/>
      </c>
      <c r="L170" s="52">
        <f>SUMIFS(Quota_Groups!$G:$G,Quota_Groups!$B:$B,A170,Quota_Groups!$D:$D,E170)</f>
        <v/>
      </c>
      <c r="M170" s="53">
        <f>MIN(K170,L170)</f>
        <v/>
      </c>
      <c r="N170" s="11">
        <f>IF(K170&lt;=L170,"CAPACITY","QUOTA")</f>
        <v/>
      </c>
      <c r="O170" s="11">
        <f>IF(K170&lt;=0,"RESERVATION_DEFICIT",IF(L170&lt;=0,"QUOTA_DEFICIT",IF(M170&lt;I170*0.5,"READY_WITH_RISK","READY")))</f>
        <v/>
      </c>
      <c r="P170" s="39" t="inlineStr">
        <is>
          <t>DR 30% bootstrap (ENV-005)</t>
        </is>
      </c>
    </row>
    <row r="171">
      <c r="A171" s="11" t="inlineStr">
        <is>
          <t>North Europe</t>
        </is>
      </c>
      <c r="B171" s="11" t="inlineStr">
        <is>
          <t>EU</t>
        </is>
      </c>
      <c r="C171" s="11" t="inlineStr">
        <is>
          <t>DR</t>
        </is>
      </c>
      <c r="D171" s="11" t="inlineStr">
        <is>
          <t>Standard_D8as_v5</t>
        </is>
      </c>
      <c r="E171" s="11">
        <f>VLOOKUP(D171,SKU_Family_Map!$A:$B,2,FALSE)</f>
        <v/>
      </c>
      <c r="F171" s="11" t="inlineStr">
        <is>
          <t>crg-dr-neu-reg</t>
        </is>
      </c>
      <c r="G171" s="11" t="n">
        <v>8</v>
      </c>
      <c r="H171" s="29" t="n">
        <v>502</v>
      </c>
      <c r="I171" s="29" t="n">
        <v>60</v>
      </c>
      <c r="J171" s="52">
        <f>H171+I171</f>
        <v/>
      </c>
      <c r="K171" s="52">
        <f>J171-H171</f>
        <v/>
      </c>
      <c r="L171" s="52">
        <f>SUMIFS(Quota_Groups!$G:$G,Quota_Groups!$B:$B,A171,Quota_Groups!$D:$D,E171)</f>
        <v/>
      </c>
      <c r="M171" s="53">
        <f>MIN(K171,L171)</f>
        <v/>
      </c>
      <c r="N171" s="11">
        <f>IF(K171&lt;=L171,"CAPACITY","QUOTA")</f>
        <v/>
      </c>
      <c r="O171" s="11">
        <f>IF(K171&lt;=0,"RESERVATION_DEFICIT",IF(L171&lt;=0,"QUOTA_DEFICIT",IF(M171&lt;I171*0.5,"READY_WITH_RISK","READY")))</f>
        <v/>
      </c>
      <c r="P171" s="39" t="inlineStr">
        <is>
          <t>DR 30% bootstrap (ENV-005)</t>
        </is>
      </c>
    </row>
    <row r="172">
      <c r="A172" s="11" t="inlineStr">
        <is>
          <t>North Europe</t>
        </is>
      </c>
      <c r="B172" s="11" t="inlineStr">
        <is>
          <t>EU</t>
        </is>
      </c>
      <c r="C172" s="11" t="inlineStr">
        <is>
          <t>DR</t>
        </is>
      </c>
      <c r="D172" s="11" t="inlineStr">
        <is>
          <t>Standard_D16as_v5</t>
        </is>
      </c>
      <c r="E172" s="11">
        <f>VLOOKUP(D172,SKU_Family_Map!$A:$B,2,FALSE)</f>
        <v/>
      </c>
      <c r="F172" s="11" t="inlineStr">
        <is>
          <t>crg-dr-neu-reg</t>
        </is>
      </c>
      <c r="G172" s="11" t="n">
        <v>16</v>
      </c>
      <c r="H172" s="29" t="n">
        <v>350</v>
      </c>
      <c r="I172" s="29" t="n">
        <v>42</v>
      </c>
      <c r="J172" s="52">
        <f>H172+I172</f>
        <v/>
      </c>
      <c r="K172" s="52">
        <f>J172-H172</f>
        <v/>
      </c>
      <c r="L172" s="52">
        <f>SUMIFS(Quota_Groups!$G:$G,Quota_Groups!$B:$B,A172,Quota_Groups!$D:$D,E172)</f>
        <v/>
      </c>
      <c r="M172" s="53">
        <f>MIN(K172,L172)</f>
        <v/>
      </c>
      <c r="N172" s="11">
        <f>IF(K172&lt;=L172,"CAPACITY","QUOTA")</f>
        <v/>
      </c>
      <c r="O172" s="11">
        <f>IF(K172&lt;=0,"RESERVATION_DEFICIT",IF(L172&lt;=0,"QUOTA_DEFICIT",IF(M172&lt;I172*0.5,"READY_WITH_RISK","READY")))</f>
        <v/>
      </c>
      <c r="P172" s="39" t="inlineStr">
        <is>
          <t>DR 30% bootstrap (ENV-005)</t>
        </is>
      </c>
    </row>
    <row r="173">
      <c r="A173" s="11" t="inlineStr">
        <is>
          <t>West Europe</t>
        </is>
      </c>
      <c r="B173" s="11" t="inlineStr">
        <is>
          <t>EU</t>
        </is>
      </c>
      <c r="C173" s="11" t="inlineStr">
        <is>
          <t>Prod</t>
        </is>
      </c>
      <c r="D173" s="11" t="inlineStr">
        <is>
          <t>Standard_E32ads_v5</t>
        </is>
      </c>
      <c r="E173" s="11">
        <f>VLOOKUP(D173,SKU_Family_Map!$A:$B,2,FALSE)</f>
        <v/>
      </c>
      <c r="F173" s="11" t="inlineStr">
        <is>
          <t>crg-pr-weu-reg</t>
        </is>
      </c>
      <c r="G173" s="11" t="n">
        <v>32</v>
      </c>
      <c r="H173" s="29" t="n">
        <v>2144</v>
      </c>
      <c r="I173" s="29" t="n">
        <v>257</v>
      </c>
      <c r="J173" s="52">
        <f>H173+I173</f>
        <v/>
      </c>
      <c r="K173" s="52">
        <f>J173-H173</f>
        <v/>
      </c>
      <c r="L173" s="52">
        <f>SUMIFS(Quota_Groups!$G:$G,Quota_Groups!$B:$B,A173,Quota_Groups!$D:$D,E173)</f>
        <v/>
      </c>
      <c r="M173" s="53">
        <f>MIN(K173,L173)</f>
        <v/>
      </c>
      <c r="N173" s="11">
        <f>IF(K173&lt;=L173,"CAPACITY","QUOTA")</f>
        <v/>
      </c>
      <c r="O173" s="11">
        <f>IF(K173&lt;=0,"RESERVATION_DEFICIT",IF(L173&lt;=0,"QUOTA_DEFICIT",IF(M173&lt;I173*0.5,"READY_WITH_RISK","READY")))</f>
        <v/>
      </c>
      <c r="P173" s="39" t="inlineStr"/>
    </row>
    <row r="174">
      <c r="A174" s="11" t="inlineStr">
        <is>
          <t>West Europe</t>
        </is>
      </c>
      <c r="B174" s="11" t="inlineStr">
        <is>
          <t>EU</t>
        </is>
      </c>
      <c r="C174" s="11" t="inlineStr">
        <is>
          <t>Prod</t>
        </is>
      </c>
      <c r="D174" s="11" t="inlineStr">
        <is>
          <t>Standard_E64ads_v5</t>
        </is>
      </c>
      <c r="E174" s="11">
        <f>VLOOKUP(D174,SKU_Family_Map!$A:$B,2,FALSE)</f>
        <v/>
      </c>
      <c r="F174" s="11" t="inlineStr">
        <is>
          <t>crg-pr-weu-reg</t>
        </is>
      </c>
      <c r="G174" s="11" t="n">
        <v>64</v>
      </c>
      <c r="H174" s="29" t="n">
        <v>2368</v>
      </c>
      <c r="I174" s="29" t="n">
        <v>284</v>
      </c>
      <c r="J174" s="52">
        <f>H174+I174</f>
        <v/>
      </c>
      <c r="K174" s="52">
        <f>J174-H174</f>
        <v/>
      </c>
      <c r="L174" s="52">
        <f>SUMIFS(Quota_Groups!$G:$G,Quota_Groups!$B:$B,A174,Quota_Groups!$D:$D,E174)</f>
        <v/>
      </c>
      <c r="M174" s="53">
        <f>MIN(K174,L174)</f>
        <v/>
      </c>
      <c r="N174" s="11">
        <f>IF(K174&lt;=L174,"CAPACITY","QUOTA")</f>
        <v/>
      </c>
      <c r="O174" s="11">
        <f>IF(K174&lt;=0,"RESERVATION_DEFICIT",IF(L174&lt;=0,"QUOTA_DEFICIT",IF(M174&lt;I174*0.5,"READY_WITH_RISK","READY")))</f>
        <v/>
      </c>
      <c r="P174" s="39" t="inlineStr"/>
    </row>
    <row r="175">
      <c r="A175" s="11" t="inlineStr">
        <is>
          <t>West Europe</t>
        </is>
      </c>
      <c r="B175" s="11" t="inlineStr">
        <is>
          <t>EU</t>
        </is>
      </c>
      <c r="C175" s="11" t="inlineStr">
        <is>
          <t>Prod</t>
        </is>
      </c>
      <c r="D175" s="11" t="inlineStr">
        <is>
          <t>Standard_E16ads_v5</t>
        </is>
      </c>
      <c r="E175" s="11">
        <f>VLOOKUP(D175,SKU_Family_Map!$A:$B,2,FALSE)</f>
        <v/>
      </c>
      <c r="F175" s="11" t="inlineStr">
        <is>
          <t>crg-pr-weu-reg</t>
        </is>
      </c>
      <c r="G175" s="11" t="n">
        <v>16</v>
      </c>
      <c r="H175" s="29" t="n">
        <v>2048</v>
      </c>
      <c r="I175" s="29" t="n">
        <v>246</v>
      </c>
      <c r="J175" s="52">
        <f>H175+I175</f>
        <v/>
      </c>
      <c r="K175" s="52">
        <f>J175-H175</f>
        <v/>
      </c>
      <c r="L175" s="52">
        <f>SUMIFS(Quota_Groups!$G:$G,Quota_Groups!$B:$B,A175,Quota_Groups!$D:$D,E175)</f>
        <v/>
      </c>
      <c r="M175" s="53">
        <f>MIN(K175,L175)</f>
        <v/>
      </c>
      <c r="N175" s="11">
        <f>IF(K175&lt;=L175,"CAPACITY","QUOTA")</f>
        <v/>
      </c>
      <c r="O175" s="11">
        <f>IF(K175&lt;=0,"RESERVATION_DEFICIT",IF(L175&lt;=0,"QUOTA_DEFICIT",IF(M175&lt;I175*0.5,"READY_WITH_RISK","READY")))</f>
        <v/>
      </c>
      <c r="P175" s="39" t="inlineStr"/>
    </row>
    <row r="176">
      <c r="A176" s="11" t="inlineStr">
        <is>
          <t>West Europe</t>
        </is>
      </c>
      <c r="B176" s="11" t="inlineStr">
        <is>
          <t>EU</t>
        </is>
      </c>
      <c r="C176" s="11" t="inlineStr">
        <is>
          <t>Prod</t>
        </is>
      </c>
      <c r="D176" s="11" t="inlineStr">
        <is>
          <t>Standard_E32ads_v6</t>
        </is>
      </c>
      <c r="E176" s="11">
        <f>VLOOKUP(D176,SKU_Family_Map!$A:$B,2,FALSE)</f>
        <v/>
      </c>
      <c r="F176" s="11" t="inlineStr">
        <is>
          <t>crg-pr-weu-reg</t>
        </is>
      </c>
      <c r="G176" s="11" t="n">
        <v>32</v>
      </c>
      <c r="H176" s="29" t="n">
        <v>4480</v>
      </c>
      <c r="I176" s="29" t="n">
        <v>538</v>
      </c>
      <c r="J176" s="52">
        <f>H176+I176</f>
        <v/>
      </c>
      <c r="K176" s="52">
        <f>J176-H176</f>
        <v/>
      </c>
      <c r="L176" s="52">
        <f>SUMIFS(Quota_Groups!$G:$G,Quota_Groups!$B:$B,A176,Quota_Groups!$D:$D,E176)</f>
        <v/>
      </c>
      <c r="M176" s="53">
        <f>MIN(K176,L176)</f>
        <v/>
      </c>
      <c r="N176" s="11">
        <f>IF(K176&lt;=L176,"CAPACITY","QUOTA")</f>
        <v/>
      </c>
      <c r="O176" s="11">
        <f>IF(K176&lt;=0,"RESERVATION_DEFICIT",IF(L176&lt;=0,"QUOTA_DEFICIT",IF(M176&lt;I176*0.5,"READY_WITH_RISK","READY")))</f>
        <v/>
      </c>
      <c r="P176" s="39" t="inlineStr"/>
    </row>
    <row r="177">
      <c r="A177" s="11" t="inlineStr">
        <is>
          <t>West Europe</t>
        </is>
      </c>
      <c r="B177" s="11" t="inlineStr">
        <is>
          <t>EU</t>
        </is>
      </c>
      <c r="C177" s="11" t="inlineStr">
        <is>
          <t>Prod</t>
        </is>
      </c>
      <c r="D177" s="11" t="inlineStr">
        <is>
          <t>Standard_D8ads_v5</t>
        </is>
      </c>
      <c r="E177" s="11">
        <f>VLOOKUP(D177,SKU_Family_Map!$A:$B,2,FALSE)</f>
        <v/>
      </c>
      <c r="F177" s="11" t="inlineStr">
        <is>
          <t>crg-pr-weu-reg</t>
        </is>
      </c>
      <c r="G177" s="11" t="n">
        <v>8</v>
      </c>
      <c r="H177" s="29" t="n">
        <v>4576</v>
      </c>
      <c r="I177" s="29" t="n">
        <v>549</v>
      </c>
      <c r="J177" s="52">
        <f>H177+I177</f>
        <v/>
      </c>
      <c r="K177" s="52">
        <f>J177-H177</f>
        <v/>
      </c>
      <c r="L177" s="52">
        <f>SUMIFS(Quota_Groups!$G:$G,Quota_Groups!$B:$B,A177,Quota_Groups!$D:$D,E177)</f>
        <v/>
      </c>
      <c r="M177" s="53">
        <f>MIN(K177,L177)</f>
        <v/>
      </c>
      <c r="N177" s="11">
        <f>IF(K177&lt;=L177,"CAPACITY","QUOTA")</f>
        <v/>
      </c>
      <c r="O177" s="11">
        <f>IF(K177&lt;=0,"RESERVATION_DEFICIT",IF(L177&lt;=0,"QUOTA_DEFICIT",IF(M177&lt;I177*0.5,"READY_WITH_RISK","READY")))</f>
        <v/>
      </c>
      <c r="P177" s="39" t="inlineStr"/>
    </row>
    <row r="178">
      <c r="A178" s="11" t="inlineStr">
        <is>
          <t>West Europe</t>
        </is>
      </c>
      <c r="B178" s="11" t="inlineStr">
        <is>
          <t>EU</t>
        </is>
      </c>
      <c r="C178" s="11" t="inlineStr">
        <is>
          <t>Prod</t>
        </is>
      </c>
      <c r="D178" s="11" t="inlineStr">
        <is>
          <t>Standard_D16ads_v5</t>
        </is>
      </c>
      <c r="E178" s="11">
        <f>VLOOKUP(D178,SKU_Family_Map!$A:$B,2,FALSE)</f>
        <v/>
      </c>
      <c r="F178" s="11" t="inlineStr">
        <is>
          <t>crg-pr-weu-reg</t>
        </is>
      </c>
      <c r="G178" s="11" t="n">
        <v>16</v>
      </c>
      <c r="H178" s="29" t="n">
        <v>2224</v>
      </c>
      <c r="I178" s="29" t="n">
        <v>267</v>
      </c>
      <c r="J178" s="52">
        <f>H178+I178</f>
        <v/>
      </c>
      <c r="K178" s="52">
        <f>J178-H178</f>
        <v/>
      </c>
      <c r="L178" s="52">
        <f>SUMIFS(Quota_Groups!$G:$G,Quota_Groups!$B:$B,A178,Quota_Groups!$D:$D,E178)</f>
        <v/>
      </c>
      <c r="M178" s="53">
        <f>MIN(K178,L178)</f>
        <v/>
      </c>
      <c r="N178" s="11">
        <f>IF(K178&lt;=L178,"CAPACITY","QUOTA")</f>
        <v/>
      </c>
      <c r="O178" s="11">
        <f>IF(K178&lt;=0,"RESERVATION_DEFICIT",IF(L178&lt;=0,"QUOTA_DEFICIT",IF(M178&lt;I178*0.5,"READY_WITH_RISK","READY")))</f>
        <v/>
      </c>
      <c r="P178" s="39" t="inlineStr"/>
    </row>
    <row r="179">
      <c r="A179" s="11" t="inlineStr">
        <is>
          <t>West Europe</t>
        </is>
      </c>
      <c r="B179" s="11" t="inlineStr">
        <is>
          <t>EU</t>
        </is>
      </c>
      <c r="C179" s="11" t="inlineStr">
        <is>
          <t>Prod</t>
        </is>
      </c>
      <c r="D179" s="11" t="inlineStr">
        <is>
          <t>Standard_D8as_v5</t>
        </is>
      </c>
      <c r="E179" s="11">
        <f>VLOOKUP(D179,SKU_Family_Map!$A:$B,2,FALSE)</f>
        <v/>
      </c>
      <c r="F179" s="11" t="inlineStr">
        <is>
          <t>crg-pr-weu-reg</t>
        </is>
      </c>
      <c r="G179" s="11" t="n">
        <v>8</v>
      </c>
      <c r="H179" s="29" t="n">
        <v>3936</v>
      </c>
      <c r="I179" s="29" t="n">
        <v>472</v>
      </c>
      <c r="J179" s="52">
        <f>H179+I179</f>
        <v/>
      </c>
      <c r="K179" s="52">
        <f>J179-H179</f>
        <v/>
      </c>
      <c r="L179" s="52">
        <f>SUMIFS(Quota_Groups!$G:$G,Quota_Groups!$B:$B,A179,Quota_Groups!$D:$D,E179)</f>
        <v/>
      </c>
      <c r="M179" s="53">
        <f>MIN(K179,L179)</f>
        <v/>
      </c>
      <c r="N179" s="11">
        <f>IF(K179&lt;=L179,"CAPACITY","QUOTA")</f>
        <v/>
      </c>
      <c r="O179" s="11">
        <f>IF(K179&lt;=0,"RESERVATION_DEFICIT",IF(L179&lt;=0,"QUOTA_DEFICIT",IF(M179&lt;I179*0.5,"READY_WITH_RISK","READY")))</f>
        <v/>
      </c>
      <c r="P179" s="39" t="inlineStr"/>
    </row>
    <row r="180">
      <c r="A180" s="11" t="inlineStr">
        <is>
          <t>West Europe</t>
        </is>
      </c>
      <c r="B180" s="11" t="inlineStr">
        <is>
          <t>EU</t>
        </is>
      </c>
      <c r="C180" s="11" t="inlineStr">
        <is>
          <t>Prod</t>
        </is>
      </c>
      <c r="D180" s="11" t="inlineStr">
        <is>
          <t>Standard_D16as_v5</t>
        </is>
      </c>
      <c r="E180" s="11">
        <f>VLOOKUP(D180,SKU_Family_Map!$A:$B,2,FALSE)</f>
        <v/>
      </c>
      <c r="F180" s="11" t="inlineStr">
        <is>
          <t>crg-pr-weu-reg</t>
        </is>
      </c>
      <c r="G180" s="11" t="n">
        <v>16</v>
      </c>
      <c r="H180" s="29" t="n">
        <v>1296</v>
      </c>
      <c r="I180" s="29" t="n">
        <v>156</v>
      </c>
      <c r="J180" s="52">
        <f>H180+I180</f>
        <v/>
      </c>
      <c r="K180" s="52">
        <f>J180-H180</f>
        <v/>
      </c>
      <c r="L180" s="52">
        <f>SUMIFS(Quota_Groups!$G:$G,Quota_Groups!$B:$B,A180,Quota_Groups!$D:$D,E180)</f>
        <v/>
      </c>
      <c r="M180" s="53">
        <f>MIN(K180,L180)</f>
        <v/>
      </c>
      <c r="N180" s="11">
        <f>IF(K180&lt;=L180,"CAPACITY","QUOTA")</f>
        <v/>
      </c>
      <c r="O180" s="11">
        <f>IF(K180&lt;=0,"RESERVATION_DEFICIT",IF(L180&lt;=0,"QUOTA_DEFICIT",IF(M180&lt;I180*0.5,"READY_WITH_RISK","READY")))</f>
        <v/>
      </c>
      <c r="P180" s="39" t="inlineStr"/>
    </row>
    <row r="181">
      <c r="A181" s="11" t="inlineStr">
        <is>
          <t>West Europe</t>
        </is>
      </c>
      <c r="B181" s="11" t="inlineStr">
        <is>
          <t>EU</t>
        </is>
      </c>
      <c r="C181" s="11" t="inlineStr">
        <is>
          <t>NonProd</t>
        </is>
      </c>
      <c r="D181" s="11" t="inlineStr">
        <is>
          <t>Standard_E32ads_v5</t>
        </is>
      </c>
      <c r="E181" s="11">
        <f>VLOOKUP(D181,SKU_Family_Map!$A:$B,2,FALSE)</f>
        <v/>
      </c>
      <c r="F181" s="11" t="inlineStr">
        <is>
          <t>crg-np-weu-reg</t>
        </is>
      </c>
      <c r="G181" s="11" t="n">
        <v>32</v>
      </c>
      <c r="H181" s="29" t="n">
        <v>39008</v>
      </c>
      <c r="I181" s="29" t="n">
        <v>4681</v>
      </c>
      <c r="J181" s="52">
        <f>H181+I181</f>
        <v/>
      </c>
      <c r="K181" s="52">
        <f>J181-H181</f>
        <v/>
      </c>
      <c r="L181" s="52">
        <f>SUMIFS(Quota_Groups!$G:$G,Quota_Groups!$B:$B,A181,Quota_Groups!$D:$D,E181)</f>
        <v/>
      </c>
      <c r="M181" s="53">
        <f>MIN(K181,L181)</f>
        <v/>
      </c>
      <c r="N181" s="11">
        <f>IF(K181&lt;=L181,"CAPACITY","QUOTA")</f>
        <v/>
      </c>
      <c r="O181" s="11">
        <f>IF(K181&lt;=0,"RESERVATION_DEFICIT",IF(L181&lt;=0,"QUOTA_DEFICIT",IF(M181&lt;I181*0.5,"READY_WITH_RISK","READY")))</f>
        <v/>
      </c>
      <c r="P181" s="39" t="inlineStr"/>
    </row>
    <row r="182">
      <c r="A182" s="11" t="inlineStr">
        <is>
          <t>West Europe</t>
        </is>
      </c>
      <c r="B182" s="11" t="inlineStr">
        <is>
          <t>EU</t>
        </is>
      </c>
      <c r="C182" s="11" t="inlineStr">
        <is>
          <t>NonProd</t>
        </is>
      </c>
      <c r="D182" s="11" t="inlineStr">
        <is>
          <t>Standard_E64ads_v5</t>
        </is>
      </c>
      <c r="E182" s="11">
        <f>VLOOKUP(D182,SKU_Family_Map!$A:$B,2,FALSE)</f>
        <v/>
      </c>
      <c r="F182" s="11" t="inlineStr">
        <is>
          <t>crg-np-weu-reg</t>
        </is>
      </c>
      <c r="G182" s="11" t="n">
        <v>64</v>
      </c>
      <c r="H182" s="29" t="n">
        <v>33664</v>
      </c>
      <c r="I182" s="29" t="n">
        <v>4040</v>
      </c>
      <c r="J182" s="52">
        <f>H182+I182</f>
        <v/>
      </c>
      <c r="K182" s="52">
        <f>J182-H182</f>
        <v/>
      </c>
      <c r="L182" s="52">
        <f>SUMIFS(Quota_Groups!$G:$G,Quota_Groups!$B:$B,A182,Quota_Groups!$D:$D,E182)</f>
        <v/>
      </c>
      <c r="M182" s="53">
        <f>MIN(K182,L182)</f>
        <v/>
      </c>
      <c r="N182" s="11">
        <f>IF(K182&lt;=L182,"CAPACITY","QUOTA")</f>
        <v/>
      </c>
      <c r="O182" s="11">
        <f>IF(K182&lt;=0,"RESERVATION_DEFICIT",IF(L182&lt;=0,"QUOTA_DEFICIT",IF(M182&lt;I182*0.5,"READY_WITH_RISK","READY")))</f>
        <v/>
      </c>
      <c r="P182" s="39" t="inlineStr"/>
    </row>
    <row r="183">
      <c r="A183" s="11" t="inlineStr">
        <is>
          <t>West Europe</t>
        </is>
      </c>
      <c r="B183" s="11" t="inlineStr">
        <is>
          <t>EU</t>
        </is>
      </c>
      <c r="C183" s="11" t="inlineStr">
        <is>
          <t>NonProd</t>
        </is>
      </c>
      <c r="D183" s="11" t="inlineStr">
        <is>
          <t>Standard_E16ads_v5</t>
        </is>
      </c>
      <c r="E183" s="11">
        <f>VLOOKUP(D183,SKU_Family_Map!$A:$B,2,FALSE)</f>
        <v/>
      </c>
      <c r="F183" s="11" t="inlineStr">
        <is>
          <t>crg-np-weu-reg</t>
        </is>
      </c>
      <c r="G183" s="11" t="n">
        <v>16</v>
      </c>
      <c r="H183" s="29" t="n">
        <v>7968</v>
      </c>
      <c r="I183" s="29" t="n">
        <v>956</v>
      </c>
      <c r="J183" s="52">
        <f>H183+I183</f>
        <v/>
      </c>
      <c r="K183" s="52">
        <f>J183-H183</f>
        <v/>
      </c>
      <c r="L183" s="52">
        <f>SUMIFS(Quota_Groups!$G:$G,Quota_Groups!$B:$B,A183,Quota_Groups!$D:$D,E183)</f>
        <v/>
      </c>
      <c r="M183" s="53">
        <f>MIN(K183,L183)</f>
        <v/>
      </c>
      <c r="N183" s="11">
        <f>IF(K183&lt;=L183,"CAPACITY","QUOTA")</f>
        <v/>
      </c>
      <c r="O183" s="11">
        <f>IF(K183&lt;=0,"RESERVATION_DEFICIT",IF(L183&lt;=0,"QUOTA_DEFICIT",IF(M183&lt;I183*0.5,"READY_WITH_RISK","READY")))</f>
        <v/>
      </c>
      <c r="P183" s="39" t="inlineStr"/>
    </row>
    <row r="184">
      <c r="A184" s="11" t="inlineStr">
        <is>
          <t>West Europe</t>
        </is>
      </c>
      <c r="B184" s="11" t="inlineStr">
        <is>
          <t>EU</t>
        </is>
      </c>
      <c r="C184" s="11" t="inlineStr">
        <is>
          <t>NonProd</t>
        </is>
      </c>
      <c r="D184" s="11" t="inlineStr">
        <is>
          <t>Standard_E32ads_v6</t>
        </is>
      </c>
      <c r="E184" s="11">
        <f>VLOOKUP(D184,SKU_Family_Map!$A:$B,2,FALSE)</f>
        <v/>
      </c>
      <c r="F184" s="11" t="inlineStr">
        <is>
          <t>crg-np-weu-reg</t>
        </is>
      </c>
      <c r="G184" s="11" t="n">
        <v>32</v>
      </c>
      <c r="H184" s="29" t="n">
        <v>11264</v>
      </c>
      <c r="I184" s="29" t="n">
        <v>1352</v>
      </c>
      <c r="J184" s="52">
        <f>H184+I184</f>
        <v/>
      </c>
      <c r="K184" s="52">
        <f>J184-H184</f>
        <v/>
      </c>
      <c r="L184" s="52">
        <f>SUMIFS(Quota_Groups!$G:$G,Quota_Groups!$B:$B,A184,Quota_Groups!$D:$D,E184)</f>
        <v/>
      </c>
      <c r="M184" s="53">
        <f>MIN(K184,L184)</f>
        <v/>
      </c>
      <c r="N184" s="11">
        <f>IF(K184&lt;=L184,"CAPACITY","QUOTA")</f>
        <v/>
      </c>
      <c r="O184" s="11">
        <f>IF(K184&lt;=0,"RESERVATION_DEFICIT",IF(L184&lt;=0,"QUOTA_DEFICIT",IF(M184&lt;I184*0.5,"READY_WITH_RISK","READY")))</f>
        <v/>
      </c>
      <c r="P184" s="39" t="inlineStr"/>
    </row>
    <row r="185">
      <c r="A185" s="11" t="inlineStr">
        <is>
          <t>West Europe</t>
        </is>
      </c>
      <c r="B185" s="11" t="inlineStr">
        <is>
          <t>EU</t>
        </is>
      </c>
      <c r="C185" s="11" t="inlineStr">
        <is>
          <t>NonProd</t>
        </is>
      </c>
      <c r="D185" s="11" t="inlineStr">
        <is>
          <t>Standard_D8ads_v5</t>
        </is>
      </c>
      <c r="E185" s="11">
        <f>VLOOKUP(D185,SKU_Family_Map!$A:$B,2,FALSE)</f>
        <v/>
      </c>
      <c r="F185" s="11" t="inlineStr">
        <is>
          <t>crg-np-weu-reg</t>
        </is>
      </c>
      <c r="G185" s="11" t="n">
        <v>8</v>
      </c>
      <c r="H185" s="29" t="n">
        <v>7208</v>
      </c>
      <c r="I185" s="29" t="n">
        <v>865</v>
      </c>
      <c r="J185" s="52">
        <f>H185+I185</f>
        <v/>
      </c>
      <c r="K185" s="52">
        <f>J185-H185</f>
        <v/>
      </c>
      <c r="L185" s="52">
        <f>SUMIFS(Quota_Groups!$G:$G,Quota_Groups!$B:$B,A185,Quota_Groups!$D:$D,E185)</f>
        <v/>
      </c>
      <c r="M185" s="53">
        <f>MIN(K185,L185)</f>
        <v/>
      </c>
      <c r="N185" s="11">
        <f>IF(K185&lt;=L185,"CAPACITY","QUOTA")</f>
        <v/>
      </c>
      <c r="O185" s="11">
        <f>IF(K185&lt;=0,"RESERVATION_DEFICIT",IF(L185&lt;=0,"QUOTA_DEFICIT",IF(M185&lt;I185*0.5,"READY_WITH_RISK","READY")))</f>
        <v/>
      </c>
      <c r="P185" s="39" t="inlineStr"/>
    </row>
    <row r="186">
      <c r="A186" s="11" t="inlineStr">
        <is>
          <t>West Europe</t>
        </is>
      </c>
      <c r="B186" s="11" t="inlineStr">
        <is>
          <t>EU</t>
        </is>
      </c>
      <c r="C186" s="11" t="inlineStr">
        <is>
          <t>NonProd</t>
        </is>
      </c>
      <c r="D186" s="11" t="inlineStr">
        <is>
          <t>Standard_D16ads_v5</t>
        </is>
      </c>
      <c r="E186" s="11">
        <f>VLOOKUP(D186,SKU_Family_Map!$A:$B,2,FALSE)</f>
        <v/>
      </c>
      <c r="F186" s="11" t="inlineStr">
        <is>
          <t>crg-np-weu-reg</t>
        </is>
      </c>
      <c r="G186" s="11" t="n">
        <v>16</v>
      </c>
      <c r="H186" s="29" t="n">
        <v>1760</v>
      </c>
      <c r="I186" s="29" t="n">
        <v>211</v>
      </c>
      <c r="J186" s="52">
        <f>H186+I186</f>
        <v/>
      </c>
      <c r="K186" s="52">
        <f>J186-H186</f>
        <v/>
      </c>
      <c r="L186" s="52">
        <f>SUMIFS(Quota_Groups!$G:$G,Quota_Groups!$B:$B,A186,Quota_Groups!$D:$D,E186)</f>
        <v/>
      </c>
      <c r="M186" s="53">
        <f>MIN(K186,L186)</f>
        <v/>
      </c>
      <c r="N186" s="11">
        <f>IF(K186&lt;=L186,"CAPACITY","QUOTA")</f>
        <v/>
      </c>
      <c r="O186" s="11">
        <f>IF(K186&lt;=0,"RESERVATION_DEFICIT",IF(L186&lt;=0,"QUOTA_DEFICIT",IF(M186&lt;I186*0.5,"READY_WITH_RISK","READY")))</f>
        <v/>
      </c>
      <c r="P186" s="39" t="inlineStr"/>
    </row>
    <row r="187">
      <c r="A187" s="11" t="inlineStr">
        <is>
          <t>West Europe</t>
        </is>
      </c>
      <c r="B187" s="11" t="inlineStr">
        <is>
          <t>EU</t>
        </is>
      </c>
      <c r="C187" s="11" t="inlineStr">
        <is>
          <t>NonProd</t>
        </is>
      </c>
      <c r="D187" s="11" t="inlineStr">
        <is>
          <t>Standard_D8as_v5</t>
        </is>
      </c>
      <c r="E187" s="11">
        <f>VLOOKUP(D187,SKU_Family_Map!$A:$B,2,FALSE)</f>
        <v/>
      </c>
      <c r="F187" s="11" t="inlineStr">
        <is>
          <t>crg-np-weu-reg</t>
        </is>
      </c>
      <c r="G187" s="11" t="n">
        <v>8</v>
      </c>
      <c r="H187" s="29" t="n">
        <v>2568</v>
      </c>
      <c r="I187" s="29" t="n">
        <v>308</v>
      </c>
      <c r="J187" s="52">
        <f>H187+I187</f>
        <v/>
      </c>
      <c r="K187" s="52">
        <f>J187-H187</f>
        <v/>
      </c>
      <c r="L187" s="52">
        <f>SUMIFS(Quota_Groups!$G:$G,Quota_Groups!$B:$B,A187,Quota_Groups!$D:$D,E187)</f>
        <v/>
      </c>
      <c r="M187" s="53">
        <f>MIN(K187,L187)</f>
        <v/>
      </c>
      <c r="N187" s="11">
        <f>IF(K187&lt;=L187,"CAPACITY","QUOTA")</f>
        <v/>
      </c>
      <c r="O187" s="11">
        <f>IF(K187&lt;=0,"RESERVATION_DEFICIT",IF(L187&lt;=0,"QUOTA_DEFICIT",IF(M187&lt;I187*0.5,"READY_WITH_RISK","READY")))</f>
        <v/>
      </c>
      <c r="P187" s="39" t="inlineStr"/>
    </row>
    <row r="188">
      <c r="A188" s="11" t="inlineStr">
        <is>
          <t>West Europe</t>
        </is>
      </c>
      <c r="B188" s="11" t="inlineStr">
        <is>
          <t>EU</t>
        </is>
      </c>
      <c r="C188" s="11" t="inlineStr">
        <is>
          <t>NonProd</t>
        </is>
      </c>
      <c r="D188" s="11" t="inlineStr">
        <is>
          <t>Standard_D16as_v5</t>
        </is>
      </c>
      <c r="E188" s="11">
        <f>VLOOKUP(D188,SKU_Family_Map!$A:$B,2,FALSE)</f>
        <v/>
      </c>
      <c r="F188" s="11" t="inlineStr">
        <is>
          <t>crg-np-weu-reg</t>
        </is>
      </c>
      <c r="G188" s="11" t="n">
        <v>16</v>
      </c>
      <c r="H188" s="29" t="n">
        <v>1008</v>
      </c>
      <c r="I188" s="29" t="n">
        <v>121</v>
      </c>
      <c r="J188" s="52">
        <f>H188+I188</f>
        <v/>
      </c>
      <c r="K188" s="52">
        <f>J188-H188</f>
        <v/>
      </c>
      <c r="L188" s="52">
        <f>SUMIFS(Quota_Groups!$G:$G,Quota_Groups!$B:$B,A188,Quota_Groups!$D:$D,E188)</f>
        <v/>
      </c>
      <c r="M188" s="53">
        <f>MIN(K188,L188)</f>
        <v/>
      </c>
      <c r="N188" s="11">
        <f>IF(K188&lt;=L188,"CAPACITY","QUOTA")</f>
        <v/>
      </c>
      <c r="O188" s="11">
        <f>IF(K188&lt;=0,"RESERVATION_DEFICIT",IF(L188&lt;=0,"QUOTA_DEFICIT",IF(M188&lt;I188*0.5,"READY_WITH_RISK","READY")))</f>
        <v/>
      </c>
      <c r="P188" s="39" t="inlineStr"/>
    </row>
    <row r="189">
      <c r="A189" s="11" t="inlineStr">
        <is>
          <t>West Europe</t>
        </is>
      </c>
      <c r="B189" s="11" t="inlineStr">
        <is>
          <t>EU</t>
        </is>
      </c>
      <c r="C189" s="11" t="inlineStr">
        <is>
          <t>DR</t>
        </is>
      </c>
      <c r="D189" s="11" t="inlineStr">
        <is>
          <t>Standard_E32ads_v5</t>
        </is>
      </c>
      <c r="E189" s="11">
        <f>VLOOKUP(D189,SKU_Family_Map!$A:$B,2,FALSE)</f>
        <v/>
      </c>
      <c r="F189" s="11" t="inlineStr">
        <is>
          <t>crg-dr-weu-reg</t>
        </is>
      </c>
      <c r="G189" s="11" t="n">
        <v>32</v>
      </c>
      <c r="H189" s="29" t="n">
        <v>643</v>
      </c>
      <c r="I189" s="29" t="n">
        <v>77</v>
      </c>
      <c r="J189" s="52">
        <f>H189+I189</f>
        <v/>
      </c>
      <c r="K189" s="52">
        <f>J189-H189</f>
        <v/>
      </c>
      <c r="L189" s="52">
        <f>SUMIFS(Quota_Groups!$G:$G,Quota_Groups!$B:$B,A189,Quota_Groups!$D:$D,E189)</f>
        <v/>
      </c>
      <c r="M189" s="53">
        <f>MIN(K189,L189)</f>
        <v/>
      </c>
      <c r="N189" s="11">
        <f>IF(K189&lt;=L189,"CAPACITY","QUOTA")</f>
        <v/>
      </c>
      <c r="O189" s="11">
        <f>IF(K189&lt;=0,"RESERVATION_DEFICIT",IF(L189&lt;=0,"QUOTA_DEFICIT",IF(M189&lt;I189*0.5,"READY_WITH_RISK","READY")))</f>
        <v/>
      </c>
      <c r="P189" s="39" t="inlineStr">
        <is>
          <t>DR 30% bootstrap (ENV-005)</t>
        </is>
      </c>
    </row>
    <row r="190">
      <c r="A190" s="11" t="inlineStr">
        <is>
          <t>West Europe</t>
        </is>
      </c>
      <c r="B190" s="11" t="inlineStr">
        <is>
          <t>EU</t>
        </is>
      </c>
      <c r="C190" s="11" t="inlineStr">
        <is>
          <t>DR</t>
        </is>
      </c>
      <c r="D190" s="11" t="inlineStr">
        <is>
          <t>Standard_E64ads_v5</t>
        </is>
      </c>
      <c r="E190" s="11">
        <f>VLOOKUP(D190,SKU_Family_Map!$A:$B,2,FALSE)</f>
        <v/>
      </c>
      <c r="F190" s="11" t="inlineStr">
        <is>
          <t>crg-dr-weu-reg</t>
        </is>
      </c>
      <c r="G190" s="11" t="n">
        <v>64</v>
      </c>
      <c r="H190" s="29" t="n">
        <v>710</v>
      </c>
      <c r="I190" s="29" t="n">
        <v>85</v>
      </c>
      <c r="J190" s="52">
        <f>H190+I190</f>
        <v/>
      </c>
      <c r="K190" s="52">
        <f>J190-H190</f>
        <v/>
      </c>
      <c r="L190" s="52">
        <f>SUMIFS(Quota_Groups!$G:$G,Quota_Groups!$B:$B,A190,Quota_Groups!$D:$D,E190)</f>
        <v/>
      </c>
      <c r="M190" s="53">
        <f>MIN(K190,L190)</f>
        <v/>
      </c>
      <c r="N190" s="11">
        <f>IF(K190&lt;=L190,"CAPACITY","QUOTA")</f>
        <v/>
      </c>
      <c r="O190" s="11">
        <f>IF(K190&lt;=0,"RESERVATION_DEFICIT",IF(L190&lt;=0,"QUOTA_DEFICIT",IF(M190&lt;I190*0.5,"READY_WITH_RISK","READY")))</f>
        <v/>
      </c>
      <c r="P190" s="39" t="inlineStr">
        <is>
          <t>DR 30% bootstrap (ENV-005)</t>
        </is>
      </c>
    </row>
    <row r="191">
      <c r="A191" s="11" t="inlineStr">
        <is>
          <t>West Europe</t>
        </is>
      </c>
      <c r="B191" s="11" t="inlineStr">
        <is>
          <t>EU</t>
        </is>
      </c>
      <c r="C191" s="11" t="inlineStr">
        <is>
          <t>DR</t>
        </is>
      </c>
      <c r="D191" s="11" t="inlineStr">
        <is>
          <t>Standard_E16ads_v5</t>
        </is>
      </c>
      <c r="E191" s="11">
        <f>VLOOKUP(D191,SKU_Family_Map!$A:$B,2,FALSE)</f>
        <v/>
      </c>
      <c r="F191" s="11" t="inlineStr">
        <is>
          <t>crg-dr-weu-reg</t>
        </is>
      </c>
      <c r="G191" s="11" t="n">
        <v>16</v>
      </c>
      <c r="H191" s="29" t="n">
        <v>614</v>
      </c>
      <c r="I191" s="29" t="n">
        <v>74</v>
      </c>
      <c r="J191" s="52">
        <f>H191+I191</f>
        <v/>
      </c>
      <c r="K191" s="52">
        <f>J191-H191</f>
        <v/>
      </c>
      <c r="L191" s="52">
        <f>SUMIFS(Quota_Groups!$G:$G,Quota_Groups!$B:$B,A191,Quota_Groups!$D:$D,E191)</f>
        <v/>
      </c>
      <c r="M191" s="53">
        <f>MIN(K191,L191)</f>
        <v/>
      </c>
      <c r="N191" s="11">
        <f>IF(K191&lt;=L191,"CAPACITY","QUOTA")</f>
        <v/>
      </c>
      <c r="O191" s="11">
        <f>IF(K191&lt;=0,"RESERVATION_DEFICIT",IF(L191&lt;=0,"QUOTA_DEFICIT",IF(M191&lt;I191*0.5,"READY_WITH_RISK","READY")))</f>
        <v/>
      </c>
      <c r="P191" s="39" t="inlineStr">
        <is>
          <t>DR 30% bootstrap (ENV-005)</t>
        </is>
      </c>
    </row>
    <row r="192">
      <c r="A192" s="11" t="inlineStr">
        <is>
          <t>West Europe</t>
        </is>
      </c>
      <c r="B192" s="11" t="inlineStr">
        <is>
          <t>EU</t>
        </is>
      </c>
      <c r="C192" s="11" t="inlineStr">
        <is>
          <t>DR</t>
        </is>
      </c>
      <c r="D192" s="11" t="inlineStr">
        <is>
          <t>Standard_E32ads_v6</t>
        </is>
      </c>
      <c r="E192" s="11">
        <f>VLOOKUP(D192,SKU_Family_Map!$A:$B,2,FALSE)</f>
        <v/>
      </c>
      <c r="F192" s="11" t="inlineStr">
        <is>
          <t>crg-dr-weu-reg</t>
        </is>
      </c>
      <c r="G192" s="11" t="n">
        <v>32</v>
      </c>
      <c r="H192" s="29" t="n">
        <v>1344</v>
      </c>
      <c r="I192" s="29" t="n">
        <v>161</v>
      </c>
      <c r="J192" s="52">
        <f>H192+I192</f>
        <v/>
      </c>
      <c r="K192" s="52">
        <f>J192-H192</f>
        <v/>
      </c>
      <c r="L192" s="52">
        <f>SUMIFS(Quota_Groups!$G:$G,Quota_Groups!$B:$B,A192,Quota_Groups!$D:$D,E192)</f>
        <v/>
      </c>
      <c r="M192" s="53">
        <f>MIN(K192,L192)</f>
        <v/>
      </c>
      <c r="N192" s="11">
        <f>IF(K192&lt;=L192,"CAPACITY","QUOTA")</f>
        <v/>
      </c>
      <c r="O192" s="11">
        <f>IF(K192&lt;=0,"RESERVATION_DEFICIT",IF(L192&lt;=0,"QUOTA_DEFICIT",IF(M192&lt;I192*0.5,"READY_WITH_RISK","READY")))</f>
        <v/>
      </c>
      <c r="P192" s="39" t="inlineStr">
        <is>
          <t>DR 30% bootstrap (ENV-005)</t>
        </is>
      </c>
    </row>
    <row r="193">
      <c r="A193" s="11" t="inlineStr">
        <is>
          <t>West Europe</t>
        </is>
      </c>
      <c r="B193" s="11" t="inlineStr">
        <is>
          <t>EU</t>
        </is>
      </c>
      <c r="C193" s="11" t="inlineStr">
        <is>
          <t>DR</t>
        </is>
      </c>
      <c r="D193" s="11" t="inlineStr">
        <is>
          <t>Standard_D8ads_v5</t>
        </is>
      </c>
      <c r="E193" s="11">
        <f>VLOOKUP(D193,SKU_Family_Map!$A:$B,2,FALSE)</f>
        <v/>
      </c>
      <c r="F193" s="11" t="inlineStr">
        <is>
          <t>crg-dr-weu-reg</t>
        </is>
      </c>
      <c r="G193" s="11" t="n">
        <v>8</v>
      </c>
      <c r="H193" s="29" t="n">
        <v>1373</v>
      </c>
      <c r="I193" s="29" t="n">
        <v>165</v>
      </c>
      <c r="J193" s="52">
        <f>H193+I193</f>
        <v/>
      </c>
      <c r="K193" s="52">
        <f>J193-H193</f>
        <v/>
      </c>
      <c r="L193" s="52">
        <f>SUMIFS(Quota_Groups!$G:$G,Quota_Groups!$B:$B,A193,Quota_Groups!$D:$D,E193)</f>
        <v/>
      </c>
      <c r="M193" s="53">
        <f>MIN(K193,L193)</f>
        <v/>
      </c>
      <c r="N193" s="11">
        <f>IF(K193&lt;=L193,"CAPACITY","QUOTA")</f>
        <v/>
      </c>
      <c r="O193" s="11">
        <f>IF(K193&lt;=0,"RESERVATION_DEFICIT",IF(L193&lt;=0,"QUOTA_DEFICIT",IF(M193&lt;I193*0.5,"READY_WITH_RISK","READY")))</f>
        <v/>
      </c>
      <c r="P193" s="39" t="inlineStr">
        <is>
          <t>DR 30% bootstrap (ENV-005)</t>
        </is>
      </c>
    </row>
    <row r="194">
      <c r="A194" s="11" t="inlineStr">
        <is>
          <t>West Europe</t>
        </is>
      </c>
      <c r="B194" s="11" t="inlineStr">
        <is>
          <t>EU</t>
        </is>
      </c>
      <c r="C194" s="11" t="inlineStr">
        <is>
          <t>DR</t>
        </is>
      </c>
      <c r="D194" s="11" t="inlineStr">
        <is>
          <t>Standard_D16ads_v5</t>
        </is>
      </c>
      <c r="E194" s="11">
        <f>VLOOKUP(D194,SKU_Family_Map!$A:$B,2,FALSE)</f>
        <v/>
      </c>
      <c r="F194" s="11" t="inlineStr">
        <is>
          <t>crg-dr-weu-reg</t>
        </is>
      </c>
      <c r="G194" s="11" t="n">
        <v>16</v>
      </c>
      <c r="H194" s="29" t="n">
        <v>667</v>
      </c>
      <c r="I194" s="29" t="n">
        <v>80</v>
      </c>
      <c r="J194" s="52">
        <f>H194+I194</f>
        <v/>
      </c>
      <c r="K194" s="52">
        <f>J194-H194</f>
        <v/>
      </c>
      <c r="L194" s="52">
        <f>SUMIFS(Quota_Groups!$G:$G,Quota_Groups!$B:$B,A194,Quota_Groups!$D:$D,E194)</f>
        <v/>
      </c>
      <c r="M194" s="53">
        <f>MIN(K194,L194)</f>
        <v/>
      </c>
      <c r="N194" s="11">
        <f>IF(K194&lt;=L194,"CAPACITY","QUOTA")</f>
        <v/>
      </c>
      <c r="O194" s="11">
        <f>IF(K194&lt;=0,"RESERVATION_DEFICIT",IF(L194&lt;=0,"QUOTA_DEFICIT",IF(M194&lt;I194*0.5,"READY_WITH_RISK","READY")))</f>
        <v/>
      </c>
      <c r="P194" s="39" t="inlineStr">
        <is>
          <t>DR 30% bootstrap (ENV-005)</t>
        </is>
      </c>
    </row>
    <row r="195">
      <c r="A195" s="11" t="inlineStr">
        <is>
          <t>West Europe</t>
        </is>
      </c>
      <c r="B195" s="11" t="inlineStr">
        <is>
          <t>EU</t>
        </is>
      </c>
      <c r="C195" s="11" t="inlineStr">
        <is>
          <t>DR</t>
        </is>
      </c>
      <c r="D195" s="11" t="inlineStr">
        <is>
          <t>Standard_D8as_v5</t>
        </is>
      </c>
      <c r="E195" s="11">
        <f>VLOOKUP(D195,SKU_Family_Map!$A:$B,2,FALSE)</f>
        <v/>
      </c>
      <c r="F195" s="11" t="inlineStr">
        <is>
          <t>crg-dr-weu-reg</t>
        </is>
      </c>
      <c r="G195" s="11" t="n">
        <v>8</v>
      </c>
      <c r="H195" s="29" t="n">
        <v>1181</v>
      </c>
      <c r="I195" s="29" t="n">
        <v>142</v>
      </c>
      <c r="J195" s="52">
        <f>H195+I195</f>
        <v/>
      </c>
      <c r="K195" s="52">
        <f>J195-H195</f>
        <v/>
      </c>
      <c r="L195" s="52">
        <f>SUMIFS(Quota_Groups!$G:$G,Quota_Groups!$B:$B,A195,Quota_Groups!$D:$D,E195)</f>
        <v/>
      </c>
      <c r="M195" s="53">
        <f>MIN(K195,L195)</f>
        <v/>
      </c>
      <c r="N195" s="11">
        <f>IF(K195&lt;=L195,"CAPACITY","QUOTA")</f>
        <v/>
      </c>
      <c r="O195" s="11">
        <f>IF(K195&lt;=0,"RESERVATION_DEFICIT",IF(L195&lt;=0,"QUOTA_DEFICIT",IF(M195&lt;I195*0.5,"READY_WITH_RISK","READY")))</f>
        <v/>
      </c>
      <c r="P195" s="39" t="inlineStr">
        <is>
          <t>DR 30% bootstrap (ENV-005)</t>
        </is>
      </c>
    </row>
    <row r="196">
      <c r="A196" s="11" t="inlineStr">
        <is>
          <t>West Europe</t>
        </is>
      </c>
      <c r="B196" s="11" t="inlineStr">
        <is>
          <t>EU</t>
        </is>
      </c>
      <c r="C196" s="11" t="inlineStr">
        <is>
          <t>DR</t>
        </is>
      </c>
      <c r="D196" s="11" t="inlineStr">
        <is>
          <t>Standard_D16as_v5</t>
        </is>
      </c>
      <c r="E196" s="11">
        <f>VLOOKUP(D196,SKU_Family_Map!$A:$B,2,FALSE)</f>
        <v/>
      </c>
      <c r="F196" s="11" t="inlineStr">
        <is>
          <t>crg-dr-weu-reg</t>
        </is>
      </c>
      <c r="G196" s="11" t="n">
        <v>16</v>
      </c>
      <c r="H196" s="29" t="n">
        <v>389</v>
      </c>
      <c r="I196" s="29" t="n">
        <v>47</v>
      </c>
      <c r="J196" s="52">
        <f>H196+I196</f>
        <v/>
      </c>
      <c r="K196" s="52">
        <f>J196-H196</f>
        <v/>
      </c>
      <c r="L196" s="52">
        <f>SUMIFS(Quota_Groups!$G:$G,Quota_Groups!$B:$B,A196,Quota_Groups!$D:$D,E196)</f>
        <v/>
      </c>
      <c r="M196" s="53">
        <f>MIN(K196,L196)</f>
        <v/>
      </c>
      <c r="N196" s="11">
        <f>IF(K196&lt;=L196,"CAPACITY","QUOTA")</f>
        <v/>
      </c>
      <c r="O196" s="11">
        <f>IF(K196&lt;=0,"RESERVATION_DEFICIT",IF(L196&lt;=0,"QUOTA_DEFICIT",IF(M196&lt;I196*0.5,"READY_WITH_RISK","READY")))</f>
        <v/>
      </c>
      <c r="P196" s="39" t="inlineStr">
        <is>
          <t>DR 30% bootstrap (ENV-005)</t>
        </is>
      </c>
    </row>
  </sheetData>
  <mergeCells count="3">
    <mergeCell ref="A1:P1"/>
    <mergeCell ref="A3:P3"/>
    <mergeCell ref="A2:P2"/>
  </mergeCells>
  <conditionalFormatting sqref="O5:O196">
    <cfRule type="cellIs" priority="1" operator="equal" dxfId="0">
      <formula>"READY"</formula>
    </cfRule>
    <cfRule type="cellIs" priority="2" operator="equal" dxfId="4">
      <formula>"READY_WITH_RISK"</formula>
    </cfRule>
    <cfRule type="expression" priority="3" dxfId="1">
      <formula>RIGHT(O5,7)="DEFICIT"</formula>
    </cfRule>
  </conditionalFormatting>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35"/>
  <sheetViews>
    <sheetView showGridLines="0" workbookViewId="0">
      <pane ySplit="3" topLeftCell="A4" activePane="bottomLeft" state="frozen"/>
      <selection pane="bottomLeft" activeCell="A1" sqref="A1"/>
    </sheetView>
  </sheetViews>
  <sheetFormatPr baseColWidth="8" defaultRowHeight="15"/>
  <cols>
    <col width="20" customWidth="1" min="1" max="1"/>
    <col width="15" customWidth="1" min="2" max="2"/>
    <col width="11" customWidth="1" min="3" max="3"/>
    <col width="14" customWidth="1" min="4" max="4"/>
    <col width="18" customWidth="1" min="5" max="5"/>
    <col width="18" customWidth="1" min="6" max="6"/>
    <col width="15" customWidth="1" min="7" max="7"/>
    <col width="15" customWidth="1" min="8" max="8"/>
    <col width="15" customWidth="1" min="9" max="9"/>
    <col width="22" customWidth="1" min="10" max="10"/>
  </cols>
  <sheetData>
    <row r="1">
      <c r="A1" s="8" t="inlineStr">
        <is>
          <t>QUOTA GROUPS (hoarded pool per Region × Family, across Prod+NonProd+DR)</t>
        </is>
      </c>
    </row>
    <row r="2">
      <c r="A2" s="9" t="inlineStr">
        <is>
          <t>ONE governed quota group per region × VM/quota family (QUA-004), POOLED across all environments (Prod+NonProd+DR) — quota and capacity are separate planes, so ENV-003 does NOT split quota. Unused quota is HOARDED into the pool (QUA-003) and DISTRIBUTED to subscriptions on demand. 'Group Used' sums Allocated across ALL environments for the family (live).</t>
        </is>
      </c>
    </row>
    <row r="3">
      <c r="A3" s="50" t="inlineStr">
        <is>
          <t>Quota Group</t>
        </is>
      </c>
      <c r="B3" s="50" t="inlineStr">
        <is>
          <t>Region</t>
        </is>
      </c>
      <c r="C3" s="50" t="inlineStr">
        <is>
          <t>Geography</t>
        </is>
      </c>
      <c r="D3" s="50" t="inlineStr">
        <is>
          <t>Quota Family</t>
        </is>
      </c>
      <c r="E3" s="50" t="inlineStr">
        <is>
          <t>Group Limit (pooled)</t>
        </is>
      </c>
      <c r="F3" s="50" t="inlineStr">
        <is>
          <t>Group Used (all envs)</t>
        </is>
      </c>
      <c r="G3" s="50" t="inlineStr">
        <is>
          <t>Group Available</t>
        </is>
      </c>
      <c r="H3" s="50" t="inlineStr">
        <is>
          <t>Hoarded Contrib</t>
        </is>
      </c>
      <c r="I3" s="50" t="inlineStr">
        <is>
          <t>Pending Increase</t>
        </is>
      </c>
      <c r="J3" s="50" t="inlineStr">
        <is>
          <t>Notes</t>
        </is>
      </c>
    </row>
    <row r="4">
      <c r="A4" s="11" t="inlineStr">
        <is>
          <t>qg-wus3-eadsv5</t>
        </is>
      </c>
      <c r="B4" s="11" t="inlineStr">
        <is>
          <t>West US 3</t>
        </is>
      </c>
      <c r="C4" s="11" t="inlineStr">
        <is>
          <t>US</t>
        </is>
      </c>
      <c r="D4" s="11" t="inlineStr">
        <is>
          <t>Eadsv5</t>
        </is>
      </c>
      <c r="E4" s="29" t="n">
        <v>0</v>
      </c>
      <c r="F4" s="52">
        <f>SUMIFS(Capacity_By_SKU!$H:$H,Capacity_By_SKU!$A:$A,B4,Capacity_By_SKU!$E:$E,D4)</f>
        <v/>
      </c>
      <c r="G4" s="52">
        <f>E4-F4</f>
        <v/>
      </c>
      <c r="H4" s="29" t="n">
        <v>0</v>
      </c>
      <c r="I4" s="29" t="n">
        <v>0</v>
      </c>
      <c r="J4" s="39" t="inlineStr"/>
    </row>
    <row r="5">
      <c r="A5" s="11" t="inlineStr">
        <is>
          <t>qg-wus3-eadsv6</t>
        </is>
      </c>
      <c r="B5" s="11" t="inlineStr">
        <is>
          <t>West US 3</t>
        </is>
      </c>
      <c r="C5" s="11" t="inlineStr">
        <is>
          <t>US</t>
        </is>
      </c>
      <c r="D5" s="11" t="inlineStr">
        <is>
          <t>Eadsv6</t>
        </is>
      </c>
      <c r="E5" s="29" t="n">
        <v>0</v>
      </c>
      <c r="F5" s="52">
        <f>SUMIFS(Capacity_By_SKU!$H:$H,Capacity_By_SKU!$A:$A,B5,Capacity_By_SKU!$E:$E,D5)</f>
        <v/>
      </c>
      <c r="G5" s="52">
        <f>E5-F5</f>
        <v/>
      </c>
      <c r="H5" s="29" t="n">
        <v>0</v>
      </c>
      <c r="I5" s="29" t="n">
        <v>0</v>
      </c>
      <c r="J5" s="39" t="inlineStr"/>
    </row>
    <row r="6">
      <c r="A6" s="11" t="inlineStr">
        <is>
          <t>qg-wus3-dadsv5</t>
        </is>
      </c>
      <c r="B6" s="11" t="inlineStr">
        <is>
          <t>West US 3</t>
        </is>
      </c>
      <c r="C6" s="11" t="inlineStr">
        <is>
          <t>US</t>
        </is>
      </c>
      <c r="D6" s="11" t="inlineStr">
        <is>
          <t>Dadsv5</t>
        </is>
      </c>
      <c r="E6" s="29" t="n">
        <v>0</v>
      </c>
      <c r="F6" s="52">
        <f>SUMIFS(Capacity_By_SKU!$H:$H,Capacity_By_SKU!$A:$A,B6,Capacity_By_SKU!$E:$E,D6)</f>
        <v/>
      </c>
      <c r="G6" s="52">
        <f>E6-F6</f>
        <v/>
      </c>
      <c r="H6" s="29" t="n">
        <v>0</v>
      </c>
      <c r="I6" s="29" t="n">
        <v>0</v>
      </c>
      <c r="J6" s="39" t="inlineStr"/>
    </row>
    <row r="7">
      <c r="A7" s="11" t="inlineStr">
        <is>
          <t>qg-wus3-dasv5</t>
        </is>
      </c>
      <c r="B7" s="11" t="inlineStr">
        <is>
          <t>West US 3</t>
        </is>
      </c>
      <c r="C7" s="11" t="inlineStr">
        <is>
          <t>US</t>
        </is>
      </c>
      <c r="D7" s="11" t="inlineStr">
        <is>
          <t>Dasv5</t>
        </is>
      </c>
      <c r="E7" s="29" t="n">
        <v>0</v>
      </c>
      <c r="F7" s="52">
        <f>SUMIFS(Capacity_By_SKU!$H:$H,Capacity_By_SKU!$A:$A,B7,Capacity_By_SKU!$E:$E,D7)</f>
        <v/>
      </c>
      <c r="G7" s="52">
        <f>E7-F7</f>
        <v/>
      </c>
      <c r="H7" s="29" t="n">
        <v>0</v>
      </c>
      <c r="I7" s="29" t="n">
        <v>0</v>
      </c>
      <c r="J7" s="39" t="inlineStr"/>
    </row>
    <row r="8">
      <c r="A8" s="11" t="inlineStr">
        <is>
          <t>qg-cus-eadsv5</t>
        </is>
      </c>
      <c r="B8" s="11" t="inlineStr">
        <is>
          <t>Central US</t>
        </is>
      </c>
      <c r="C8" s="11" t="inlineStr">
        <is>
          <t>US</t>
        </is>
      </c>
      <c r="D8" s="11" t="inlineStr">
        <is>
          <t>Eadsv5</t>
        </is>
      </c>
      <c r="E8" s="29" t="n">
        <v>11505</v>
      </c>
      <c r="F8" s="52">
        <f>SUMIFS(Capacity_By_SKU!$H:$H,Capacity_By_SKU!$A:$A,B8,Capacity_By_SKU!$E:$E,D8)</f>
        <v/>
      </c>
      <c r="G8" s="52">
        <f>E8-F8</f>
        <v/>
      </c>
      <c r="H8" s="29" t="n">
        <v>1150</v>
      </c>
      <c r="I8" s="29" t="n">
        <v>0</v>
      </c>
      <c r="J8" s="39" t="inlineStr"/>
    </row>
    <row r="9">
      <c r="A9" s="11" t="inlineStr">
        <is>
          <t>qg-cus-eadsv6</t>
        </is>
      </c>
      <c r="B9" s="11" t="inlineStr">
        <is>
          <t>Central US</t>
        </is>
      </c>
      <c r="C9" s="11" t="inlineStr">
        <is>
          <t>US</t>
        </is>
      </c>
      <c r="D9" s="11" t="inlineStr">
        <is>
          <t>Eadsv6</t>
        </is>
      </c>
      <c r="E9" s="29" t="n">
        <v>1208</v>
      </c>
      <c r="F9" s="52">
        <f>SUMIFS(Capacity_By_SKU!$H:$H,Capacity_By_SKU!$A:$A,B9,Capacity_By_SKU!$E:$E,D9)</f>
        <v/>
      </c>
      <c r="G9" s="52">
        <f>E9-F9</f>
        <v/>
      </c>
      <c r="H9" s="29" t="n">
        <v>121</v>
      </c>
      <c r="I9" s="29" t="n">
        <v>0</v>
      </c>
      <c r="J9" s="39" t="inlineStr"/>
    </row>
    <row r="10">
      <c r="A10" s="11" t="inlineStr">
        <is>
          <t>qg-cus-dadsv5</t>
        </is>
      </c>
      <c r="B10" s="11" t="inlineStr">
        <is>
          <t>Central US</t>
        </is>
      </c>
      <c r="C10" s="11" t="inlineStr">
        <is>
          <t>US</t>
        </is>
      </c>
      <c r="D10" s="11" t="inlineStr">
        <is>
          <t>Dadsv5</t>
        </is>
      </c>
      <c r="E10" s="29" t="n">
        <v>6199</v>
      </c>
      <c r="F10" s="52">
        <f>SUMIFS(Capacity_By_SKU!$H:$H,Capacity_By_SKU!$A:$A,B10,Capacity_By_SKU!$E:$E,D10)</f>
        <v/>
      </c>
      <c r="G10" s="52">
        <f>E10-F10</f>
        <v/>
      </c>
      <c r="H10" s="29" t="n">
        <v>620</v>
      </c>
      <c r="I10" s="29" t="n">
        <v>0</v>
      </c>
      <c r="J10" s="39" t="inlineStr"/>
    </row>
    <row r="11">
      <c r="A11" s="11" t="inlineStr">
        <is>
          <t>qg-cus-dasv5</t>
        </is>
      </c>
      <c r="B11" s="11" t="inlineStr">
        <is>
          <t>Central US</t>
        </is>
      </c>
      <c r="C11" s="11" t="inlineStr">
        <is>
          <t>US</t>
        </is>
      </c>
      <c r="D11" s="11" t="inlineStr">
        <is>
          <t>Dasv5</t>
        </is>
      </c>
      <c r="E11" s="29" t="n">
        <v>19012</v>
      </c>
      <c r="F11" s="52">
        <f>SUMIFS(Capacity_By_SKU!$H:$H,Capacity_By_SKU!$A:$A,B11,Capacity_By_SKU!$E:$E,D11)</f>
        <v/>
      </c>
      <c r="G11" s="52">
        <f>E11-F11</f>
        <v/>
      </c>
      <c r="H11" s="29" t="n">
        <v>1901</v>
      </c>
      <c r="I11" s="29" t="n">
        <v>0</v>
      </c>
      <c r="J11" s="39" t="inlineStr"/>
    </row>
    <row r="12">
      <c r="A12" s="11" t="inlineStr">
        <is>
          <t>qg-cac-eadsv5</t>
        </is>
      </c>
      <c r="B12" s="11" t="inlineStr">
        <is>
          <t>Canada Central</t>
        </is>
      </c>
      <c r="C12" s="11" t="inlineStr">
        <is>
          <t>US</t>
        </is>
      </c>
      <c r="D12" s="11" t="inlineStr">
        <is>
          <t>Eadsv5</t>
        </is>
      </c>
      <c r="E12" s="29" t="n">
        <v>32818</v>
      </c>
      <c r="F12" s="52">
        <f>SUMIFS(Capacity_By_SKU!$H:$H,Capacity_By_SKU!$A:$A,B12,Capacity_By_SKU!$E:$E,D12)</f>
        <v/>
      </c>
      <c r="G12" s="52">
        <f>E12-F12</f>
        <v/>
      </c>
      <c r="H12" s="29" t="n">
        <v>3282</v>
      </c>
      <c r="I12" s="29" t="n">
        <v>0</v>
      </c>
      <c r="J12" s="39" t="inlineStr">
        <is>
          <t>mock (absent in data)</t>
        </is>
      </c>
    </row>
    <row r="13">
      <c r="A13" s="11" t="inlineStr">
        <is>
          <t>qg-cac-eadsv6</t>
        </is>
      </c>
      <c r="B13" s="11" t="inlineStr">
        <is>
          <t>Canada Central</t>
        </is>
      </c>
      <c r="C13" s="11" t="inlineStr">
        <is>
          <t>US</t>
        </is>
      </c>
      <c r="D13" s="11" t="inlineStr">
        <is>
          <t>Eadsv6</t>
        </is>
      </c>
      <c r="E13" s="29" t="n">
        <v>9304</v>
      </c>
      <c r="F13" s="52">
        <f>SUMIFS(Capacity_By_SKU!$H:$H,Capacity_By_SKU!$A:$A,B13,Capacity_By_SKU!$E:$E,D13)</f>
        <v/>
      </c>
      <c r="G13" s="52">
        <f>E13-F13</f>
        <v/>
      </c>
      <c r="H13" s="29" t="n">
        <v>930</v>
      </c>
      <c r="I13" s="29" t="n">
        <v>0</v>
      </c>
      <c r="J13" s="39" t="inlineStr">
        <is>
          <t>mock (absent in data)</t>
        </is>
      </c>
    </row>
    <row r="14">
      <c r="A14" s="11" t="inlineStr">
        <is>
          <t>qg-cac-dadsv5</t>
        </is>
      </c>
      <c r="B14" s="11" t="inlineStr">
        <is>
          <t>Canada Central</t>
        </is>
      </c>
      <c r="C14" s="11" t="inlineStr">
        <is>
          <t>US</t>
        </is>
      </c>
      <c r="D14" s="11" t="inlineStr">
        <is>
          <t>Dadsv5</t>
        </is>
      </c>
      <c r="E14" s="29" t="n">
        <v>10574</v>
      </c>
      <c r="F14" s="52">
        <f>SUMIFS(Capacity_By_SKU!$H:$H,Capacity_By_SKU!$A:$A,B14,Capacity_By_SKU!$E:$E,D14)</f>
        <v/>
      </c>
      <c r="G14" s="52">
        <f>E14-F14</f>
        <v/>
      </c>
      <c r="H14" s="29" t="n">
        <v>1057</v>
      </c>
      <c r="I14" s="29" t="n">
        <v>0</v>
      </c>
      <c r="J14" s="39" t="inlineStr">
        <is>
          <t>mock (absent in data)</t>
        </is>
      </c>
    </row>
    <row r="15">
      <c r="A15" s="11" t="inlineStr">
        <is>
          <t>qg-cac-dasv5</t>
        </is>
      </c>
      <c r="B15" s="11" t="inlineStr">
        <is>
          <t>Canada Central</t>
        </is>
      </c>
      <c r="C15" s="11" t="inlineStr">
        <is>
          <t>US</t>
        </is>
      </c>
      <c r="D15" s="11" t="inlineStr">
        <is>
          <t>Dasv5</t>
        </is>
      </c>
      <c r="E15" s="29" t="n">
        <v>11567</v>
      </c>
      <c r="F15" s="52">
        <f>SUMIFS(Capacity_By_SKU!$H:$H,Capacity_By_SKU!$A:$A,B15,Capacity_By_SKU!$E:$E,D15)</f>
        <v/>
      </c>
      <c r="G15" s="52">
        <f>E15-F15</f>
        <v/>
      </c>
      <c r="H15" s="29" t="n">
        <v>1157</v>
      </c>
      <c r="I15" s="29" t="n">
        <v>0</v>
      </c>
      <c r="J15" s="39" t="inlineStr">
        <is>
          <t>mock (absent in data)</t>
        </is>
      </c>
    </row>
    <row r="16">
      <c r="A16" s="11" t="inlineStr">
        <is>
          <t>qg-eus2-eadsv5</t>
        </is>
      </c>
      <c r="B16" s="11" t="inlineStr">
        <is>
          <t>East US 2</t>
        </is>
      </c>
      <c r="C16" s="11" t="inlineStr">
        <is>
          <t>US</t>
        </is>
      </c>
      <c r="D16" s="11" t="inlineStr">
        <is>
          <t>Eadsv5</t>
        </is>
      </c>
      <c r="E16" s="29" t="n">
        <v>185410</v>
      </c>
      <c r="F16" s="52">
        <f>SUMIFS(Capacity_By_SKU!$H:$H,Capacity_By_SKU!$A:$A,B16,Capacity_By_SKU!$E:$E,D16)</f>
        <v/>
      </c>
      <c r="G16" s="52">
        <f>E16-F16</f>
        <v/>
      </c>
      <c r="H16" s="29" t="n">
        <v>18541</v>
      </c>
      <c r="I16" s="29" t="n">
        <v>0</v>
      </c>
      <c r="J16" s="39" t="inlineStr"/>
    </row>
    <row r="17">
      <c r="A17" s="11" t="inlineStr">
        <is>
          <t>qg-eus2-eadsv6</t>
        </is>
      </c>
      <c r="B17" s="11" t="inlineStr">
        <is>
          <t>East US 2</t>
        </is>
      </c>
      <c r="C17" s="11" t="inlineStr">
        <is>
          <t>US</t>
        </is>
      </c>
      <c r="D17" s="11" t="inlineStr">
        <is>
          <t>Eadsv6</t>
        </is>
      </c>
      <c r="E17" s="29" t="n">
        <v>54611</v>
      </c>
      <c r="F17" s="52">
        <f>SUMIFS(Capacity_By_SKU!$H:$H,Capacity_By_SKU!$A:$A,B17,Capacity_By_SKU!$E:$E,D17)</f>
        <v/>
      </c>
      <c r="G17" s="52">
        <f>E17-F17</f>
        <v/>
      </c>
      <c r="H17" s="29" t="n">
        <v>5461</v>
      </c>
      <c r="I17" s="29" t="n">
        <v>0</v>
      </c>
      <c r="J17" s="39" t="inlineStr"/>
    </row>
    <row r="18">
      <c r="A18" s="11" t="inlineStr">
        <is>
          <t>qg-eus2-dadsv5</t>
        </is>
      </c>
      <c r="B18" s="11" t="inlineStr">
        <is>
          <t>East US 2</t>
        </is>
      </c>
      <c r="C18" s="11" t="inlineStr">
        <is>
          <t>US</t>
        </is>
      </c>
      <c r="D18" s="11" t="inlineStr">
        <is>
          <t>Dadsv5</t>
        </is>
      </c>
      <c r="E18" s="29" t="n">
        <v>57240</v>
      </c>
      <c r="F18" s="52">
        <f>SUMIFS(Capacity_By_SKU!$H:$H,Capacity_By_SKU!$A:$A,B18,Capacity_By_SKU!$E:$E,D18)</f>
        <v/>
      </c>
      <c r="G18" s="52">
        <f>E18-F18</f>
        <v/>
      </c>
      <c r="H18" s="29" t="n">
        <v>5724</v>
      </c>
      <c r="I18" s="29" t="n">
        <v>0</v>
      </c>
      <c r="J18" s="39" t="inlineStr"/>
    </row>
    <row r="19">
      <c r="A19" s="11" t="inlineStr">
        <is>
          <t>qg-eus2-dasv5</t>
        </is>
      </c>
      <c r="B19" s="11" t="inlineStr">
        <is>
          <t>East US 2</t>
        </is>
      </c>
      <c r="C19" s="11" t="inlineStr">
        <is>
          <t>US</t>
        </is>
      </c>
      <c r="D19" s="11" t="inlineStr">
        <is>
          <t>Dasv5</t>
        </is>
      </c>
      <c r="E19" s="29" t="n">
        <v>50385</v>
      </c>
      <c r="F19" s="52">
        <f>SUMIFS(Capacity_By_SKU!$H:$H,Capacity_By_SKU!$A:$A,B19,Capacity_By_SKU!$E:$E,D19)</f>
        <v/>
      </c>
      <c r="G19" s="52">
        <f>E19-F19</f>
        <v/>
      </c>
      <c r="H19" s="29" t="n">
        <v>5038</v>
      </c>
      <c r="I19" s="29" t="n">
        <v>0</v>
      </c>
      <c r="J19" s="39" t="inlineStr"/>
    </row>
    <row r="20">
      <c r="A20" s="11" t="inlineStr">
        <is>
          <t>qg-chn-eadsv5</t>
        </is>
      </c>
      <c r="B20" s="11" t="inlineStr">
        <is>
          <t>Switzerland North</t>
        </is>
      </c>
      <c r="C20" s="11" t="inlineStr">
        <is>
          <t>EU</t>
        </is>
      </c>
      <c r="D20" s="11" t="inlineStr">
        <is>
          <t>Eadsv5</t>
        </is>
      </c>
      <c r="E20" s="29" t="n">
        <v>0</v>
      </c>
      <c r="F20" s="52">
        <f>SUMIFS(Capacity_By_SKU!$H:$H,Capacity_By_SKU!$A:$A,B20,Capacity_By_SKU!$E:$E,D20)</f>
        <v/>
      </c>
      <c r="G20" s="52">
        <f>E20-F20</f>
        <v/>
      </c>
      <c r="H20" s="29" t="n">
        <v>0</v>
      </c>
      <c r="I20" s="29" t="n">
        <v>0</v>
      </c>
      <c r="J20" s="39" t="inlineStr"/>
    </row>
    <row r="21">
      <c r="A21" s="11" t="inlineStr">
        <is>
          <t>qg-chn-eadsv6</t>
        </is>
      </c>
      <c r="B21" s="11" t="inlineStr">
        <is>
          <t>Switzerland North</t>
        </is>
      </c>
      <c r="C21" s="11" t="inlineStr">
        <is>
          <t>EU</t>
        </is>
      </c>
      <c r="D21" s="11" t="inlineStr">
        <is>
          <t>Eadsv6</t>
        </is>
      </c>
      <c r="E21" s="29" t="n">
        <v>1524</v>
      </c>
      <c r="F21" s="52">
        <f>SUMIFS(Capacity_By_SKU!$H:$H,Capacity_By_SKU!$A:$A,B21,Capacity_By_SKU!$E:$E,D21)</f>
        <v/>
      </c>
      <c r="G21" s="52">
        <f>E21-F21</f>
        <v/>
      </c>
      <c r="H21" s="29" t="n">
        <v>152</v>
      </c>
      <c r="I21" s="29" t="n">
        <v>0</v>
      </c>
      <c r="J21" s="39" t="inlineStr"/>
    </row>
    <row r="22">
      <c r="A22" s="11" t="inlineStr">
        <is>
          <t>qg-chn-dadsv5</t>
        </is>
      </c>
      <c r="B22" s="11" t="inlineStr">
        <is>
          <t>Switzerland North</t>
        </is>
      </c>
      <c r="C22" s="11" t="inlineStr">
        <is>
          <t>EU</t>
        </is>
      </c>
      <c r="D22" s="11" t="inlineStr">
        <is>
          <t>Dadsv5</t>
        </is>
      </c>
      <c r="E22" s="29" t="n">
        <v>0</v>
      </c>
      <c r="F22" s="52">
        <f>SUMIFS(Capacity_By_SKU!$H:$H,Capacity_By_SKU!$A:$A,B22,Capacity_By_SKU!$E:$E,D22)</f>
        <v/>
      </c>
      <c r="G22" s="52">
        <f>E22-F22</f>
        <v/>
      </c>
      <c r="H22" s="29" t="n">
        <v>0</v>
      </c>
      <c r="I22" s="29" t="n">
        <v>0</v>
      </c>
      <c r="J22" s="39" t="inlineStr"/>
    </row>
    <row r="23">
      <c r="A23" s="11" t="inlineStr">
        <is>
          <t>qg-chn-dasv5</t>
        </is>
      </c>
      <c r="B23" s="11" t="inlineStr">
        <is>
          <t>Switzerland North</t>
        </is>
      </c>
      <c r="C23" s="11" t="inlineStr">
        <is>
          <t>EU</t>
        </is>
      </c>
      <c r="D23" s="11" t="inlineStr">
        <is>
          <t>Dasv5</t>
        </is>
      </c>
      <c r="E23" s="29" t="n">
        <v>0</v>
      </c>
      <c r="F23" s="52">
        <f>SUMIFS(Capacity_By_SKU!$H:$H,Capacity_By_SKU!$A:$A,B23,Capacity_By_SKU!$E:$E,D23)</f>
        <v/>
      </c>
      <c r="G23" s="52">
        <f>E23-F23</f>
        <v/>
      </c>
      <c r="H23" s="29" t="n">
        <v>0</v>
      </c>
      <c r="I23" s="29" t="n">
        <v>0</v>
      </c>
      <c r="J23" s="39" t="inlineStr"/>
    </row>
    <row r="24">
      <c r="A24" s="11" t="inlineStr">
        <is>
          <t>qg-sec-eadsv5</t>
        </is>
      </c>
      <c r="B24" s="11" t="inlineStr">
        <is>
          <t>Sweden Central</t>
        </is>
      </c>
      <c r="C24" s="11" t="inlineStr">
        <is>
          <t>EU</t>
        </is>
      </c>
      <c r="D24" s="11" t="inlineStr">
        <is>
          <t>Eadsv5</t>
        </is>
      </c>
      <c r="E24" s="29" t="n">
        <v>386</v>
      </c>
      <c r="F24" s="52">
        <f>SUMIFS(Capacity_By_SKU!$H:$H,Capacity_By_SKU!$A:$A,B24,Capacity_By_SKU!$E:$E,D24)</f>
        <v/>
      </c>
      <c r="G24" s="52">
        <f>E24-F24</f>
        <v/>
      </c>
      <c r="H24" s="29" t="n">
        <v>39</v>
      </c>
      <c r="I24" s="29" t="n">
        <v>0</v>
      </c>
      <c r="J24" s="39" t="inlineStr"/>
    </row>
    <row r="25">
      <c r="A25" s="11" t="inlineStr">
        <is>
          <t>qg-sec-eadsv6</t>
        </is>
      </c>
      <c r="B25" s="11" t="inlineStr">
        <is>
          <t>Sweden Central</t>
        </is>
      </c>
      <c r="C25" s="11" t="inlineStr">
        <is>
          <t>EU</t>
        </is>
      </c>
      <c r="D25" s="11" t="inlineStr">
        <is>
          <t>Eadsv6</t>
        </is>
      </c>
      <c r="E25" s="29" t="n">
        <v>2031</v>
      </c>
      <c r="F25" s="52">
        <f>SUMIFS(Capacity_By_SKU!$H:$H,Capacity_By_SKU!$A:$A,B25,Capacity_By_SKU!$E:$E,D25)</f>
        <v/>
      </c>
      <c r="G25" s="52">
        <f>E25-F25</f>
        <v/>
      </c>
      <c r="H25" s="29" t="n">
        <v>203</v>
      </c>
      <c r="I25" s="29" t="n">
        <v>0</v>
      </c>
      <c r="J25" s="39" t="inlineStr"/>
    </row>
    <row r="26">
      <c r="A26" s="11" t="inlineStr">
        <is>
          <t>qg-sec-dadsv5</t>
        </is>
      </c>
      <c r="B26" s="11" t="inlineStr">
        <is>
          <t>Sweden Central</t>
        </is>
      </c>
      <c r="C26" s="11" t="inlineStr">
        <is>
          <t>EU</t>
        </is>
      </c>
      <c r="D26" s="11" t="inlineStr">
        <is>
          <t>Dadsv5</t>
        </is>
      </c>
      <c r="E26" s="29" t="n">
        <v>0</v>
      </c>
      <c r="F26" s="52">
        <f>SUMIFS(Capacity_By_SKU!$H:$H,Capacity_By_SKU!$A:$A,B26,Capacity_By_SKU!$E:$E,D26)</f>
        <v/>
      </c>
      <c r="G26" s="52">
        <f>E26-F26</f>
        <v/>
      </c>
      <c r="H26" s="29" t="n">
        <v>0</v>
      </c>
      <c r="I26" s="29" t="n">
        <v>0</v>
      </c>
      <c r="J26" s="39" t="inlineStr"/>
    </row>
    <row r="27">
      <c r="A27" s="11" t="inlineStr">
        <is>
          <t>qg-sec-dasv5</t>
        </is>
      </c>
      <c r="B27" s="11" t="inlineStr">
        <is>
          <t>Sweden Central</t>
        </is>
      </c>
      <c r="C27" s="11" t="inlineStr">
        <is>
          <t>EU</t>
        </is>
      </c>
      <c r="D27" s="11" t="inlineStr">
        <is>
          <t>Dasv5</t>
        </is>
      </c>
      <c r="E27" s="29" t="n">
        <v>0</v>
      </c>
      <c r="F27" s="52">
        <f>SUMIFS(Capacity_By_SKU!$H:$H,Capacity_By_SKU!$A:$A,B27,Capacity_By_SKU!$E:$E,D27)</f>
        <v/>
      </c>
      <c r="G27" s="52">
        <f>E27-F27</f>
        <v/>
      </c>
      <c r="H27" s="29" t="n">
        <v>0</v>
      </c>
      <c r="I27" s="29" t="n">
        <v>0</v>
      </c>
      <c r="J27" s="39" t="inlineStr"/>
    </row>
    <row r="28">
      <c r="A28" s="11" t="inlineStr">
        <is>
          <t>qg-neu-eadsv5</t>
        </is>
      </c>
      <c r="B28" s="11" t="inlineStr">
        <is>
          <t>North Europe</t>
        </is>
      </c>
      <c r="C28" s="11" t="inlineStr">
        <is>
          <t>EU</t>
        </is>
      </c>
      <c r="D28" s="11" t="inlineStr">
        <is>
          <t>Eadsv5</t>
        </is>
      </c>
      <c r="E28" s="29" t="n">
        <v>4983</v>
      </c>
      <c r="F28" s="52">
        <f>SUMIFS(Capacity_By_SKU!$H:$H,Capacity_By_SKU!$A:$A,B28,Capacity_By_SKU!$E:$E,D28)</f>
        <v/>
      </c>
      <c r="G28" s="52">
        <f>E28-F28</f>
        <v/>
      </c>
      <c r="H28" s="29" t="n">
        <v>498</v>
      </c>
      <c r="I28" s="29" t="n">
        <v>0</v>
      </c>
      <c r="J28" s="39" t="inlineStr"/>
    </row>
    <row r="29">
      <c r="A29" s="11" t="inlineStr">
        <is>
          <t>qg-neu-eadsv6</t>
        </is>
      </c>
      <c r="B29" s="11" t="inlineStr">
        <is>
          <t>North Europe</t>
        </is>
      </c>
      <c r="C29" s="11" t="inlineStr">
        <is>
          <t>EU</t>
        </is>
      </c>
      <c r="D29" s="11" t="inlineStr">
        <is>
          <t>Eadsv6</t>
        </is>
      </c>
      <c r="E29" s="29" t="n">
        <v>1030</v>
      </c>
      <c r="F29" s="52">
        <f>SUMIFS(Capacity_By_SKU!$H:$H,Capacity_By_SKU!$A:$A,B29,Capacity_By_SKU!$E:$E,D29)</f>
        <v/>
      </c>
      <c r="G29" s="52">
        <f>E29-F29</f>
        <v/>
      </c>
      <c r="H29" s="29" t="n">
        <v>103</v>
      </c>
      <c r="I29" s="29" t="n">
        <v>0</v>
      </c>
      <c r="J29" s="39" t="inlineStr"/>
    </row>
    <row r="30">
      <c r="A30" s="11" t="inlineStr">
        <is>
          <t>qg-neu-dadsv5</t>
        </is>
      </c>
      <c r="B30" s="11" t="inlineStr">
        <is>
          <t>North Europe</t>
        </is>
      </c>
      <c r="C30" s="11" t="inlineStr">
        <is>
          <t>EU</t>
        </is>
      </c>
      <c r="D30" s="11" t="inlineStr">
        <is>
          <t>Dadsv5</t>
        </is>
      </c>
      <c r="E30" s="29" t="n">
        <v>592</v>
      </c>
      <c r="F30" s="52">
        <f>SUMIFS(Capacity_By_SKU!$H:$H,Capacity_By_SKU!$A:$A,B30,Capacity_By_SKU!$E:$E,D30)</f>
        <v/>
      </c>
      <c r="G30" s="52">
        <f>E30-F30</f>
        <v/>
      </c>
      <c r="H30" s="29" t="n">
        <v>59</v>
      </c>
      <c r="I30" s="29" t="n">
        <v>0</v>
      </c>
      <c r="J30" s="39" t="inlineStr"/>
    </row>
    <row r="31">
      <c r="A31" s="11" t="inlineStr">
        <is>
          <t>qg-neu-dasv5</t>
        </is>
      </c>
      <c r="B31" s="11" t="inlineStr">
        <is>
          <t>North Europe</t>
        </is>
      </c>
      <c r="C31" s="11" t="inlineStr">
        <is>
          <t>EU</t>
        </is>
      </c>
      <c r="D31" s="11" t="inlineStr">
        <is>
          <t>Dasv5</t>
        </is>
      </c>
      <c r="E31" s="29" t="n">
        <v>5933</v>
      </c>
      <c r="F31" s="52">
        <f>SUMIFS(Capacity_By_SKU!$H:$H,Capacity_By_SKU!$A:$A,B31,Capacity_By_SKU!$E:$E,D31)</f>
        <v/>
      </c>
      <c r="G31" s="52">
        <f>E31-F31</f>
        <v/>
      </c>
      <c r="H31" s="29" t="n">
        <v>593</v>
      </c>
      <c r="I31" s="29" t="n">
        <v>0</v>
      </c>
      <c r="J31" s="39" t="inlineStr"/>
    </row>
    <row r="32">
      <c r="A32" s="11" t="inlineStr">
        <is>
          <t>qg-weu-eadsv5</t>
        </is>
      </c>
      <c r="B32" s="11" t="inlineStr">
        <is>
          <t>West Europe</t>
        </is>
      </c>
      <c r="C32" s="11" t="inlineStr">
        <is>
          <t>EU</t>
        </is>
      </c>
      <c r="D32" s="11" t="inlineStr">
        <is>
          <t>Eadsv5</t>
        </is>
      </c>
      <c r="E32" s="29" t="n">
        <v>93625</v>
      </c>
      <c r="F32" s="52">
        <f>SUMIFS(Capacity_By_SKU!$H:$H,Capacity_By_SKU!$A:$A,B32,Capacity_By_SKU!$E:$E,D32)</f>
        <v/>
      </c>
      <c r="G32" s="52">
        <f>E32-F32</f>
        <v/>
      </c>
      <c r="H32" s="29" t="n">
        <v>9362</v>
      </c>
      <c r="I32" s="29" t="n">
        <v>0</v>
      </c>
      <c r="J32" s="39" t="inlineStr"/>
    </row>
    <row r="33">
      <c r="A33" s="11" t="inlineStr">
        <is>
          <t>qg-weu-eadsv6</t>
        </is>
      </c>
      <c r="B33" s="11" t="inlineStr">
        <is>
          <t>West Europe</t>
        </is>
      </c>
      <c r="C33" s="11" t="inlineStr">
        <is>
          <t>EU</t>
        </is>
      </c>
      <c r="D33" s="11" t="inlineStr">
        <is>
          <t>Eadsv6</t>
        </is>
      </c>
      <c r="E33" s="29" t="n">
        <v>19651</v>
      </c>
      <c r="F33" s="52">
        <f>SUMIFS(Capacity_By_SKU!$H:$H,Capacity_By_SKU!$A:$A,B33,Capacity_By_SKU!$E:$E,D33)</f>
        <v/>
      </c>
      <c r="G33" s="52">
        <f>E33-F33</f>
        <v/>
      </c>
      <c r="H33" s="29" t="n">
        <v>1965</v>
      </c>
      <c r="I33" s="29" t="n">
        <v>0</v>
      </c>
      <c r="J33" s="39" t="inlineStr"/>
    </row>
    <row r="34">
      <c r="A34" s="11" t="inlineStr">
        <is>
          <t>qg-weu-dadsv5</t>
        </is>
      </c>
      <c r="B34" s="11" t="inlineStr">
        <is>
          <t>West Europe</t>
        </is>
      </c>
      <c r="C34" s="11" t="inlineStr">
        <is>
          <t>EU</t>
        </is>
      </c>
      <c r="D34" s="11" t="inlineStr">
        <is>
          <t>Dadsv5</t>
        </is>
      </c>
      <c r="E34" s="29" t="n">
        <v>22260</v>
      </c>
      <c r="F34" s="52">
        <f>SUMIFS(Capacity_By_SKU!$H:$H,Capacity_By_SKU!$A:$A,B34,Capacity_By_SKU!$E:$E,D34)</f>
        <v/>
      </c>
      <c r="G34" s="52">
        <f>E34-F34</f>
        <v/>
      </c>
      <c r="H34" s="29" t="n">
        <v>2226</v>
      </c>
      <c r="I34" s="29" t="n">
        <v>0</v>
      </c>
      <c r="J34" s="39" t="inlineStr"/>
    </row>
    <row r="35">
      <c r="A35" s="11" t="inlineStr">
        <is>
          <t>qg-weu-dasv5</t>
        </is>
      </c>
      <c r="B35" s="11" t="inlineStr">
        <is>
          <t>West Europe</t>
        </is>
      </c>
      <c r="C35" s="11" t="inlineStr">
        <is>
          <t>EU</t>
        </is>
      </c>
      <c r="D35" s="11" t="inlineStr">
        <is>
          <t>Dasv5</t>
        </is>
      </c>
      <c r="E35" s="29" t="n">
        <v>15048</v>
      </c>
      <c r="F35" s="52">
        <f>SUMIFS(Capacity_By_SKU!$H:$H,Capacity_By_SKU!$A:$A,B35,Capacity_By_SKU!$E:$E,D35)</f>
        <v/>
      </c>
      <c r="G35" s="52">
        <f>E35-F35</f>
        <v/>
      </c>
      <c r="H35" s="29" t="n">
        <v>1505</v>
      </c>
      <c r="I35" s="29" t="n">
        <v>0</v>
      </c>
      <c r="J35" s="39" t="inlineStr"/>
    </row>
  </sheetData>
  <mergeCells count="2">
    <mergeCell ref="A1:J1"/>
    <mergeCell ref="A2:J2"/>
  </mergeCells>
  <conditionalFormatting sqref="G4:G35">
    <cfRule type="cellIs" priority="1" operator="lessThanOrEqual" dxfId="1">
      <formula>0</formula>
    </cfRule>
    <cfRule type="cellIs" priority="2" operator="greaterThan" dxfId="0">
      <formula>0</formula>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B1:B27"/>
  <sheetViews>
    <sheetView showGridLines="0" workbookViewId="0">
      <selection activeCell="A1" sqref="A1"/>
    </sheetView>
  </sheetViews>
  <sheetFormatPr baseColWidth="8" defaultRowHeight="15"/>
  <cols>
    <col width="3" customWidth="1" min="1" max="1"/>
    <col width="118" customWidth="1" min="2" max="2"/>
  </cols>
  <sheetData>
    <row r="1">
      <c r="B1" s="1" t="inlineStr">
        <is>
          <t>SKU-LEVEL CAPACITY &amp; QUOTA GROUPS — PHASE 1 (read-only SKU-grain view)</t>
        </is>
      </c>
    </row>
    <row r="2">
      <c r="B2" s="2" t="inlineStr">
        <is>
          <t>Design: Design/acrme_sku_level_capacity_quota_design.md  |  Reconciled to baseline v2.4  |  What-if, not a baseline change.</t>
        </is>
      </c>
    </row>
    <row r="3">
      <c r="B3" s="3" t="inlineStr"/>
    </row>
    <row r="4">
      <c r="B4" s="4" t="inlineStr">
        <is>
          <t>WHAT PHASE 1 ADDS</t>
        </is>
      </c>
    </row>
    <row r="5">
      <c r="B5" s="3" t="inlineStr">
        <is>
          <t>The base workbook scored capacity/quota as ONE number per environment per region. Phase 1 surfaces the grain the engine actually operates on: capacity reservations BY SKU, and quota as pooled quota GROUPS by VM/quota family.</t>
        </is>
      </c>
    </row>
    <row r="6">
      <c r="B6" s="3" t="inlineStr"/>
    </row>
    <row r="7">
      <c r="B7" s="4" t="inlineStr">
        <is>
          <t>THE FOUR NEW SHEETS</t>
        </is>
      </c>
    </row>
    <row r="8">
      <c r="B8" s="3" t="inlineStr">
        <is>
          <t>• SKU_Family_Map — SKU → quota family (many SKUs → one family). Drives every lookup.</t>
        </is>
      </c>
    </row>
    <row r="9">
      <c r="B9" s="3" t="inlineStr">
        <is>
          <t>• SKU_Catalogue — managed SKU set (seed-matrix view, CAP-022) with vCPU, family, zonal/eligibility.</t>
        </is>
      </c>
    </row>
    <row r="10">
      <c r="B10" s="3" t="inlineStr">
        <is>
          <t>• Capacity_By_SKU — reservations at Region × Environment × SKU (separate CRG per env, ENV-003 capacity plane). Computes GROUP AVAILABILITY = MIN(SKU reserved-free, family quota-available).</t>
        </is>
      </c>
    </row>
    <row r="11">
      <c r="B11" s="3" t="inlineStr">
        <is>
          <t>• Quota_Groups — ONE pooled quota group per Region × Family, across Prod+NonProd+DR (QUA-004), hoarded (QUA-003).</t>
        </is>
      </c>
    </row>
    <row r="12">
      <c r="B12" s="3" t="inlineStr"/>
    </row>
    <row r="13">
      <c r="B13" s="4" t="inlineStr">
        <is>
          <t>THE CORE JOIN — 'availability by group during allocation'</t>
        </is>
      </c>
    </row>
    <row r="14">
      <c r="B14" s="3" t="inlineStr">
        <is>
          <t>A placement is gated by the MINIMUM of two independent planes:</t>
        </is>
      </c>
    </row>
    <row r="15">
      <c r="B15" s="54" t="inlineStr">
        <is>
          <t xml:space="preserve">   group_availability(SKU) = MIN( reserved_free(SKU's CRG) , quota_available(SKU's family pool) )</t>
        </is>
      </c>
    </row>
    <row r="16">
      <c r="B16" s="3" t="inlineStr">
        <is>
          <t>Capacity is per SKU (CAP-016); quota is per family, pooled across environments (QUA-002/004). Either can bind — the 'Binding Constraint' column on Capacity_By_SKU shows which.</t>
        </is>
      </c>
    </row>
    <row r="17">
      <c r="B17" s="3" t="inlineStr"/>
    </row>
    <row r="18">
      <c r="B18" s="4" t="inlineStr">
        <is>
          <t>RULINGS APPLIED (this turn)</t>
        </is>
      </c>
    </row>
    <row r="19">
      <c r="B19" s="3" t="inlineStr">
        <is>
          <t>• Quota group is maintained across Prod+NonProd+DR (QUA-004).</t>
        </is>
      </c>
    </row>
    <row r="20">
      <c r="B20" s="3" t="inlineStr">
        <is>
          <t>• ENV-003 hard separation applies to CAPACITY reservations only; quota &amp; capacity are separate planes.</t>
        </is>
      </c>
    </row>
    <row r="21">
      <c r="B21" s="3" t="inlineStr">
        <is>
          <t>• Quota is hoarded into one pool and distributed to subscriptions when a need is presented (QUA-003).</t>
        </is>
      </c>
    </row>
    <row r="22">
      <c r="B22" s="3" t="inlineStr">
        <is>
          <t>• Logical lock first; reconciliation cycle refreshes actual values later (surfaced in Phase 3).</t>
        </is>
      </c>
    </row>
    <row r="23">
      <c r="B23" s="3" t="inlineStr"/>
    </row>
    <row r="24">
      <c r="B24" s="4" t="inlineStr">
        <is>
          <t>WHAT IS NOT YET IN (next increments)</t>
        </is>
      </c>
    </row>
    <row r="25">
      <c r="B25" s="6" t="inlineStr">
        <is>
          <t>• Phase 2 — point the region-scoring α component at per-SKU group availability + emit RDY-002 per candidate.</t>
        </is>
      </c>
    </row>
    <row r="26">
      <c r="B26" s="6" t="inlineStr">
        <is>
          <t>• Phase 3 — freeze &amp; LOGICAL LOCK: commit cores, recompute headroom, LOCKED state + Allocation_Ledger; reconcile later.</t>
        </is>
      </c>
    </row>
    <row r="27">
      <c r="B27" s="6" t="inlineStr">
        <is>
          <t>• Per-AZ CRGs (CAP-023 crg-…-az1/az2/az3). Phase 1 CRG scope = regional; quota has no zone dimension.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2026-10-07T09:47:12Z</dcterms:created>
  <dcterms:modified xmlns:dcterms="http://purl.org/dc/terms/" xmlns:xsi="http://www.w3.org/2001/XMLSchema-instance" xsi:type="dcterms:W3CDTF">2026-10-07T09:47:13Z</dcterms:modified>
</cp:coreProperties>
</file>