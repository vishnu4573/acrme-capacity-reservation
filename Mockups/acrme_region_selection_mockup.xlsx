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Us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Capacity_Usage" sheetId="4" state="visible" r:id="rId4"/>
    <sheet xmlns:r="http://schemas.openxmlformats.org/officeDocument/2006/relationships" name="HC_Gate" sheetId="5" state="visible" r:id="rId5"/>
    <sheet xmlns:r="http://schemas.openxmlformats.org/officeDocument/2006/relationships" name="Scoring_Prod" sheetId="6" state="visible" r:id="rId6"/>
    <sheet xmlns:r="http://schemas.openxmlformats.org/officeDocument/2006/relationships" name="Scoring_CVAL" sheetId="7" state="visible" r:id="rId7"/>
    <sheet xmlns:r="http://schemas.openxmlformats.org/officeDocument/2006/relationships" name="Scoring_DR" sheetId="8" state="visible" r:id="rId8"/>
    <sheet xmlns:r="http://schemas.openxmlformats.org/officeDocument/2006/relationships" name="Resul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</font>
    <font>
      <b val="1"/>
      <color rgb="001F3864"/>
      <sz val="12"/>
    </font>
    <font>
      <b val="1"/>
    </font>
    <font>
      <b val="1"/>
      <color rgb="00FFFFFF"/>
    </font>
    <font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2" borderId="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PS_Prod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'Scoring_Prod'!P3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'Scoring_Prod'!$A$4:$A$14</f>
            </numRef>
          </cat>
          <val>
            <numRef>
              <f>'Scoring_Prod'!$P$4:$P$14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Chosen Placement Scores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'Result'!$A$9:$A$11</f>
            </numRef>
          </cat>
          <val>
            <numRef>
              <f>'Result'!$C$9:$C$11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5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36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B1" s="1" t="inlineStr">
        <is>
          <t>ACRME Region Selection — Interactive Mockup (Formula-Only)</t>
        </is>
      </c>
    </row>
    <row r="2">
      <c r="B2" s="2" t="inlineStr">
        <is>
          <t>How-To-Use Guide  ·  v1.0  ·  Sources: acrme_calculation_logic_comprehensive_walkthrough / requirements_baseline_v2_4 / plain_english_walkthrough</t>
        </is>
      </c>
    </row>
    <row r="3">
      <c r="B3" s="3" t="inlineStr"/>
    </row>
    <row r="4">
      <c r="B4" s="4" t="inlineStr">
        <is>
          <t>WHAT THIS WORKBOOK DOES</t>
        </is>
      </c>
    </row>
    <row r="5">
      <c r="B5" s="3" t="inlineStr">
        <is>
          <t>This workbook simulates the ACRME placement engine. You enter a customer workload, and the engine runs the Hard Constraint gate, scores every candidate region with PS_Prod / PS_NonProd / PS_DR, and picks the Prod, CVAL (NonProd) and DR regions in sequence. All calculations are live Excel formulas — change any input and every result recalculates instantly. There are no macros.</t>
        </is>
      </c>
    </row>
    <row r="6">
      <c r="B6" s="3" t="inlineStr"/>
    </row>
    <row r="7">
      <c r="B7" s="4" t="inlineStr">
        <is>
          <t>SHEET MAP (work left to right)</t>
        </is>
      </c>
    </row>
    <row r="8">
      <c r="B8" s="3" t="inlineStr">
        <is>
          <t>1. How_To_Use  — this guide.</t>
        </is>
      </c>
    </row>
    <row r="9">
      <c r="B9" s="3" t="inlineStr">
        <is>
          <t>2. Setup  — enter your scenario: Geography, SKU, VM count, optional customer-supplied Prod region, Customer ID. Yellow cells are the ONLY cells you edit here.</t>
        </is>
      </c>
    </row>
    <row r="10">
      <c r="B10" s="3" t="inlineStr">
        <is>
          <t>3. Policy  — the five scoring weights (must sum to 1.0), the total_customers denominator mode, DR bootstrap / coverage target, and the minimum headroom floors. All editable (yellow).</t>
        </is>
      </c>
    </row>
    <row r="11">
      <c r="B11" s="3" t="inlineStr">
        <is>
          <t>4. Capacity_Usage  — the current regional capacity &amp; usage snapshot for all 11 regions. This is the master data the engine reads. Edit the yellow cells to model a different estate state.</t>
        </is>
      </c>
    </row>
    <row r="12">
      <c r="B12" s="3" t="inlineStr">
        <is>
          <t>5. HC_Gate  — shows HC-3 / HC-6 / HC-7 pass/fail per region and the resulting eligibility for Prod / NonProd / DR.</t>
        </is>
      </c>
    </row>
    <row r="13">
      <c r="B13" s="3" t="inlineStr">
        <is>
          <t>6. Scoring_Prod  — PS_Prod component breakdown (α β γ δ ε) and the Prod winner.</t>
        </is>
      </c>
    </row>
    <row r="14">
      <c r="B14" s="3" t="inlineStr">
        <is>
          <t>7. Scoring_CVAL  — PS_NonProd scoring for the CVAL region (Prod winner excluded; Middle East co-locates with Prod).</t>
        </is>
      </c>
    </row>
    <row r="15">
      <c r="B15" s="3" t="inlineStr">
        <is>
          <t>8. Scoring_DR  — PS_DR scoring for the DR region (2-region geographies co-locate DR with CVAL; Middle East scores EU regions cross-geo).</t>
        </is>
      </c>
    </row>
    <row r="16">
      <c r="B16" s="3" t="inlineStr">
        <is>
          <t>9. Result  — the final CustomerSeedRecord (Prod / CVAL / DR), readiness state, and the max-not-sum DR sizing panel.</t>
        </is>
      </c>
    </row>
    <row r="17">
      <c r="B17" s="3" t="inlineStr"/>
    </row>
    <row r="18">
      <c r="B18" s="4" t="inlineStr">
        <is>
          <t>STEP-BY-STEP</t>
        </is>
      </c>
    </row>
    <row r="19">
      <c r="B19" s="3" t="inlineStr">
        <is>
          <t>Step 1 — On Setup, pick a Geography from the dropdown (US, EU, Australia, Asia Pacific, Middle East).</t>
        </is>
      </c>
    </row>
    <row r="20">
      <c r="B20" s="3" t="inlineStr">
        <is>
          <t>Step 2 — Pick a SKU and a VM count. Requested vCPU = VM count × vCPU-per-VM is computed for you.</t>
        </is>
      </c>
    </row>
    <row r="21">
      <c r="B21" s="3" t="inlineStr">
        <is>
          <t>Step 3 — (Optional) Type/pick a Prod region to model the DEFAULT path (customer supplies the region — engine validates it only). Leave blank to let the engine choose (exception path / argmax).</t>
        </is>
      </c>
    </row>
    <row r="22">
      <c r="B22" s="3" t="inlineStr">
        <is>
          <t>Step 4 — Open Result to read the placement, readiness state and DR sizing. Open HC_Gate and the Scoring sheets to see exactly why each region passed/failed and how each score was built.</t>
        </is>
      </c>
    </row>
    <row r="23">
      <c r="B23" s="3" t="inlineStr">
        <is>
          <t>Step 5 — Experiment: change weights on Policy, or edit any region's capacity on Capacity_Usage, and watch the winner change live.</t>
        </is>
      </c>
    </row>
    <row r="24">
      <c r="B24" s="3" t="inlineStr"/>
    </row>
    <row r="25">
      <c r="B25" s="4" t="inlineStr">
        <is>
          <t>READING THE COLOURS</t>
        </is>
      </c>
    </row>
    <row r="26">
      <c r="B26" s="3" t="inlineStr">
        <is>
          <t>Yellow cell = an input you may edit.   Green = PASS / eligible.   Red = FAIL / excluded.   Grey = a computed value (do not type over it — it is a formula).</t>
        </is>
      </c>
    </row>
    <row r="27">
      <c r="B27" s="3" t="inlineStr"/>
    </row>
    <row r="28">
      <c r="B28" s="4" t="inlineStr">
        <is>
          <t>THE FORMULAS (exact, from the baseline)</t>
        </is>
      </c>
    </row>
    <row r="29">
      <c r="B29" s="3" t="inlineStr">
        <is>
          <t>Clamp(x) = MIN(MAX(x,0),1)  — every component is clamped to [0,1] before weighting.</t>
        </is>
      </c>
    </row>
    <row r="30">
      <c r="B30" s="3" t="inlineStr">
        <is>
          <t>PS_Prod   = α·(npEffFree/prodRes) + β·(prodQHeadroom/prodQLimit) + γ·(1−custCount/total_customers) + δ·(drCoverage) + ε·(az/3)</t>
        </is>
      </c>
    </row>
    <row r="31">
      <c r="B31" s="3" t="inlineStr">
        <is>
          <t>PS_NonProd= α·(npEffFree/npRes)   + β·(npQHeadroom/npQLimit)     + γ·(1−custCount/total_customers) + δ·(npEffFree/npRes) + ε·(az/3)</t>
        </is>
      </c>
    </row>
    <row r="32">
      <c r="B32" s="3" t="inlineStr">
        <is>
          <t>PS_DR     = α·(drFree/drRes)      + β·(npQHeadroom/npQLimit)     + γ·(1−custCount/total_customers) + δ·(drCoverage/target) + ε·(az/3)</t>
        </is>
      </c>
    </row>
    <row r="33">
      <c r="B33" s="3" t="inlineStr">
        <is>
          <t>Weights α=0.30 β=0.20 γ=0.25 δ=0.15 ε=0.10 (default) MUST sum to 1.0 ±0.001, else Policy shows INVALID.</t>
        </is>
      </c>
    </row>
    <row r="34">
      <c r="B34" s="3" t="inlineStr">
        <is>
          <t>HC-3 (Quota Floor): quota headroom ≥ requested vCPU AND headroom−requested ≥ min floor.</t>
        </is>
      </c>
    </row>
    <row r="35">
      <c r="B35" s="3" t="inlineStr">
        <is>
          <t>HC-6 (DR Coverage Floor): drFree + npEffFree ≥ DR bootstrap qty.</t>
        </is>
      </c>
    </row>
    <row r="36">
      <c r="B36" s="3" t="inlineStr">
        <is>
          <t>HC-7 (DR Floor Integrity): npQUsed + requested ≤ npQLimit − DR bootstrap qty.</t>
        </is>
      </c>
    </row>
    <row r="37">
      <c r="B37" s="3" t="inlineStr">
        <is>
          <t>DR sizing = MAX-NOT-SUM (A.6 / DR-017): DR requirement = MAX over source regions of (customers × vCPU), not the sum.</t>
        </is>
      </c>
    </row>
    <row r="38">
      <c r="B38" s="3" t="inlineStr"/>
    </row>
    <row r="39">
      <c r="B39" s="4" t="inlineStr">
        <is>
          <t>KNOWN DESIGN GAPS (surfaced, not hidden)</t>
        </is>
      </c>
    </row>
    <row r="40">
      <c r="B40" s="5" t="inlineStr">
        <is>
          <t>• total_customers is UNDEFINED in baseline v2.4. Use the mode selector on Policy (1=Live geography total, 2=Policy constant, 3=Manual). Default is Live. Treat absolute γ values as illustrative.</t>
        </is>
      </c>
    </row>
    <row r="41">
      <c r="B41" s="5" t="inlineStr">
        <is>
          <t>• PS_NonProd δ duplicates its own α component (baseline 'duplicate of α in design-of-record'). Shown as-is.</t>
        </is>
      </c>
    </row>
    <row r="42">
      <c r="B42" s="5" t="inlineStr">
        <is>
          <t>• DR bootstrap qty and DR coverage target are TBD in the baseline; the values on Policy are configurable placeholders.</t>
        </is>
      </c>
    </row>
    <row r="43">
      <c r="B43" s="3" t="inlineStr"/>
    </row>
    <row r="44">
      <c r="B44" s="4" t="inlineStr">
        <is>
          <t>SCOPE</t>
        </is>
      </c>
    </row>
    <row r="45">
      <c r="B45" s="3" t="inlineStr">
        <is>
          <t>This is Phase 1 — Region Selection only. Quota-pool arithmetic and capacity reconciliation are follow-on mockups. This tool is a simulation: it makes no Azure API calls.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" customWidth="1" min="3" max="3"/>
    <col width="3" customWidth="1" min="4" max="4"/>
    <col width="18" customWidth="1" min="5" max="5"/>
    <col width="10" customWidth="1" min="6" max="6"/>
    <col width="16" customWidth="1" min="7" max="7"/>
  </cols>
  <sheetData>
    <row r="1">
      <c r="A1" s="6" t="inlineStr">
        <is>
          <t>SETUP — Customer &amp; Workload</t>
        </is>
      </c>
      <c r="E1" s="7" t="inlineStr">
        <is>
          <t>Lookup tables (do not edit)</t>
        </is>
      </c>
    </row>
    <row r="2">
      <c r="E2" s="8" t="inlineStr">
        <is>
          <t>SKU</t>
        </is>
      </c>
      <c r="F2" s="8" t="inlineStr">
        <is>
          <t>vCPU/VM</t>
        </is>
      </c>
    </row>
    <row r="3">
      <c r="A3" s="9" t="inlineStr">
        <is>
          <t>Geography</t>
        </is>
      </c>
      <c r="B3" s="10" t="inlineStr">
        <is>
          <t>US</t>
        </is>
      </c>
      <c r="E3" s="11" t="inlineStr">
        <is>
          <t>E16ads_v5</t>
        </is>
      </c>
      <c r="F3" s="11" t="n">
        <v>16</v>
      </c>
    </row>
    <row r="4">
      <c r="A4" s="9" t="inlineStr">
        <is>
          <t>SKU</t>
        </is>
      </c>
      <c r="B4" s="10" t="inlineStr">
        <is>
          <t>E16ads_v5</t>
        </is>
      </c>
      <c r="E4" s="11" t="inlineStr">
        <is>
          <t>E8ads_v5</t>
        </is>
      </c>
      <c r="F4" s="11" t="n">
        <v>8</v>
      </c>
    </row>
    <row r="5">
      <c r="A5" s="9" t="inlineStr">
        <is>
          <t>VM count</t>
        </is>
      </c>
      <c r="B5" s="10" t="n">
        <v>3</v>
      </c>
      <c r="E5" s="11" t="inlineStr">
        <is>
          <t>D8s_v5</t>
        </is>
      </c>
      <c r="F5" s="11" t="n">
        <v>8</v>
      </c>
    </row>
    <row r="6">
      <c r="A6" s="9" t="inlineStr">
        <is>
          <t>vCPU per VM</t>
        </is>
      </c>
      <c r="B6" s="12">
        <f>VLOOKUP(B4,E3:F6,2,FALSE)</f>
        <v/>
      </c>
      <c r="E6" s="11" t="inlineStr">
        <is>
          <t>D16s_v5</t>
        </is>
      </c>
      <c r="F6" s="11" t="n">
        <v>16</v>
      </c>
    </row>
    <row r="7">
      <c r="A7" s="9" t="inlineStr">
        <is>
          <t>Requested vCPU</t>
        </is>
      </c>
      <c r="B7" s="13">
        <f>B5*B6</f>
        <v/>
      </c>
    </row>
    <row r="8">
      <c r="A8" s="9" t="inlineStr">
        <is>
          <t>Prod region (optional)</t>
        </is>
      </c>
      <c r="B8" s="10" t="inlineStr"/>
      <c r="E8" s="8" t="inlineStr">
        <is>
          <t>Geography</t>
        </is>
      </c>
      <c r="F8" s="8" t="inlineStr">
        <is>
          <t>Model</t>
        </is>
      </c>
      <c r="G8" s="8" t="inlineStr">
        <is>
          <t>DR Scope Geo</t>
        </is>
      </c>
    </row>
    <row r="9">
      <c r="A9" s="9" t="inlineStr">
        <is>
          <t>Customer ID</t>
        </is>
      </c>
      <c r="B9" s="10" t="inlineStr">
        <is>
          <t>CUST-0042</t>
        </is>
      </c>
      <c r="E9" s="11" t="inlineStr">
        <is>
          <t>US</t>
        </is>
      </c>
      <c r="F9" s="11" t="inlineStr">
        <is>
          <t>3-region</t>
        </is>
      </c>
      <c r="G9" s="11" t="inlineStr">
        <is>
          <t>US</t>
        </is>
      </c>
    </row>
    <row r="10">
      <c r="A10" s="9" t="inlineStr">
        <is>
          <t>Distribution model</t>
        </is>
      </c>
      <c r="B10" s="12">
        <f>VLOOKUP(B3,E9:G13,2,FALSE)</f>
        <v/>
      </c>
      <c r="E10" s="11" t="inlineStr">
        <is>
          <t>EU</t>
        </is>
      </c>
      <c r="F10" s="11" t="inlineStr">
        <is>
          <t>2-region</t>
        </is>
      </c>
      <c r="G10" s="11" t="inlineStr">
        <is>
          <t>EU</t>
        </is>
      </c>
    </row>
    <row r="11">
      <c r="A11" s="9" t="inlineStr">
        <is>
          <t>DR scope geography</t>
        </is>
      </c>
      <c r="B11" s="12">
        <f>VLOOKUP(B3,E9:G13,3,FALSE)</f>
        <v/>
      </c>
      <c r="E11" s="11" t="inlineStr">
        <is>
          <t>Australia</t>
        </is>
      </c>
      <c r="F11" s="11" t="inlineStr">
        <is>
          <t>2-region</t>
        </is>
      </c>
      <c r="G11" s="11" t="inlineStr">
        <is>
          <t>Australia</t>
        </is>
      </c>
    </row>
    <row r="12">
      <c r="E12" s="11" t="inlineStr">
        <is>
          <t>Asia Pacific</t>
        </is>
      </c>
      <c r="F12" s="11" t="inlineStr">
        <is>
          <t>2-region</t>
        </is>
      </c>
      <c r="G12" s="11" t="inlineStr">
        <is>
          <t>Asia Pacific</t>
        </is>
      </c>
    </row>
    <row r="13">
      <c r="E13" s="11" t="inlineStr">
        <is>
          <t>Middle East</t>
        </is>
      </c>
      <c r="F13" s="11" t="inlineStr">
        <is>
          <t>cross-geo</t>
        </is>
      </c>
      <c r="G13" s="11" t="inlineStr">
        <is>
          <t>EU</t>
        </is>
      </c>
    </row>
  </sheetData>
  <dataValidations count="3">
    <dataValidation sqref="B3" showDropDown="0" showInputMessage="0" showErrorMessage="0" allowBlank="0" type="list">
      <formula1>"US,EU,Australia,Asia Pacific,Middle East"</formula1>
    </dataValidation>
    <dataValidation sqref="B4" showDropDown="0" showInputMessage="0" showErrorMessage="0" allowBlank="0" type="list">
      <formula1>"E16ads_v5,E8ads_v5,D8s_v5,D16s_v5"</formula1>
    </dataValidation>
    <dataValidation sqref="B8" showDropDown="0" showInputMessage="0" showErrorMessage="0" allowBlank="1" type="list">
      <formula1>=Capacity_Usage!$B$4:$B$14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" customWidth="1" min="3" max="3"/>
    <col width="16" customWidth="1" min="4" max="4"/>
    <col width="12" customWidth="1" min="5" max="5"/>
  </cols>
  <sheetData>
    <row r="1">
      <c r="A1" s="6" t="inlineStr">
        <is>
          <t>POLICY — Weights &amp; Parameters</t>
        </is>
      </c>
    </row>
    <row r="2">
      <c r="A2" s="9" t="inlineStr">
        <is>
          <t>alpha (α) — Capacity headroom</t>
        </is>
      </c>
      <c r="B2" s="10" t="n">
        <v>0.3</v>
      </c>
    </row>
    <row r="3">
      <c r="A3" s="9" t="inlineStr">
        <is>
          <t>beta (β) — Quota headroom</t>
        </is>
      </c>
      <c r="B3" s="10" t="n">
        <v>0.2</v>
      </c>
    </row>
    <row r="4">
      <c r="A4" s="9" t="inlineStr">
        <is>
          <t>gamma (γ) — Distribution fairness</t>
        </is>
      </c>
      <c r="B4" s="10" t="n">
        <v>0.25</v>
      </c>
    </row>
    <row r="5">
      <c r="A5" s="9" t="inlineStr">
        <is>
          <t>delta (δ) — DR readiness</t>
        </is>
      </c>
      <c r="B5" s="10" t="n">
        <v>0.15</v>
      </c>
    </row>
    <row r="6">
      <c r="A6" s="9" t="inlineStr">
        <is>
          <t>epsilon (ε) — Zone diversity</t>
        </is>
      </c>
      <c r="B6" s="10" t="n">
        <v>0.1</v>
      </c>
    </row>
    <row r="7">
      <c r="A7" s="9" t="inlineStr">
        <is>
          <t>Weight sum</t>
        </is>
      </c>
      <c r="B7" s="13">
        <f>SUM(B2:B6)</f>
        <v/>
      </c>
    </row>
    <row r="8">
      <c r="A8" s="9" t="inlineStr">
        <is>
          <t>Validation</t>
        </is>
      </c>
      <c r="B8" s="12">
        <f>IF(ABS(B7-1)&lt;=0.001,"VALID","INVALID — must sum to 1.0")</f>
        <v/>
      </c>
    </row>
    <row r="10">
      <c r="A10" s="9" t="inlineStr">
        <is>
          <t>total_customers mode (1=Live 2=Constant 3=Manual)</t>
        </is>
      </c>
      <c r="B10" s="10" t="n">
        <v>1</v>
      </c>
      <c r="D10" s="8" t="inlineStr">
        <is>
          <t>Geography</t>
        </is>
      </c>
      <c r="E10" s="8" t="inlineStr">
        <is>
          <t>Constant</t>
        </is>
      </c>
    </row>
    <row r="11">
      <c r="A11" s="9" t="inlineStr">
        <is>
          <t>Manual total_customers</t>
        </is>
      </c>
      <c r="B11" s="10" t="n">
        <v>100</v>
      </c>
      <c r="D11" s="11" t="inlineStr">
        <is>
          <t>US</t>
        </is>
      </c>
      <c r="E11" s="11" t="n">
        <v>20</v>
      </c>
    </row>
    <row r="12">
      <c r="D12" s="11" t="inlineStr">
        <is>
          <t>EU</t>
        </is>
      </c>
      <c r="E12" s="11" t="n">
        <v>15</v>
      </c>
    </row>
    <row r="13">
      <c r="A13" s="9" t="inlineStr">
        <is>
          <t>DR bootstrap qty (vCPU)</t>
        </is>
      </c>
      <c r="B13" s="10" t="n">
        <v>40</v>
      </c>
      <c r="D13" s="11" t="inlineStr">
        <is>
          <t>Australia</t>
        </is>
      </c>
      <c r="E13" s="11" t="n">
        <v>12</v>
      </c>
    </row>
    <row r="14">
      <c r="A14" s="9" t="inlineStr">
        <is>
          <t>DR coverage target</t>
        </is>
      </c>
      <c r="B14" s="10" t="n">
        <v>0.8</v>
      </c>
      <c r="D14" s="11" t="inlineStr">
        <is>
          <t>Asia Pacific</t>
        </is>
      </c>
      <c r="E14" s="11" t="n">
        <v>12</v>
      </c>
    </row>
    <row r="15">
      <c r="A15" s="9" t="inlineStr">
        <is>
          <t>Min Prod headroom (vCPU)</t>
        </is>
      </c>
      <c r="B15" s="10" t="n">
        <v>20</v>
      </c>
      <c r="D15" s="11" t="inlineStr">
        <is>
          <t>Middle East</t>
        </is>
      </c>
      <c r="E15" s="11" t="n">
        <v>10</v>
      </c>
    </row>
    <row r="16">
      <c r="A16" s="9" t="inlineStr">
        <is>
          <t>Min NonProd headroom (vCPU)</t>
        </is>
      </c>
      <c r="B16" s="10" t="n">
        <v>20</v>
      </c>
    </row>
    <row r="17">
      <c r="A17" s="9" t="inlineStr">
        <is>
          <t>Min DR headroom (vCPU)</t>
        </is>
      </c>
      <c r="B17" s="10" t="n">
        <v>16</v>
      </c>
    </row>
  </sheetData>
  <conditionalFormatting sqref="B8">
    <cfRule type="cellIs" priority="1" operator="equal" dxfId="0">
      <formula>"VALID"</formula>
    </cfRule>
    <cfRule type="expression" priority="2" dxfId="1">
      <formula>LEFT(B8,7)="INVALID"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6" t="inlineStr">
        <is>
          <t>CURRENT REGIONAL CAPACITY &amp; USAGE</t>
        </is>
      </c>
    </row>
    <row r="2">
      <c r="A2" s="7" t="inlineStr">
        <is>
          <t>Master snapshot the engine reads. Yellow = editable current state. Grey = computed (Free / Headroom).</t>
        </is>
      </c>
    </row>
    <row r="3">
      <c r="A3" s="14" t="inlineStr">
        <is>
          <t>Region ID</t>
        </is>
      </c>
      <c r="B3" s="14" t="inlineStr">
        <is>
          <t>Region Name</t>
        </is>
      </c>
      <c r="C3" s="14" t="inlineStr">
        <is>
          <t>Geography</t>
        </is>
      </c>
      <c r="D3" s="14" t="inlineStr">
        <is>
          <t>Model</t>
        </is>
      </c>
      <c r="E3" s="14" t="inlineStr">
        <is>
          <t>AZ</t>
        </is>
      </c>
      <c r="F3" s="14" t="inlineStr">
        <is>
          <t>Prod Reserved</t>
        </is>
      </c>
      <c r="G3" s="14" t="inlineStr">
        <is>
          <t>Prod Alloc</t>
        </is>
      </c>
      <c r="H3" s="14" t="inlineStr">
        <is>
          <t>Prod Free</t>
        </is>
      </c>
      <c r="I3" s="14" t="inlineStr">
        <is>
          <t>Prod Q-Limit</t>
        </is>
      </c>
      <c r="J3" s="14" t="inlineStr">
        <is>
          <t>Prod Q-Used</t>
        </is>
      </c>
      <c r="K3" s="14" t="inlineStr">
        <is>
          <t>Prod Q-Headroom</t>
        </is>
      </c>
      <c r="L3" s="14" t="inlineStr">
        <is>
          <t>NP Reserved</t>
        </is>
      </c>
      <c r="M3" s="14" t="inlineStr">
        <is>
          <t>NP Alloc</t>
        </is>
      </c>
      <c r="N3" s="14" t="inlineStr">
        <is>
          <t>NP Eff-Free</t>
        </is>
      </c>
      <c r="O3" s="14" t="inlineStr">
        <is>
          <t>NP Q-Limit</t>
        </is>
      </c>
      <c r="P3" s="14" t="inlineStr">
        <is>
          <t>NP Q-Used</t>
        </is>
      </c>
      <c r="Q3" s="14" t="inlineStr">
        <is>
          <t>NP Q-Headroom</t>
        </is>
      </c>
      <c r="R3" s="14" t="inlineStr">
        <is>
          <t>DR Reserved</t>
        </is>
      </c>
      <c r="S3" s="14" t="inlineStr">
        <is>
          <t>DR Free</t>
        </is>
      </c>
      <c r="T3" s="14" t="inlineStr">
        <is>
          <t>DR Coverage</t>
        </is>
      </c>
      <c r="U3" s="14" t="inlineStr">
        <is>
          <t>Cust Count</t>
        </is>
      </c>
    </row>
    <row r="4">
      <c r="A4" s="15" t="inlineStr">
        <is>
          <t>westus3</t>
        </is>
      </c>
      <c r="B4" s="15" t="inlineStr">
        <is>
          <t>West US 3</t>
        </is>
      </c>
      <c r="C4" s="15" t="inlineStr">
        <is>
          <t>US</t>
        </is>
      </c>
      <c r="D4" s="15" t="inlineStr">
        <is>
          <t>3-region</t>
        </is>
      </c>
      <c r="E4" s="10" t="n">
        <v>3</v>
      </c>
      <c r="F4" s="10" t="n">
        <v>200</v>
      </c>
      <c r="G4" s="10" t="n">
        <v>120</v>
      </c>
      <c r="H4" s="16">
        <f>F4-G4</f>
        <v/>
      </c>
      <c r="I4" s="10" t="n">
        <v>1000</v>
      </c>
      <c r="J4" s="10" t="n">
        <v>300</v>
      </c>
      <c r="K4" s="16">
        <f>I4-J4</f>
        <v/>
      </c>
      <c r="L4" s="10" t="n">
        <v>120</v>
      </c>
      <c r="M4" s="10" t="n">
        <v>80</v>
      </c>
      <c r="N4" s="10" t="n">
        <v>130</v>
      </c>
      <c r="O4" s="10" t="n">
        <v>500</v>
      </c>
      <c r="P4" s="10" t="n">
        <v>260</v>
      </c>
      <c r="Q4" s="16">
        <f>O4-P4</f>
        <v/>
      </c>
      <c r="R4" s="10" t="n">
        <v>120</v>
      </c>
      <c r="S4" s="10" t="n">
        <v>100</v>
      </c>
      <c r="T4" s="10" t="n">
        <v>0.5</v>
      </c>
      <c r="U4" s="10" t="n">
        <v>40</v>
      </c>
    </row>
    <row r="5">
      <c r="A5" s="15" t="inlineStr">
        <is>
          <t>centralus</t>
        </is>
      </c>
      <c r="B5" s="15" t="inlineStr">
        <is>
          <t>Central US</t>
        </is>
      </c>
      <c r="C5" s="15" t="inlineStr">
        <is>
          <t>US</t>
        </is>
      </c>
      <c r="D5" s="15" t="inlineStr">
        <is>
          <t>3-region</t>
        </is>
      </c>
      <c r="E5" s="10" t="n">
        <v>3</v>
      </c>
      <c r="F5" s="10" t="n">
        <v>200</v>
      </c>
      <c r="G5" s="10" t="n">
        <v>160</v>
      </c>
      <c r="H5" s="16">
        <f>F5-G5</f>
        <v/>
      </c>
      <c r="I5" s="10" t="n">
        <v>1000</v>
      </c>
      <c r="J5" s="10" t="n">
        <v>450</v>
      </c>
      <c r="K5" s="16">
        <f>I5-J5</f>
        <v/>
      </c>
      <c r="L5" s="10" t="n">
        <v>100</v>
      </c>
      <c r="M5" s="10" t="n">
        <v>100</v>
      </c>
      <c r="N5" s="10" t="n">
        <v>80</v>
      </c>
      <c r="O5" s="10" t="n">
        <v>500</v>
      </c>
      <c r="P5" s="10" t="n">
        <v>340</v>
      </c>
      <c r="Q5" s="16">
        <f>O5-P5</f>
        <v/>
      </c>
      <c r="R5" s="10" t="n">
        <v>80</v>
      </c>
      <c r="S5" s="10" t="n">
        <v>60</v>
      </c>
      <c r="T5" s="10" t="n">
        <v>0.45</v>
      </c>
      <c r="U5" s="10" t="n">
        <v>25</v>
      </c>
    </row>
    <row r="6">
      <c r="A6" s="15" t="inlineStr">
        <is>
          <t>canadacentral</t>
        </is>
      </c>
      <c r="B6" s="15" t="inlineStr">
        <is>
          <t>Canada Central</t>
        </is>
      </c>
      <c r="C6" s="15" t="inlineStr">
        <is>
          <t>US</t>
        </is>
      </c>
      <c r="D6" s="15" t="inlineStr">
        <is>
          <t>3-region</t>
        </is>
      </c>
      <c r="E6" s="10" t="n">
        <v>2</v>
      </c>
      <c r="F6" s="10" t="n">
        <v>200</v>
      </c>
      <c r="G6" s="10" t="n">
        <v>80</v>
      </c>
      <c r="H6" s="16">
        <f>F6-G6</f>
        <v/>
      </c>
      <c r="I6" s="10" t="n">
        <v>1000</v>
      </c>
      <c r="J6" s="10" t="n">
        <v>700</v>
      </c>
      <c r="K6" s="16">
        <f>I6-J6</f>
        <v/>
      </c>
      <c r="L6" s="10" t="n">
        <v>80</v>
      </c>
      <c r="M6" s="10" t="n">
        <v>60</v>
      </c>
      <c r="N6" s="10" t="n">
        <v>40</v>
      </c>
      <c r="O6" s="10" t="n">
        <v>500</v>
      </c>
      <c r="P6" s="10" t="n">
        <v>172</v>
      </c>
      <c r="Q6" s="16">
        <f>O6-P6</f>
        <v/>
      </c>
      <c r="R6" s="10" t="n">
        <v>60</v>
      </c>
      <c r="S6" s="10" t="n">
        <v>60</v>
      </c>
      <c r="T6" s="10" t="n">
        <v>0.6</v>
      </c>
      <c r="U6" s="10" t="n">
        <v>20</v>
      </c>
    </row>
    <row r="7">
      <c r="A7" s="15" t="inlineStr">
        <is>
          <t>switzerlandnorth</t>
        </is>
      </c>
      <c r="B7" s="15" t="inlineStr">
        <is>
          <t>Switzerland North</t>
        </is>
      </c>
      <c r="C7" s="15" t="inlineStr">
        <is>
          <t>EU</t>
        </is>
      </c>
      <c r="D7" s="15" t="inlineStr">
        <is>
          <t>2-region</t>
        </is>
      </c>
      <c r="E7" s="10" t="n">
        <v>3</v>
      </c>
      <c r="F7" s="10" t="n">
        <v>150</v>
      </c>
      <c r="G7" s="10" t="n">
        <v>100</v>
      </c>
      <c r="H7" s="16">
        <f>F7-G7</f>
        <v/>
      </c>
      <c r="I7" s="10" t="n">
        <v>600</v>
      </c>
      <c r="J7" s="10" t="n">
        <v>200</v>
      </c>
      <c r="K7" s="16">
        <f>I7-J7</f>
        <v/>
      </c>
      <c r="L7" s="10" t="n">
        <v>100</v>
      </c>
      <c r="M7" s="10" t="n">
        <v>20</v>
      </c>
      <c r="N7" s="10" t="n">
        <v>80</v>
      </c>
      <c r="O7" s="10" t="n">
        <v>300</v>
      </c>
      <c r="P7" s="10" t="n">
        <v>200</v>
      </c>
      <c r="Q7" s="16">
        <f>O7-P7</f>
        <v/>
      </c>
      <c r="R7" s="10" t="n">
        <v>80</v>
      </c>
      <c r="S7" s="10" t="n">
        <v>60</v>
      </c>
      <c r="T7" s="10" t="n">
        <v>0.6</v>
      </c>
      <c r="U7" s="10" t="n">
        <v>6</v>
      </c>
    </row>
    <row r="8">
      <c r="A8" s="15" t="inlineStr">
        <is>
          <t>swedencentral</t>
        </is>
      </c>
      <c r="B8" s="15" t="inlineStr">
        <is>
          <t>Sweden Central</t>
        </is>
      </c>
      <c r="C8" s="15" t="inlineStr">
        <is>
          <t>EU</t>
        </is>
      </c>
      <c r="D8" s="15" t="inlineStr">
        <is>
          <t>2-region</t>
        </is>
      </c>
      <c r="E8" s="10" t="n">
        <v>3</v>
      </c>
      <c r="F8" s="10" t="n">
        <v>150</v>
      </c>
      <c r="G8" s="10" t="n">
        <v>80</v>
      </c>
      <c r="H8" s="16">
        <f>F8-G8</f>
        <v/>
      </c>
      <c r="I8" s="10" t="n">
        <v>600</v>
      </c>
      <c r="J8" s="10" t="n">
        <v>180</v>
      </c>
      <c r="K8" s="16">
        <f>I8-J8</f>
        <v/>
      </c>
      <c r="L8" s="10" t="n">
        <v>100</v>
      </c>
      <c r="M8" s="10" t="n">
        <v>10</v>
      </c>
      <c r="N8" s="10" t="n">
        <v>90</v>
      </c>
      <c r="O8" s="10" t="n">
        <v>300</v>
      </c>
      <c r="P8" s="10" t="n">
        <v>162</v>
      </c>
      <c r="Q8" s="16">
        <f>O8-P8</f>
        <v/>
      </c>
      <c r="R8" s="10" t="n">
        <v>80</v>
      </c>
      <c r="S8" s="10" t="n">
        <v>65</v>
      </c>
      <c r="T8" s="10" t="n">
        <v>0.65</v>
      </c>
      <c r="U8" s="10" t="n">
        <v>4</v>
      </c>
    </row>
    <row r="9">
      <c r="A9" s="15" t="inlineStr">
        <is>
          <t>australiaeast</t>
        </is>
      </c>
      <c r="B9" s="15" t="inlineStr">
        <is>
          <t>Australia East</t>
        </is>
      </c>
      <c r="C9" s="15" t="inlineStr">
        <is>
          <t>Australia</t>
        </is>
      </c>
      <c r="D9" s="15" t="inlineStr">
        <is>
          <t>2-region</t>
        </is>
      </c>
      <c r="E9" s="10" t="n">
        <v>3</v>
      </c>
      <c r="F9" s="10" t="n">
        <v>150</v>
      </c>
      <c r="G9" s="10" t="n">
        <v>75</v>
      </c>
      <c r="H9" s="16">
        <f>F9-G9</f>
        <v/>
      </c>
      <c r="I9" s="10" t="n">
        <v>500</v>
      </c>
      <c r="J9" s="10" t="n">
        <v>250</v>
      </c>
      <c r="K9" s="16">
        <f>I9-J9</f>
        <v/>
      </c>
      <c r="L9" s="10" t="n">
        <v>100</v>
      </c>
      <c r="M9" s="10" t="n">
        <v>50</v>
      </c>
      <c r="N9" s="10" t="n">
        <v>60</v>
      </c>
      <c r="O9" s="10" t="n">
        <v>300</v>
      </c>
      <c r="P9" s="10" t="n">
        <v>150</v>
      </c>
      <c r="Q9" s="16">
        <f>O9-P9</f>
        <v/>
      </c>
      <c r="R9" s="10" t="n">
        <v>80</v>
      </c>
      <c r="S9" s="10" t="n">
        <v>60</v>
      </c>
      <c r="T9" s="10" t="n">
        <v>0.55</v>
      </c>
      <c r="U9" s="10" t="n">
        <v>3</v>
      </c>
    </row>
    <row r="10">
      <c r="A10" s="15" t="inlineStr">
        <is>
          <t>australiasoutheast</t>
        </is>
      </c>
      <c r="B10" s="15" t="inlineStr">
        <is>
          <t>Australia Southeast</t>
        </is>
      </c>
      <c r="C10" s="15" t="inlineStr">
        <is>
          <t>Australia</t>
        </is>
      </c>
      <c r="D10" s="15" t="inlineStr">
        <is>
          <t>2-region</t>
        </is>
      </c>
      <c r="E10" s="10" t="n">
        <v>2</v>
      </c>
      <c r="F10" s="10" t="n">
        <v>150</v>
      </c>
      <c r="G10" s="10" t="n">
        <v>60</v>
      </c>
      <c r="H10" s="16">
        <f>F10-G10</f>
        <v/>
      </c>
      <c r="I10" s="10" t="n">
        <v>500</v>
      </c>
      <c r="J10" s="10" t="n">
        <v>200</v>
      </c>
      <c r="K10" s="16">
        <f>I10-J10</f>
        <v/>
      </c>
      <c r="L10" s="10" t="n">
        <v>100</v>
      </c>
      <c r="M10" s="10" t="n">
        <v>40</v>
      </c>
      <c r="N10" s="10" t="n">
        <v>70</v>
      </c>
      <c r="O10" s="10" t="n">
        <v>300</v>
      </c>
      <c r="P10" s="10" t="n">
        <v>120</v>
      </c>
      <c r="Q10" s="16">
        <f>O10-P10</f>
        <v/>
      </c>
      <c r="R10" s="10" t="n">
        <v>80</v>
      </c>
      <c r="S10" s="10" t="n">
        <v>65</v>
      </c>
      <c r="T10" s="10" t="n">
        <v>0.6</v>
      </c>
      <c r="U10" s="10" t="n">
        <v>2</v>
      </c>
    </row>
    <row r="11">
      <c r="A11" s="15" t="inlineStr">
        <is>
          <t>eastasia</t>
        </is>
      </c>
      <c r="B11" s="15" t="inlineStr">
        <is>
          <t>East Asia</t>
        </is>
      </c>
      <c r="C11" s="15" t="inlineStr">
        <is>
          <t>Asia Pacific</t>
        </is>
      </c>
      <c r="D11" s="15" t="inlineStr">
        <is>
          <t>2-region</t>
        </is>
      </c>
      <c r="E11" s="10" t="n">
        <v>3</v>
      </c>
      <c r="F11" s="10" t="n">
        <v>150</v>
      </c>
      <c r="G11" s="10" t="n">
        <v>70</v>
      </c>
      <c r="H11" s="16">
        <f>F11-G11</f>
        <v/>
      </c>
      <c r="I11" s="10" t="n">
        <v>500</v>
      </c>
      <c r="J11" s="10" t="n">
        <v>230</v>
      </c>
      <c r="K11" s="16">
        <f>I11-J11</f>
        <v/>
      </c>
      <c r="L11" s="10" t="n">
        <v>100</v>
      </c>
      <c r="M11" s="10" t="n">
        <v>45</v>
      </c>
      <c r="N11" s="10" t="n">
        <v>65</v>
      </c>
      <c r="O11" s="10" t="n">
        <v>300</v>
      </c>
      <c r="P11" s="10" t="n">
        <v>140</v>
      </c>
      <c r="Q11" s="16">
        <f>O11-P11</f>
        <v/>
      </c>
      <c r="R11" s="10" t="n">
        <v>80</v>
      </c>
      <c r="S11" s="10" t="n">
        <v>60</v>
      </c>
      <c r="T11" s="10" t="n">
        <v>0.55</v>
      </c>
      <c r="U11" s="10" t="n">
        <v>3</v>
      </c>
    </row>
    <row r="12">
      <c r="A12" s="15" t="inlineStr">
        <is>
          <t>southeastasia</t>
        </is>
      </c>
      <c r="B12" s="15" t="inlineStr">
        <is>
          <t>Southeast Asia</t>
        </is>
      </c>
      <c r="C12" s="15" t="inlineStr">
        <is>
          <t>Asia Pacific</t>
        </is>
      </c>
      <c r="D12" s="15" t="inlineStr">
        <is>
          <t>2-region</t>
        </is>
      </c>
      <c r="E12" s="10" t="n">
        <v>3</v>
      </c>
      <c r="F12" s="10" t="n">
        <v>150</v>
      </c>
      <c r="G12" s="10" t="n">
        <v>55</v>
      </c>
      <c r="H12" s="16">
        <f>F12-G12</f>
        <v/>
      </c>
      <c r="I12" s="10" t="n">
        <v>500</v>
      </c>
      <c r="J12" s="10" t="n">
        <v>180</v>
      </c>
      <c r="K12" s="16">
        <f>I12-J12</f>
        <v/>
      </c>
      <c r="L12" s="10" t="n">
        <v>100</v>
      </c>
      <c r="M12" s="10" t="n">
        <v>35</v>
      </c>
      <c r="N12" s="10" t="n">
        <v>72</v>
      </c>
      <c r="O12" s="10" t="n">
        <v>300</v>
      </c>
      <c r="P12" s="10" t="n">
        <v>115</v>
      </c>
      <c r="Q12" s="16">
        <f>O12-P12</f>
        <v/>
      </c>
      <c r="R12" s="10" t="n">
        <v>80</v>
      </c>
      <c r="S12" s="10" t="n">
        <v>66</v>
      </c>
      <c r="T12" s="10" t="n">
        <v>0.62</v>
      </c>
      <c r="U12" s="10" t="n">
        <v>2</v>
      </c>
    </row>
    <row r="13">
      <c r="A13" s="15" t="inlineStr">
        <is>
          <t>uaenorth</t>
        </is>
      </c>
      <c r="B13" s="15" t="inlineStr">
        <is>
          <t>UAE North</t>
        </is>
      </c>
      <c r="C13" s="15" t="inlineStr">
        <is>
          <t>Middle East</t>
        </is>
      </c>
      <c r="D13" s="15" t="inlineStr">
        <is>
          <t>cross-geo</t>
        </is>
      </c>
      <c r="E13" s="10" t="n">
        <v>3</v>
      </c>
      <c r="F13" s="10" t="n">
        <v>100</v>
      </c>
      <c r="G13" s="10" t="n">
        <v>40</v>
      </c>
      <c r="H13" s="16">
        <f>F13-G13</f>
        <v/>
      </c>
      <c r="I13" s="10" t="n">
        <v>400</v>
      </c>
      <c r="J13" s="10" t="n">
        <v>200</v>
      </c>
      <c r="K13" s="16">
        <f>I13-J13</f>
        <v/>
      </c>
      <c r="L13" s="10" t="n">
        <v>80</v>
      </c>
      <c r="M13" s="10" t="n">
        <v>30</v>
      </c>
      <c r="N13" s="10" t="n">
        <v>55</v>
      </c>
      <c r="O13" s="10" t="n">
        <v>250</v>
      </c>
      <c r="P13" s="10" t="n">
        <v>100</v>
      </c>
      <c r="Q13" s="16">
        <f>O13-P13</f>
        <v/>
      </c>
      <c r="R13" s="10" t="n">
        <v>0</v>
      </c>
      <c r="S13" s="10" t="n">
        <v>0</v>
      </c>
      <c r="T13" s="10" t="n">
        <v>0</v>
      </c>
      <c r="U13" s="10" t="n">
        <v>3</v>
      </c>
    </row>
    <row r="14">
      <c r="A14" s="15" t="inlineStr">
        <is>
          <t>saudicentral</t>
        </is>
      </c>
      <c r="B14" s="15" t="inlineStr">
        <is>
          <t>Saudi Arabia Central</t>
        </is>
      </c>
      <c r="C14" s="15" t="inlineStr">
        <is>
          <t>Middle East</t>
        </is>
      </c>
      <c r="D14" s="15" t="inlineStr">
        <is>
          <t>cross-geo</t>
        </is>
      </c>
      <c r="E14" s="10" t="n">
        <v>2</v>
      </c>
      <c r="F14" s="10" t="n">
        <v>100</v>
      </c>
      <c r="G14" s="10" t="n">
        <v>30</v>
      </c>
      <c r="H14" s="16">
        <f>F14-G14</f>
        <v/>
      </c>
      <c r="I14" s="10" t="n">
        <v>400</v>
      </c>
      <c r="J14" s="10" t="n">
        <v>220</v>
      </c>
      <c r="K14" s="16">
        <f>I14-J14</f>
        <v/>
      </c>
      <c r="L14" s="10" t="n">
        <v>80</v>
      </c>
      <c r="M14" s="10" t="n">
        <v>25</v>
      </c>
      <c r="N14" s="10" t="n">
        <v>58</v>
      </c>
      <c r="O14" s="10" t="n">
        <v>250</v>
      </c>
      <c r="P14" s="10" t="n">
        <v>95</v>
      </c>
      <c r="Q14" s="16">
        <f>O14-P14</f>
        <v/>
      </c>
      <c r="R14" s="10" t="n">
        <v>0</v>
      </c>
      <c r="S14" s="10" t="n">
        <v>0</v>
      </c>
      <c r="T14" s="10" t="n">
        <v>0</v>
      </c>
      <c r="U14" s="10" t="n">
        <v>2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6" t="inlineStr">
        <is>
          <t>HARD CONSTRAINT GATE</t>
        </is>
      </c>
    </row>
    <row r="3">
      <c r="A3" s="14" t="inlineStr">
        <is>
          <t>Region</t>
        </is>
      </c>
      <c r="B3" s="14" t="inlineStr">
        <is>
          <t>Geography</t>
        </is>
      </c>
      <c r="C3" s="14" t="inlineStr">
        <is>
          <t>Req vCPU</t>
        </is>
      </c>
      <c r="D3" s="14" t="inlineStr">
        <is>
          <t>HC-3 Prod</t>
        </is>
      </c>
      <c r="E3" s="14" t="inlineStr">
        <is>
          <t>HC-3 NonProd</t>
        </is>
      </c>
      <c r="F3" s="14" t="inlineStr">
        <is>
          <t>HC-3 DR</t>
        </is>
      </c>
      <c r="G3" s="14" t="inlineStr">
        <is>
          <t>HC-6 DR Floor</t>
        </is>
      </c>
      <c r="H3" s="14" t="inlineStr">
        <is>
          <t>HC-7 DR Integ</t>
        </is>
      </c>
      <c r="I3" s="14" t="inlineStr">
        <is>
          <t>Eligible Prod</t>
        </is>
      </c>
      <c r="J3" s="14" t="inlineStr">
        <is>
          <t>Eligible NonProd</t>
        </is>
      </c>
      <c r="K3" s="14" t="inlineStr">
        <is>
          <t>Eligible DR</t>
        </is>
      </c>
    </row>
    <row r="4">
      <c r="A4" s="15">
        <f>Capacity_Usage!B4</f>
        <v/>
      </c>
      <c r="B4" s="15">
        <f>Capacity_Usage!C4</f>
        <v/>
      </c>
      <c r="C4" s="15">
        <f>Setup!$B$7</f>
        <v/>
      </c>
      <c r="D4" s="15">
        <f>IF(AND(Capacity_Usage!K4&gt;=Setup!$B$7,Capacity_Usage!K4-Setup!$B$7&gt;=Policy!$B$15),"PASS","FAIL")</f>
        <v/>
      </c>
      <c r="E4" s="15">
        <f>IF(AND(Capacity_Usage!N4&gt;=Setup!$B$7,Capacity_Usage!Q4-Setup!$B$7&gt;=Policy!$B$16),"PASS","FAIL")</f>
        <v/>
      </c>
      <c r="F4" s="15">
        <f>IF(Capacity_Usage!S4&gt;=Policy!$B$13,"PASS","FAIL")</f>
        <v/>
      </c>
      <c r="G4" s="15">
        <f>IF(Capacity_Usage!S4+Capacity_Usage!N4&gt;=Policy!$B$13,"PASS","FAIL")</f>
        <v/>
      </c>
      <c r="H4" s="15">
        <f>IF(Capacity_Usage!P4+Setup!$B$7&lt;=Capacity_Usage!O4-Policy!$B$13,"PASS","FAIL")</f>
        <v/>
      </c>
      <c r="I4" s="15">
        <f>IF(D4="PASS","YES","NO")</f>
        <v/>
      </c>
      <c r="J4" s="15">
        <f>IF(AND(E4="PASS",H4="PASS"),"YES","NO")</f>
        <v/>
      </c>
      <c r="K4" s="15">
        <f>IF(AND(F4="PASS",G4="PASS"),"YES","NO")</f>
        <v/>
      </c>
    </row>
    <row r="5">
      <c r="A5" s="15">
        <f>Capacity_Usage!B5</f>
        <v/>
      </c>
      <c r="B5" s="15">
        <f>Capacity_Usage!C5</f>
        <v/>
      </c>
      <c r="C5" s="15">
        <f>Setup!$B$7</f>
        <v/>
      </c>
      <c r="D5" s="15">
        <f>IF(AND(Capacity_Usage!K5&gt;=Setup!$B$7,Capacity_Usage!K5-Setup!$B$7&gt;=Policy!$B$15),"PASS","FAIL")</f>
        <v/>
      </c>
      <c r="E5" s="15">
        <f>IF(AND(Capacity_Usage!N5&gt;=Setup!$B$7,Capacity_Usage!Q5-Setup!$B$7&gt;=Policy!$B$16),"PASS","FAIL")</f>
        <v/>
      </c>
      <c r="F5" s="15">
        <f>IF(Capacity_Usage!S5&gt;=Policy!$B$13,"PASS","FAIL")</f>
        <v/>
      </c>
      <c r="G5" s="15">
        <f>IF(Capacity_Usage!S5+Capacity_Usage!N5&gt;=Policy!$B$13,"PASS","FAIL")</f>
        <v/>
      </c>
      <c r="H5" s="15">
        <f>IF(Capacity_Usage!P5+Setup!$B$7&lt;=Capacity_Usage!O5-Policy!$B$13,"PASS","FAIL")</f>
        <v/>
      </c>
      <c r="I5" s="15">
        <f>IF(D5="PASS","YES","NO")</f>
        <v/>
      </c>
      <c r="J5" s="15">
        <f>IF(AND(E5="PASS",H5="PASS"),"YES","NO")</f>
        <v/>
      </c>
      <c r="K5" s="15">
        <f>IF(AND(F5="PASS",G5="PASS"),"YES","NO")</f>
        <v/>
      </c>
    </row>
    <row r="6">
      <c r="A6" s="15">
        <f>Capacity_Usage!B6</f>
        <v/>
      </c>
      <c r="B6" s="15">
        <f>Capacity_Usage!C6</f>
        <v/>
      </c>
      <c r="C6" s="15">
        <f>Setup!$B$7</f>
        <v/>
      </c>
      <c r="D6" s="15">
        <f>IF(AND(Capacity_Usage!K6&gt;=Setup!$B$7,Capacity_Usage!K6-Setup!$B$7&gt;=Policy!$B$15),"PASS","FAIL")</f>
        <v/>
      </c>
      <c r="E6" s="15">
        <f>IF(AND(Capacity_Usage!N6&gt;=Setup!$B$7,Capacity_Usage!Q6-Setup!$B$7&gt;=Policy!$B$16),"PASS","FAIL")</f>
        <v/>
      </c>
      <c r="F6" s="15">
        <f>IF(Capacity_Usage!S6&gt;=Policy!$B$13,"PASS","FAIL")</f>
        <v/>
      </c>
      <c r="G6" s="15">
        <f>IF(Capacity_Usage!S6+Capacity_Usage!N6&gt;=Policy!$B$13,"PASS","FAIL")</f>
        <v/>
      </c>
      <c r="H6" s="15">
        <f>IF(Capacity_Usage!P6+Setup!$B$7&lt;=Capacity_Usage!O6-Policy!$B$13,"PASS","FAIL")</f>
        <v/>
      </c>
      <c r="I6" s="15">
        <f>IF(D6="PASS","YES","NO")</f>
        <v/>
      </c>
      <c r="J6" s="15">
        <f>IF(AND(E6="PASS",H6="PASS"),"YES","NO")</f>
        <v/>
      </c>
      <c r="K6" s="15">
        <f>IF(AND(F6="PASS",G6="PASS"),"YES","NO")</f>
        <v/>
      </c>
    </row>
    <row r="7">
      <c r="A7" s="15">
        <f>Capacity_Usage!B7</f>
        <v/>
      </c>
      <c r="B7" s="15">
        <f>Capacity_Usage!C7</f>
        <v/>
      </c>
      <c r="C7" s="15">
        <f>Setup!$B$7</f>
        <v/>
      </c>
      <c r="D7" s="15">
        <f>IF(AND(Capacity_Usage!K7&gt;=Setup!$B$7,Capacity_Usage!K7-Setup!$B$7&gt;=Policy!$B$15),"PASS","FAIL")</f>
        <v/>
      </c>
      <c r="E7" s="15">
        <f>IF(AND(Capacity_Usage!N7&gt;=Setup!$B$7,Capacity_Usage!Q7-Setup!$B$7&gt;=Policy!$B$16),"PASS","FAIL")</f>
        <v/>
      </c>
      <c r="F7" s="15">
        <f>IF(Capacity_Usage!S7&gt;=Policy!$B$13,"PASS","FAIL")</f>
        <v/>
      </c>
      <c r="G7" s="15">
        <f>IF(Capacity_Usage!S7+Capacity_Usage!N7&gt;=Policy!$B$13,"PASS","FAIL")</f>
        <v/>
      </c>
      <c r="H7" s="15">
        <f>IF(Capacity_Usage!P7+Setup!$B$7&lt;=Capacity_Usage!O7-Policy!$B$13,"PASS","FAIL")</f>
        <v/>
      </c>
      <c r="I7" s="15">
        <f>IF(D7="PASS","YES","NO")</f>
        <v/>
      </c>
      <c r="J7" s="15">
        <f>IF(AND(E7="PASS",H7="PASS"),"YES","NO")</f>
        <v/>
      </c>
      <c r="K7" s="15">
        <f>IF(AND(F7="PASS",G7="PASS"),"YES","NO")</f>
        <v/>
      </c>
    </row>
    <row r="8">
      <c r="A8" s="15">
        <f>Capacity_Usage!B8</f>
        <v/>
      </c>
      <c r="B8" s="15">
        <f>Capacity_Usage!C8</f>
        <v/>
      </c>
      <c r="C8" s="15">
        <f>Setup!$B$7</f>
        <v/>
      </c>
      <c r="D8" s="15">
        <f>IF(AND(Capacity_Usage!K8&gt;=Setup!$B$7,Capacity_Usage!K8-Setup!$B$7&gt;=Policy!$B$15),"PASS","FAIL")</f>
        <v/>
      </c>
      <c r="E8" s="15">
        <f>IF(AND(Capacity_Usage!N8&gt;=Setup!$B$7,Capacity_Usage!Q8-Setup!$B$7&gt;=Policy!$B$16),"PASS","FAIL")</f>
        <v/>
      </c>
      <c r="F8" s="15">
        <f>IF(Capacity_Usage!S8&gt;=Policy!$B$13,"PASS","FAIL")</f>
        <v/>
      </c>
      <c r="G8" s="15">
        <f>IF(Capacity_Usage!S8+Capacity_Usage!N8&gt;=Policy!$B$13,"PASS","FAIL")</f>
        <v/>
      </c>
      <c r="H8" s="15">
        <f>IF(Capacity_Usage!P8+Setup!$B$7&lt;=Capacity_Usage!O8-Policy!$B$13,"PASS","FAIL")</f>
        <v/>
      </c>
      <c r="I8" s="15">
        <f>IF(D8="PASS","YES","NO")</f>
        <v/>
      </c>
      <c r="J8" s="15">
        <f>IF(AND(E8="PASS",H8="PASS"),"YES","NO")</f>
        <v/>
      </c>
      <c r="K8" s="15">
        <f>IF(AND(F8="PASS",G8="PASS"),"YES","NO")</f>
        <v/>
      </c>
    </row>
    <row r="9">
      <c r="A9" s="15">
        <f>Capacity_Usage!B9</f>
        <v/>
      </c>
      <c r="B9" s="15">
        <f>Capacity_Usage!C9</f>
        <v/>
      </c>
      <c r="C9" s="15">
        <f>Setup!$B$7</f>
        <v/>
      </c>
      <c r="D9" s="15">
        <f>IF(AND(Capacity_Usage!K9&gt;=Setup!$B$7,Capacity_Usage!K9-Setup!$B$7&gt;=Policy!$B$15),"PASS","FAIL")</f>
        <v/>
      </c>
      <c r="E9" s="15">
        <f>IF(AND(Capacity_Usage!N9&gt;=Setup!$B$7,Capacity_Usage!Q9-Setup!$B$7&gt;=Policy!$B$16),"PASS","FAIL")</f>
        <v/>
      </c>
      <c r="F9" s="15">
        <f>IF(Capacity_Usage!S9&gt;=Policy!$B$13,"PASS","FAIL")</f>
        <v/>
      </c>
      <c r="G9" s="15">
        <f>IF(Capacity_Usage!S9+Capacity_Usage!N9&gt;=Policy!$B$13,"PASS","FAIL")</f>
        <v/>
      </c>
      <c r="H9" s="15">
        <f>IF(Capacity_Usage!P9+Setup!$B$7&lt;=Capacity_Usage!O9-Policy!$B$13,"PASS","FAIL")</f>
        <v/>
      </c>
      <c r="I9" s="15">
        <f>IF(D9="PASS","YES","NO")</f>
        <v/>
      </c>
      <c r="J9" s="15">
        <f>IF(AND(E9="PASS",H9="PASS"),"YES","NO")</f>
        <v/>
      </c>
      <c r="K9" s="15">
        <f>IF(AND(F9="PASS",G9="PASS"),"YES","NO")</f>
        <v/>
      </c>
    </row>
    <row r="10">
      <c r="A10" s="15">
        <f>Capacity_Usage!B10</f>
        <v/>
      </c>
      <c r="B10" s="15">
        <f>Capacity_Usage!C10</f>
        <v/>
      </c>
      <c r="C10" s="15">
        <f>Setup!$B$7</f>
        <v/>
      </c>
      <c r="D10" s="15">
        <f>IF(AND(Capacity_Usage!K10&gt;=Setup!$B$7,Capacity_Usage!K10-Setup!$B$7&gt;=Policy!$B$15),"PASS","FAIL")</f>
        <v/>
      </c>
      <c r="E10" s="15">
        <f>IF(AND(Capacity_Usage!N10&gt;=Setup!$B$7,Capacity_Usage!Q10-Setup!$B$7&gt;=Policy!$B$16),"PASS","FAIL")</f>
        <v/>
      </c>
      <c r="F10" s="15">
        <f>IF(Capacity_Usage!S10&gt;=Policy!$B$13,"PASS","FAIL")</f>
        <v/>
      </c>
      <c r="G10" s="15">
        <f>IF(Capacity_Usage!S10+Capacity_Usage!N10&gt;=Policy!$B$13,"PASS","FAIL")</f>
        <v/>
      </c>
      <c r="H10" s="15">
        <f>IF(Capacity_Usage!P10+Setup!$B$7&lt;=Capacity_Usage!O10-Policy!$B$13,"PASS","FAIL")</f>
        <v/>
      </c>
      <c r="I10" s="15">
        <f>IF(D10="PASS","YES","NO")</f>
        <v/>
      </c>
      <c r="J10" s="15">
        <f>IF(AND(E10="PASS",H10="PASS"),"YES","NO")</f>
        <v/>
      </c>
      <c r="K10" s="15">
        <f>IF(AND(F10="PASS",G10="PASS"),"YES","NO")</f>
        <v/>
      </c>
    </row>
    <row r="11">
      <c r="A11" s="15">
        <f>Capacity_Usage!B11</f>
        <v/>
      </c>
      <c r="B11" s="15">
        <f>Capacity_Usage!C11</f>
        <v/>
      </c>
      <c r="C11" s="15">
        <f>Setup!$B$7</f>
        <v/>
      </c>
      <c r="D11" s="15">
        <f>IF(AND(Capacity_Usage!K11&gt;=Setup!$B$7,Capacity_Usage!K11-Setup!$B$7&gt;=Policy!$B$15),"PASS","FAIL")</f>
        <v/>
      </c>
      <c r="E11" s="15">
        <f>IF(AND(Capacity_Usage!N11&gt;=Setup!$B$7,Capacity_Usage!Q11-Setup!$B$7&gt;=Policy!$B$16),"PASS","FAIL")</f>
        <v/>
      </c>
      <c r="F11" s="15">
        <f>IF(Capacity_Usage!S11&gt;=Policy!$B$13,"PASS","FAIL")</f>
        <v/>
      </c>
      <c r="G11" s="15">
        <f>IF(Capacity_Usage!S11+Capacity_Usage!N11&gt;=Policy!$B$13,"PASS","FAIL")</f>
        <v/>
      </c>
      <c r="H11" s="15">
        <f>IF(Capacity_Usage!P11+Setup!$B$7&lt;=Capacity_Usage!O11-Policy!$B$13,"PASS","FAIL")</f>
        <v/>
      </c>
      <c r="I11" s="15">
        <f>IF(D11="PASS","YES","NO")</f>
        <v/>
      </c>
      <c r="J11" s="15">
        <f>IF(AND(E11="PASS",H11="PASS"),"YES","NO")</f>
        <v/>
      </c>
      <c r="K11" s="15">
        <f>IF(AND(F11="PASS",G11="PASS"),"YES","NO")</f>
        <v/>
      </c>
    </row>
    <row r="12">
      <c r="A12" s="15">
        <f>Capacity_Usage!B12</f>
        <v/>
      </c>
      <c r="B12" s="15">
        <f>Capacity_Usage!C12</f>
        <v/>
      </c>
      <c r="C12" s="15">
        <f>Setup!$B$7</f>
        <v/>
      </c>
      <c r="D12" s="15">
        <f>IF(AND(Capacity_Usage!K12&gt;=Setup!$B$7,Capacity_Usage!K12-Setup!$B$7&gt;=Policy!$B$15),"PASS","FAIL")</f>
        <v/>
      </c>
      <c r="E12" s="15">
        <f>IF(AND(Capacity_Usage!N12&gt;=Setup!$B$7,Capacity_Usage!Q12-Setup!$B$7&gt;=Policy!$B$16),"PASS","FAIL")</f>
        <v/>
      </c>
      <c r="F12" s="15">
        <f>IF(Capacity_Usage!S12&gt;=Policy!$B$13,"PASS","FAIL")</f>
        <v/>
      </c>
      <c r="G12" s="15">
        <f>IF(Capacity_Usage!S12+Capacity_Usage!N12&gt;=Policy!$B$13,"PASS","FAIL")</f>
        <v/>
      </c>
      <c r="H12" s="15">
        <f>IF(Capacity_Usage!P12+Setup!$B$7&lt;=Capacity_Usage!O12-Policy!$B$13,"PASS","FAIL")</f>
        <v/>
      </c>
      <c r="I12" s="15">
        <f>IF(D12="PASS","YES","NO")</f>
        <v/>
      </c>
      <c r="J12" s="15">
        <f>IF(AND(E12="PASS",H12="PASS"),"YES","NO")</f>
        <v/>
      </c>
      <c r="K12" s="15">
        <f>IF(AND(F12="PASS",G12="PASS"),"YES","NO")</f>
        <v/>
      </c>
    </row>
    <row r="13">
      <c r="A13" s="15">
        <f>Capacity_Usage!B13</f>
        <v/>
      </c>
      <c r="B13" s="15">
        <f>Capacity_Usage!C13</f>
        <v/>
      </c>
      <c r="C13" s="15">
        <f>Setup!$B$7</f>
        <v/>
      </c>
      <c r="D13" s="15">
        <f>IF(AND(Capacity_Usage!K13&gt;=Setup!$B$7,Capacity_Usage!K13-Setup!$B$7&gt;=Policy!$B$15),"PASS","FAIL")</f>
        <v/>
      </c>
      <c r="E13" s="15">
        <f>IF(AND(Capacity_Usage!N13&gt;=Setup!$B$7,Capacity_Usage!Q13-Setup!$B$7&gt;=Policy!$B$16),"PASS","FAIL")</f>
        <v/>
      </c>
      <c r="F13" s="15">
        <f>IF(Capacity_Usage!S13&gt;=Policy!$B$13,"PASS","FAIL")</f>
        <v/>
      </c>
      <c r="G13" s="15">
        <f>IF(Capacity_Usage!S13+Capacity_Usage!N13&gt;=Policy!$B$13,"PASS","FAIL")</f>
        <v/>
      </c>
      <c r="H13" s="15">
        <f>IF(Capacity_Usage!P13+Setup!$B$7&lt;=Capacity_Usage!O13-Policy!$B$13,"PASS","FAIL")</f>
        <v/>
      </c>
      <c r="I13" s="15">
        <f>IF(D13="PASS","YES","NO")</f>
        <v/>
      </c>
      <c r="J13" s="15">
        <f>IF(AND(E13="PASS",H13="PASS"),"YES","NO")</f>
        <v/>
      </c>
      <c r="K13" s="15">
        <f>IF(AND(F13="PASS",G13="PASS"),"YES","NO")</f>
        <v/>
      </c>
    </row>
    <row r="14">
      <c r="A14" s="15">
        <f>Capacity_Usage!B14</f>
        <v/>
      </c>
      <c r="B14" s="15">
        <f>Capacity_Usage!C14</f>
        <v/>
      </c>
      <c r="C14" s="15">
        <f>Setup!$B$7</f>
        <v/>
      </c>
      <c r="D14" s="15">
        <f>IF(AND(Capacity_Usage!K14&gt;=Setup!$B$7,Capacity_Usage!K14-Setup!$B$7&gt;=Policy!$B$15),"PASS","FAIL")</f>
        <v/>
      </c>
      <c r="E14" s="15">
        <f>IF(AND(Capacity_Usage!N14&gt;=Setup!$B$7,Capacity_Usage!Q14-Setup!$B$7&gt;=Policy!$B$16),"PASS","FAIL")</f>
        <v/>
      </c>
      <c r="F14" s="15">
        <f>IF(Capacity_Usage!S14&gt;=Policy!$B$13,"PASS","FAIL")</f>
        <v/>
      </c>
      <c r="G14" s="15">
        <f>IF(Capacity_Usage!S14+Capacity_Usage!N14&gt;=Policy!$B$13,"PASS","FAIL")</f>
        <v/>
      </c>
      <c r="H14" s="15">
        <f>IF(Capacity_Usage!P14+Setup!$B$7&lt;=Capacity_Usage!O14-Policy!$B$13,"PASS","FAIL")</f>
        <v/>
      </c>
      <c r="I14" s="15">
        <f>IF(D14="PASS","YES","NO")</f>
        <v/>
      </c>
      <c r="J14" s="15">
        <f>IF(AND(E14="PASS",H14="PASS"),"YES","NO")</f>
        <v/>
      </c>
      <c r="K14" s="15">
        <f>IF(AND(F14="PASS",G14="PASS"),"YES","NO")</f>
        <v/>
      </c>
    </row>
  </sheetData>
  <conditionalFormatting sqref="D4:H14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I4:K14">
    <cfRule type="cellIs" priority="3" operator="equal" dxfId="0">
      <formula>"YES"</formula>
    </cfRule>
    <cfRule type="cellIs" priority="4" operator="equal" dxfId="1">
      <formula>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9" max="19"/>
    <col width="18" customWidth="1" min="20" max="20"/>
  </cols>
  <sheetData>
    <row r="1">
      <c r="A1" s="6" t="inlineStr">
        <is>
          <t>PS_Prod — Production Placement Score</t>
        </is>
      </c>
      <c r="S1" s="17" t="inlineStr">
        <is>
          <t>PROD WINNER</t>
        </is>
      </c>
    </row>
    <row r="2">
      <c r="S2" s="9" t="inlineStr">
        <is>
          <t>Selection mode</t>
        </is>
      </c>
      <c r="T2">
        <f>IF(Setup!$B$8="","Engine argmax","Customer-supplied")</f>
        <v/>
      </c>
    </row>
    <row r="3">
      <c r="A3" s="14" t="inlineStr">
        <is>
          <t>Region</t>
        </is>
      </c>
      <c r="B3" s="14" t="inlineStr">
        <is>
          <t>Geography</t>
        </is>
      </c>
      <c r="C3" s="14" t="inlineStr">
        <is>
          <t>InScope</t>
        </is>
      </c>
      <c r="D3" s="14" t="inlineStr">
        <is>
          <t>Eligible</t>
        </is>
      </c>
      <c r="E3" s="14" t="inlineStr">
        <is>
          <t>total_cust</t>
        </is>
      </c>
      <c r="F3" s="14" t="inlineStr">
        <is>
          <t>α_raw</t>
        </is>
      </c>
      <c r="G3" s="14" t="inlineStr">
        <is>
          <t>α_c</t>
        </is>
      </c>
      <c r="H3" s="14" t="inlineStr">
        <is>
          <t>β_raw</t>
        </is>
      </c>
      <c r="I3" s="14" t="inlineStr">
        <is>
          <t>β_c</t>
        </is>
      </c>
      <c r="J3" s="14" t="inlineStr">
        <is>
          <t>γ_raw</t>
        </is>
      </c>
      <c r="K3" s="14" t="inlineStr">
        <is>
          <t>γ_c</t>
        </is>
      </c>
      <c r="L3" s="14" t="inlineStr">
        <is>
          <t>δ_raw</t>
        </is>
      </c>
      <c r="M3" s="14" t="inlineStr">
        <is>
          <t>δ_c</t>
        </is>
      </c>
      <c r="N3" s="14" t="inlineStr">
        <is>
          <t>ε_raw</t>
        </is>
      </c>
      <c r="O3" s="14" t="inlineStr">
        <is>
          <t>ε_c</t>
        </is>
      </c>
      <c r="P3" s="14" t="inlineStr">
        <is>
          <t>PS</t>
        </is>
      </c>
      <c r="Q3" s="14" t="inlineStr">
        <is>
          <t>Candidate</t>
        </is>
      </c>
      <c r="S3" s="9" t="inlineStr">
        <is>
          <t>Region</t>
        </is>
      </c>
      <c r="T3">
        <f>IF(Setup!$B$8&lt;&gt;"",Setup!$B$8,IF(MAX(Q4:Q14)&lt;0,"NONE ELIGIBLE",INDEX(A4:A14,MATCH(MAX(Q4:Q14),Q4:Q14,0))))</f>
        <v/>
      </c>
    </row>
    <row r="4">
      <c r="A4" s="15">
        <f>Capacity_Usage!B4</f>
        <v/>
      </c>
      <c r="B4" s="15">
        <f>Capacity_Usage!C4</f>
        <v/>
      </c>
      <c r="C4" s="15">
        <f>IF(Capacity_Usage!C4=Setup!$B$3,1,0)</f>
        <v/>
      </c>
      <c r="D4" s="15">
        <f>IF(HC_Gate!I4="YES",1,0)</f>
        <v/>
      </c>
      <c r="E4" s="15">
        <f>IF(Policy!$B$10=1,SUMIFS(Capacity_Usage!$U$4:$U$14,Capacity_Usage!$C$4:$C$14,Capacity_Usage!C4),IF(Policy!$B$10=2,VLOOKUP(Capacity_Usage!C4,Policy!$D$11:$E$15,2,FALSE),Policy!$B$11))</f>
        <v/>
      </c>
      <c r="F4" s="18">
        <f>Capacity_Usage!N4/Capacity_Usage!F4</f>
        <v/>
      </c>
      <c r="G4" s="18">
        <f>MIN(MAX(F4,0),1)</f>
        <v/>
      </c>
      <c r="H4" s="18">
        <f>Capacity_Usage!K4/Capacity_Usage!I4</f>
        <v/>
      </c>
      <c r="I4" s="18">
        <f>MIN(MAX(H4,0),1)</f>
        <v/>
      </c>
      <c r="J4" s="18">
        <f>1-Capacity_Usage!U4/E4</f>
        <v/>
      </c>
      <c r="K4" s="18">
        <f>MIN(MAX(J4,0),1)</f>
        <v/>
      </c>
      <c r="L4" s="18">
        <f>Capacity_Usage!T4</f>
        <v/>
      </c>
      <c r="M4" s="18">
        <f>MIN(MAX(L4,0),1)</f>
        <v/>
      </c>
      <c r="N4" s="18">
        <f>Capacity_Usage!E4/3</f>
        <v/>
      </c>
      <c r="O4" s="18">
        <f>MIN(MAX(N4,0),1)</f>
        <v/>
      </c>
      <c r="P4" s="18">
        <f>Policy!$B$2*G4+Policy!$B$3*I4+Policy!$B$4*K4+Policy!$B$5*M4+Policy!$B$6*O4</f>
        <v/>
      </c>
      <c r="Q4" s="15">
        <f>IF(AND(C4=1,D4=1),P4,-1)</f>
        <v/>
      </c>
      <c r="S4" s="9" t="inlineStr">
        <is>
          <t>Score</t>
        </is>
      </c>
      <c r="T4" s="19">
        <f>IF(Setup!$B$8&lt;&gt;"",INDEX(P4:P14,MATCH(Setup!$B$8,A4:A14,0)),IF(MAX(Q4:Q14)&lt;0,"",MAX(Q4:Q14)))</f>
        <v/>
      </c>
    </row>
    <row r="5">
      <c r="A5" s="15">
        <f>Capacity_Usage!B5</f>
        <v/>
      </c>
      <c r="B5" s="15">
        <f>Capacity_Usage!C5</f>
        <v/>
      </c>
      <c r="C5" s="15">
        <f>IF(Capacity_Usage!C5=Setup!$B$3,1,0)</f>
        <v/>
      </c>
      <c r="D5" s="15">
        <f>IF(HC_Gate!I5="YES",1,0)</f>
        <v/>
      </c>
      <c r="E5" s="15">
        <f>IF(Policy!$B$10=1,SUMIFS(Capacity_Usage!$U$4:$U$14,Capacity_Usage!$C$4:$C$14,Capacity_Usage!C5),IF(Policy!$B$10=2,VLOOKUP(Capacity_Usage!C5,Policy!$D$11:$E$15,2,FALSE),Policy!$B$11))</f>
        <v/>
      </c>
      <c r="F5" s="18">
        <f>Capacity_Usage!N5/Capacity_Usage!F5</f>
        <v/>
      </c>
      <c r="G5" s="18">
        <f>MIN(MAX(F5,0),1)</f>
        <v/>
      </c>
      <c r="H5" s="18">
        <f>Capacity_Usage!K5/Capacity_Usage!I5</f>
        <v/>
      </c>
      <c r="I5" s="18">
        <f>MIN(MAX(H5,0),1)</f>
        <v/>
      </c>
      <c r="J5" s="18">
        <f>1-Capacity_Usage!U5/E5</f>
        <v/>
      </c>
      <c r="K5" s="18">
        <f>MIN(MAX(J5,0),1)</f>
        <v/>
      </c>
      <c r="L5" s="18">
        <f>Capacity_Usage!T5</f>
        <v/>
      </c>
      <c r="M5" s="18">
        <f>MIN(MAX(L5,0),1)</f>
        <v/>
      </c>
      <c r="N5" s="18">
        <f>Capacity_Usage!E5/3</f>
        <v/>
      </c>
      <c r="O5" s="18">
        <f>MIN(MAX(N5,0),1)</f>
        <v/>
      </c>
      <c r="P5" s="18">
        <f>Policy!$B$2*G5+Policy!$B$3*I5+Policy!$B$4*K5+Policy!$B$5*M5+Policy!$B$6*O5</f>
        <v/>
      </c>
      <c r="Q5" s="15">
        <f>IF(AND(C5=1,D5=1),P5,-1)</f>
        <v/>
      </c>
    </row>
    <row r="6">
      <c r="A6" s="15">
        <f>Capacity_Usage!B6</f>
        <v/>
      </c>
      <c r="B6" s="15">
        <f>Capacity_Usage!C6</f>
        <v/>
      </c>
      <c r="C6" s="15">
        <f>IF(Capacity_Usage!C6=Setup!$B$3,1,0)</f>
        <v/>
      </c>
      <c r="D6" s="15">
        <f>IF(HC_Gate!I6="YES",1,0)</f>
        <v/>
      </c>
      <c r="E6" s="15">
        <f>IF(Policy!$B$10=1,SUMIFS(Capacity_Usage!$U$4:$U$14,Capacity_Usage!$C$4:$C$14,Capacity_Usage!C6),IF(Policy!$B$10=2,VLOOKUP(Capacity_Usage!C6,Policy!$D$11:$E$15,2,FALSE),Policy!$B$11))</f>
        <v/>
      </c>
      <c r="F6" s="18">
        <f>Capacity_Usage!N6/Capacity_Usage!F6</f>
        <v/>
      </c>
      <c r="G6" s="18">
        <f>MIN(MAX(F6,0),1)</f>
        <v/>
      </c>
      <c r="H6" s="18">
        <f>Capacity_Usage!K6/Capacity_Usage!I6</f>
        <v/>
      </c>
      <c r="I6" s="18">
        <f>MIN(MAX(H6,0),1)</f>
        <v/>
      </c>
      <c r="J6" s="18">
        <f>1-Capacity_Usage!U6/E6</f>
        <v/>
      </c>
      <c r="K6" s="18">
        <f>MIN(MAX(J6,0),1)</f>
        <v/>
      </c>
      <c r="L6" s="18">
        <f>Capacity_Usage!T6</f>
        <v/>
      </c>
      <c r="M6" s="18">
        <f>MIN(MAX(L6,0),1)</f>
        <v/>
      </c>
      <c r="N6" s="18">
        <f>Capacity_Usage!E6/3</f>
        <v/>
      </c>
      <c r="O6" s="18">
        <f>MIN(MAX(N6,0),1)</f>
        <v/>
      </c>
      <c r="P6" s="18">
        <f>Policy!$B$2*G6+Policy!$B$3*I6+Policy!$B$4*K6+Policy!$B$5*M6+Policy!$B$6*O6</f>
        <v/>
      </c>
      <c r="Q6" s="15">
        <f>IF(AND(C6=1,D6=1),P6,-1)</f>
        <v/>
      </c>
    </row>
    <row r="7">
      <c r="A7" s="15">
        <f>Capacity_Usage!B7</f>
        <v/>
      </c>
      <c r="B7" s="15">
        <f>Capacity_Usage!C7</f>
        <v/>
      </c>
      <c r="C7" s="15">
        <f>IF(Capacity_Usage!C7=Setup!$B$3,1,0)</f>
        <v/>
      </c>
      <c r="D7" s="15">
        <f>IF(HC_Gate!I7="YES",1,0)</f>
        <v/>
      </c>
      <c r="E7" s="15">
        <f>IF(Policy!$B$10=1,SUMIFS(Capacity_Usage!$U$4:$U$14,Capacity_Usage!$C$4:$C$14,Capacity_Usage!C7),IF(Policy!$B$10=2,VLOOKUP(Capacity_Usage!C7,Policy!$D$11:$E$15,2,FALSE),Policy!$B$11))</f>
        <v/>
      </c>
      <c r="F7" s="18">
        <f>Capacity_Usage!N7/Capacity_Usage!F7</f>
        <v/>
      </c>
      <c r="G7" s="18">
        <f>MIN(MAX(F7,0),1)</f>
        <v/>
      </c>
      <c r="H7" s="18">
        <f>Capacity_Usage!K7/Capacity_Usage!I7</f>
        <v/>
      </c>
      <c r="I7" s="18">
        <f>MIN(MAX(H7,0),1)</f>
        <v/>
      </c>
      <c r="J7" s="18">
        <f>1-Capacity_Usage!U7/E7</f>
        <v/>
      </c>
      <c r="K7" s="18">
        <f>MIN(MAX(J7,0),1)</f>
        <v/>
      </c>
      <c r="L7" s="18">
        <f>Capacity_Usage!T7</f>
        <v/>
      </c>
      <c r="M7" s="18">
        <f>MIN(MAX(L7,0),1)</f>
        <v/>
      </c>
      <c r="N7" s="18">
        <f>Capacity_Usage!E7/3</f>
        <v/>
      </c>
      <c r="O7" s="18">
        <f>MIN(MAX(N7,0),1)</f>
        <v/>
      </c>
      <c r="P7" s="18">
        <f>Policy!$B$2*G7+Policy!$B$3*I7+Policy!$B$4*K7+Policy!$B$5*M7+Policy!$B$6*O7</f>
        <v/>
      </c>
      <c r="Q7" s="15">
        <f>IF(AND(C7=1,D7=1),P7,-1)</f>
        <v/>
      </c>
    </row>
    <row r="8">
      <c r="A8" s="15">
        <f>Capacity_Usage!B8</f>
        <v/>
      </c>
      <c r="B8" s="15">
        <f>Capacity_Usage!C8</f>
        <v/>
      </c>
      <c r="C8" s="15">
        <f>IF(Capacity_Usage!C8=Setup!$B$3,1,0)</f>
        <v/>
      </c>
      <c r="D8" s="15">
        <f>IF(HC_Gate!I8="YES",1,0)</f>
        <v/>
      </c>
      <c r="E8" s="15">
        <f>IF(Policy!$B$10=1,SUMIFS(Capacity_Usage!$U$4:$U$14,Capacity_Usage!$C$4:$C$14,Capacity_Usage!C8),IF(Policy!$B$10=2,VLOOKUP(Capacity_Usage!C8,Policy!$D$11:$E$15,2,FALSE),Policy!$B$11))</f>
        <v/>
      </c>
      <c r="F8" s="18">
        <f>Capacity_Usage!N8/Capacity_Usage!F8</f>
        <v/>
      </c>
      <c r="G8" s="18">
        <f>MIN(MAX(F8,0),1)</f>
        <v/>
      </c>
      <c r="H8" s="18">
        <f>Capacity_Usage!K8/Capacity_Usage!I8</f>
        <v/>
      </c>
      <c r="I8" s="18">
        <f>MIN(MAX(H8,0),1)</f>
        <v/>
      </c>
      <c r="J8" s="18">
        <f>1-Capacity_Usage!U8/E8</f>
        <v/>
      </c>
      <c r="K8" s="18">
        <f>MIN(MAX(J8,0),1)</f>
        <v/>
      </c>
      <c r="L8" s="18">
        <f>Capacity_Usage!T8</f>
        <v/>
      </c>
      <c r="M8" s="18">
        <f>MIN(MAX(L8,0),1)</f>
        <v/>
      </c>
      <c r="N8" s="18">
        <f>Capacity_Usage!E8/3</f>
        <v/>
      </c>
      <c r="O8" s="18">
        <f>MIN(MAX(N8,0),1)</f>
        <v/>
      </c>
      <c r="P8" s="18">
        <f>Policy!$B$2*G8+Policy!$B$3*I8+Policy!$B$4*K8+Policy!$B$5*M8+Policy!$B$6*O8</f>
        <v/>
      </c>
      <c r="Q8" s="15">
        <f>IF(AND(C8=1,D8=1),P8,-1)</f>
        <v/>
      </c>
    </row>
    <row r="9">
      <c r="A9" s="15">
        <f>Capacity_Usage!B9</f>
        <v/>
      </c>
      <c r="B9" s="15">
        <f>Capacity_Usage!C9</f>
        <v/>
      </c>
      <c r="C9" s="15">
        <f>IF(Capacity_Usage!C9=Setup!$B$3,1,0)</f>
        <v/>
      </c>
      <c r="D9" s="15">
        <f>IF(HC_Gate!I9="YES",1,0)</f>
        <v/>
      </c>
      <c r="E9" s="15">
        <f>IF(Policy!$B$10=1,SUMIFS(Capacity_Usage!$U$4:$U$14,Capacity_Usage!$C$4:$C$14,Capacity_Usage!C9),IF(Policy!$B$10=2,VLOOKUP(Capacity_Usage!C9,Policy!$D$11:$E$15,2,FALSE),Policy!$B$11))</f>
        <v/>
      </c>
      <c r="F9" s="18">
        <f>Capacity_Usage!N9/Capacity_Usage!F9</f>
        <v/>
      </c>
      <c r="G9" s="18">
        <f>MIN(MAX(F9,0),1)</f>
        <v/>
      </c>
      <c r="H9" s="18">
        <f>Capacity_Usage!K9/Capacity_Usage!I9</f>
        <v/>
      </c>
      <c r="I9" s="18">
        <f>MIN(MAX(H9,0),1)</f>
        <v/>
      </c>
      <c r="J9" s="18">
        <f>1-Capacity_Usage!U9/E9</f>
        <v/>
      </c>
      <c r="K9" s="18">
        <f>MIN(MAX(J9,0),1)</f>
        <v/>
      </c>
      <c r="L9" s="18">
        <f>Capacity_Usage!T9</f>
        <v/>
      </c>
      <c r="M9" s="18">
        <f>MIN(MAX(L9,0),1)</f>
        <v/>
      </c>
      <c r="N9" s="18">
        <f>Capacity_Usage!E9/3</f>
        <v/>
      </c>
      <c r="O9" s="18">
        <f>MIN(MAX(N9,0),1)</f>
        <v/>
      </c>
      <c r="P9" s="18">
        <f>Policy!$B$2*G9+Policy!$B$3*I9+Policy!$B$4*K9+Policy!$B$5*M9+Policy!$B$6*O9</f>
        <v/>
      </c>
      <c r="Q9" s="15">
        <f>IF(AND(C9=1,D9=1),P9,-1)</f>
        <v/>
      </c>
    </row>
    <row r="10">
      <c r="A10" s="15">
        <f>Capacity_Usage!B10</f>
        <v/>
      </c>
      <c r="B10" s="15">
        <f>Capacity_Usage!C10</f>
        <v/>
      </c>
      <c r="C10" s="15">
        <f>IF(Capacity_Usage!C10=Setup!$B$3,1,0)</f>
        <v/>
      </c>
      <c r="D10" s="15">
        <f>IF(HC_Gate!I10="YES",1,0)</f>
        <v/>
      </c>
      <c r="E10" s="15">
        <f>IF(Policy!$B$10=1,SUMIFS(Capacity_Usage!$U$4:$U$14,Capacity_Usage!$C$4:$C$14,Capacity_Usage!C10),IF(Policy!$B$10=2,VLOOKUP(Capacity_Usage!C10,Policy!$D$11:$E$15,2,FALSE),Policy!$B$11))</f>
        <v/>
      </c>
      <c r="F10" s="18">
        <f>Capacity_Usage!N10/Capacity_Usage!F10</f>
        <v/>
      </c>
      <c r="G10" s="18">
        <f>MIN(MAX(F10,0),1)</f>
        <v/>
      </c>
      <c r="H10" s="18">
        <f>Capacity_Usage!K10/Capacity_Usage!I10</f>
        <v/>
      </c>
      <c r="I10" s="18">
        <f>MIN(MAX(H10,0),1)</f>
        <v/>
      </c>
      <c r="J10" s="18">
        <f>1-Capacity_Usage!U10/E10</f>
        <v/>
      </c>
      <c r="K10" s="18">
        <f>MIN(MAX(J10,0),1)</f>
        <v/>
      </c>
      <c r="L10" s="18">
        <f>Capacity_Usage!T10</f>
        <v/>
      </c>
      <c r="M10" s="18">
        <f>MIN(MAX(L10,0),1)</f>
        <v/>
      </c>
      <c r="N10" s="18">
        <f>Capacity_Usage!E10/3</f>
        <v/>
      </c>
      <c r="O10" s="18">
        <f>MIN(MAX(N10,0),1)</f>
        <v/>
      </c>
      <c r="P10" s="18">
        <f>Policy!$B$2*G10+Policy!$B$3*I10+Policy!$B$4*K10+Policy!$B$5*M10+Policy!$B$6*O10</f>
        <v/>
      </c>
      <c r="Q10" s="15">
        <f>IF(AND(C10=1,D10=1),P10,-1)</f>
        <v/>
      </c>
    </row>
    <row r="11">
      <c r="A11" s="15">
        <f>Capacity_Usage!B11</f>
        <v/>
      </c>
      <c r="B11" s="15">
        <f>Capacity_Usage!C11</f>
        <v/>
      </c>
      <c r="C11" s="15">
        <f>IF(Capacity_Usage!C11=Setup!$B$3,1,0)</f>
        <v/>
      </c>
      <c r="D11" s="15">
        <f>IF(HC_Gate!I11="YES",1,0)</f>
        <v/>
      </c>
      <c r="E11" s="15">
        <f>IF(Policy!$B$10=1,SUMIFS(Capacity_Usage!$U$4:$U$14,Capacity_Usage!$C$4:$C$14,Capacity_Usage!C11),IF(Policy!$B$10=2,VLOOKUP(Capacity_Usage!C11,Policy!$D$11:$E$15,2,FALSE),Policy!$B$11))</f>
        <v/>
      </c>
      <c r="F11" s="18">
        <f>Capacity_Usage!N11/Capacity_Usage!F11</f>
        <v/>
      </c>
      <c r="G11" s="18">
        <f>MIN(MAX(F11,0),1)</f>
        <v/>
      </c>
      <c r="H11" s="18">
        <f>Capacity_Usage!K11/Capacity_Usage!I11</f>
        <v/>
      </c>
      <c r="I11" s="18">
        <f>MIN(MAX(H11,0),1)</f>
        <v/>
      </c>
      <c r="J11" s="18">
        <f>1-Capacity_Usage!U11/E11</f>
        <v/>
      </c>
      <c r="K11" s="18">
        <f>MIN(MAX(J11,0),1)</f>
        <v/>
      </c>
      <c r="L11" s="18">
        <f>Capacity_Usage!T11</f>
        <v/>
      </c>
      <c r="M11" s="18">
        <f>MIN(MAX(L11,0),1)</f>
        <v/>
      </c>
      <c r="N11" s="18">
        <f>Capacity_Usage!E11/3</f>
        <v/>
      </c>
      <c r="O11" s="18">
        <f>MIN(MAX(N11,0),1)</f>
        <v/>
      </c>
      <c r="P11" s="18">
        <f>Policy!$B$2*G11+Policy!$B$3*I11+Policy!$B$4*K11+Policy!$B$5*M11+Policy!$B$6*O11</f>
        <v/>
      </c>
      <c r="Q11" s="15">
        <f>IF(AND(C11=1,D11=1),P11,-1)</f>
        <v/>
      </c>
    </row>
    <row r="12">
      <c r="A12" s="15">
        <f>Capacity_Usage!B12</f>
        <v/>
      </c>
      <c r="B12" s="15">
        <f>Capacity_Usage!C12</f>
        <v/>
      </c>
      <c r="C12" s="15">
        <f>IF(Capacity_Usage!C12=Setup!$B$3,1,0)</f>
        <v/>
      </c>
      <c r="D12" s="15">
        <f>IF(HC_Gate!I12="YES",1,0)</f>
        <v/>
      </c>
      <c r="E12" s="15">
        <f>IF(Policy!$B$10=1,SUMIFS(Capacity_Usage!$U$4:$U$14,Capacity_Usage!$C$4:$C$14,Capacity_Usage!C12),IF(Policy!$B$10=2,VLOOKUP(Capacity_Usage!C12,Policy!$D$11:$E$15,2,FALSE),Policy!$B$11))</f>
        <v/>
      </c>
      <c r="F12" s="18">
        <f>Capacity_Usage!N12/Capacity_Usage!F12</f>
        <v/>
      </c>
      <c r="G12" s="18">
        <f>MIN(MAX(F12,0),1)</f>
        <v/>
      </c>
      <c r="H12" s="18">
        <f>Capacity_Usage!K12/Capacity_Usage!I12</f>
        <v/>
      </c>
      <c r="I12" s="18">
        <f>MIN(MAX(H12,0),1)</f>
        <v/>
      </c>
      <c r="J12" s="18">
        <f>1-Capacity_Usage!U12/E12</f>
        <v/>
      </c>
      <c r="K12" s="18">
        <f>MIN(MAX(J12,0),1)</f>
        <v/>
      </c>
      <c r="L12" s="18">
        <f>Capacity_Usage!T12</f>
        <v/>
      </c>
      <c r="M12" s="18">
        <f>MIN(MAX(L12,0),1)</f>
        <v/>
      </c>
      <c r="N12" s="18">
        <f>Capacity_Usage!E12/3</f>
        <v/>
      </c>
      <c r="O12" s="18">
        <f>MIN(MAX(N12,0),1)</f>
        <v/>
      </c>
      <c r="P12" s="18">
        <f>Policy!$B$2*G12+Policy!$B$3*I12+Policy!$B$4*K12+Policy!$B$5*M12+Policy!$B$6*O12</f>
        <v/>
      </c>
      <c r="Q12" s="15">
        <f>IF(AND(C12=1,D12=1),P12,-1)</f>
        <v/>
      </c>
    </row>
    <row r="13">
      <c r="A13" s="15">
        <f>Capacity_Usage!B13</f>
        <v/>
      </c>
      <c r="B13" s="15">
        <f>Capacity_Usage!C13</f>
        <v/>
      </c>
      <c r="C13" s="15">
        <f>IF(Capacity_Usage!C13=Setup!$B$3,1,0)</f>
        <v/>
      </c>
      <c r="D13" s="15">
        <f>IF(HC_Gate!I13="YES",1,0)</f>
        <v/>
      </c>
      <c r="E13" s="15">
        <f>IF(Policy!$B$10=1,SUMIFS(Capacity_Usage!$U$4:$U$14,Capacity_Usage!$C$4:$C$14,Capacity_Usage!C13),IF(Policy!$B$10=2,VLOOKUP(Capacity_Usage!C13,Policy!$D$11:$E$15,2,FALSE),Policy!$B$11))</f>
        <v/>
      </c>
      <c r="F13" s="18">
        <f>Capacity_Usage!N13/Capacity_Usage!F13</f>
        <v/>
      </c>
      <c r="G13" s="18">
        <f>MIN(MAX(F13,0),1)</f>
        <v/>
      </c>
      <c r="H13" s="18">
        <f>Capacity_Usage!K13/Capacity_Usage!I13</f>
        <v/>
      </c>
      <c r="I13" s="18">
        <f>MIN(MAX(H13,0),1)</f>
        <v/>
      </c>
      <c r="J13" s="18">
        <f>1-Capacity_Usage!U13/E13</f>
        <v/>
      </c>
      <c r="K13" s="18">
        <f>MIN(MAX(J13,0),1)</f>
        <v/>
      </c>
      <c r="L13" s="18">
        <f>Capacity_Usage!T13</f>
        <v/>
      </c>
      <c r="M13" s="18">
        <f>MIN(MAX(L13,0),1)</f>
        <v/>
      </c>
      <c r="N13" s="18">
        <f>Capacity_Usage!E13/3</f>
        <v/>
      </c>
      <c r="O13" s="18">
        <f>MIN(MAX(N13,0),1)</f>
        <v/>
      </c>
      <c r="P13" s="18">
        <f>Policy!$B$2*G13+Policy!$B$3*I13+Policy!$B$4*K13+Policy!$B$5*M13+Policy!$B$6*O13</f>
        <v/>
      </c>
      <c r="Q13" s="15">
        <f>IF(AND(C13=1,D13=1),P13,-1)</f>
        <v/>
      </c>
    </row>
    <row r="14">
      <c r="A14" s="15">
        <f>Capacity_Usage!B14</f>
        <v/>
      </c>
      <c r="B14" s="15">
        <f>Capacity_Usage!C14</f>
        <v/>
      </c>
      <c r="C14" s="15">
        <f>IF(Capacity_Usage!C14=Setup!$B$3,1,0)</f>
        <v/>
      </c>
      <c r="D14" s="15">
        <f>IF(HC_Gate!I14="YES",1,0)</f>
        <v/>
      </c>
      <c r="E14" s="15">
        <f>IF(Policy!$B$10=1,SUMIFS(Capacity_Usage!$U$4:$U$14,Capacity_Usage!$C$4:$C$14,Capacity_Usage!C14),IF(Policy!$B$10=2,VLOOKUP(Capacity_Usage!C14,Policy!$D$11:$E$15,2,FALSE),Policy!$B$11))</f>
        <v/>
      </c>
      <c r="F14" s="18">
        <f>Capacity_Usage!N14/Capacity_Usage!F14</f>
        <v/>
      </c>
      <c r="G14" s="18">
        <f>MIN(MAX(F14,0),1)</f>
        <v/>
      </c>
      <c r="H14" s="18">
        <f>Capacity_Usage!K14/Capacity_Usage!I14</f>
        <v/>
      </c>
      <c r="I14" s="18">
        <f>MIN(MAX(H14,0),1)</f>
        <v/>
      </c>
      <c r="J14" s="18">
        <f>1-Capacity_Usage!U14/E14</f>
        <v/>
      </c>
      <c r="K14" s="18">
        <f>MIN(MAX(J14,0),1)</f>
        <v/>
      </c>
      <c r="L14" s="18">
        <f>Capacity_Usage!T14</f>
        <v/>
      </c>
      <c r="M14" s="18">
        <f>MIN(MAX(L14,0),1)</f>
        <v/>
      </c>
      <c r="N14" s="18">
        <f>Capacity_Usage!E14/3</f>
        <v/>
      </c>
      <c r="O14" s="18">
        <f>MIN(MAX(N14,0),1)</f>
        <v/>
      </c>
      <c r="P14" s="18">
        <f>Policy!$B$2*G14+Policy!$B$3*I14+Policy!$B$4*K14+Policy!$B$5*M14+Policy!$B$6*O14</f>
        <v/>
      </c>
      <c r="Q14" s="15">
        <f>IF(AND(C14=1,D14=1),P14,-1)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9" max="19"/>
    <col width="18" customWidth="1" min="20" max="20"/>
  </cols>
  <sheetData>
    <row r="1">
      <c r="A1" s="6" t="inlineStr">
        <is>
          <t>PS_NonProd — CVAL Placement Score  (δ duplicates α — known design gap)</t>
        </is>
      </c>
      <c r="S1" s="17" t="inlineStr">
        <is>
          <t>CVAL WINNER</t>
        </is>
      </c>
    </row>
    <row r="2">
      <c r="S2" s="9" t="inlineStr">
        <is>
          <t>Region</t>
        </is>
      </c>
      <c r="T2">
        <f>IF(Setup!$B$3="Middle East",Scoring_Prod!$T$3,IF(MAX(Q4:Q14)&lt;0,"NONE ELIGIBLE",INDEX(A4:A14,MATCH(MAX(Q4:Q14),Q4:Q14,0))))</f>
        <v/>
      </c>
    </row>
    <row r="3">
      <c r="A3" s="14" t="inlineStr">
        <is>
          <t>Region</t>
        </is>
      </c>
      <c r="B3" s="14" t="inlineStr">
        <is>
          <t>Geography</t>
        </is>
      </c>
      <c r="C3" s="14" t="inlineStr">
        <is>
          <t>InScope</t>
        </is>
      </c>
      <c r="D3" s="14" t="inlineStr">
        <is>
          <t>Eligible</t>
        </is>
      </c>
      <c r="E3" s="14" t="inlineStr">
        <is>
          <t>total_cust</t>
        </is>
      </c>
      <c r="F3" s="14" t="inlineStr">
        <is>
          <t>α_raw</t>
        </is>
      </c>
      <c r="G3" s="14" t="inlineStr">
        <is>
          <t>α_c</t>
        </is>
      </c>
      <c r="H3" s="14" t="inlineStr">
        <is>
          <t>β_raw</t>
        </is>
      </c>
      <c r="I3" s="14" t="inlineStr">
        <is>
          <t>β_c</t>
        </is>
      </c>
      <c r="J3" s="14" t="inlineStr">
        <is>
          <t>γ_raw</t>
        </is>
      </c>
      <c r="K3" s="14" t="inlineStr">
        <is>
          <t>γ_c</t>
        </is>
      </c>
      <c r="L3" s="14" t="inlineStr">
        <is>
          <t>δ_raw</t>
        </is>
      </c>
      <c r="M3" s="14" t="inlineStr">
        <is>
          <t>δ_c</t>
        </is>
      </c>
      <c r="N3" s="14" t="inlineStr">
        <is>
          <t>ε_raw</t>
        </is>
      </c>
      <c r="O3" s="14" t="inlineStr">
        <is>
          <t>ε_c</t>
        </is>
      </c>
      <c r="P3" s="14" t="inlineStr">
        <is>
          <t>PS</t>
        </is>
      </c>
      <c r="Q3" s="14" t="inlineStr">
        <is>
          <t>Candidate</t>
        </is>
      </c>
      <c r="S3" s="9" t="inlineStr">
        <is>
          <t>Score</t>
        </is>
      </c>
      <c r="T3" s="19">
        <f>IF(Setup!$B$3="Middle East",Scoring_Prod!$T$4,IF(MAX(Q4:Q14)&lt;0,"",MAX(Q4:Q14)))</f>
        <v/>
      </c>
    </row>
    <row r="4">
      <c r="A4" s="15">
        <f>Capacity_Usage!B4</f>
        <v/>
      </c>
      <c r="B4" s="15">
        <f>Capacity_Usage!C4</f>
        <v/>
      </c>
      <c r="C4" s="15">
        <f>IF(Capacity_Usage!C4=Setup!$B$3,1,0)</f>
        <v/>
      </c>
      <c r="D4" s="15">
        <f>IF(HC_Gate!J4="YES",1,0)</f>
        <v/>
      </c>
      <c r="E4" s="15">
        <f>IF(Policy!$B$10=1,SUMIFS(Capacity_Usage!$U$4:$U$14,Capacity_Usage!$C$4:$C$14,Capacity_Usage!C4),IF(Policy!$B$10=2,VLOOKUP(Capacity_Usage!C4,Policy!$D$11:$E$15,2,FALSE),Policy!$B$11))</f>
        <v/>
      </c>
      <c r="F4" s="18">
        <f>Capacity_Usage!N4/Capacity_Usage!L4</f>
        <v/>
      </c>
      <c r="G4" s="18">
        <f>MIN(MAX(F4,0),1)</f>
        <v/>
      </c>
      <c r="H4" s="18">
        <f>Capacity_Usage!Q4/Capacity_Usage!O4</f>
        <v/>
      </c>
      <c r="I4" s="18">
        <f>MIN(MAX(H4,0),1)</f>
        <v/>
      </c>
      <c r="J4" s="18">
        <f>1-Capacity_Usage!U4/E4</f>
        <v/>
      </c>
      <c r="K4" s="18">
        <f>MIN(MAX(J4,0),1)</f>
        <v/>
      </c>
      <c r="L4" s="18">
        <f>Capacity_Usage!N4/Capacity_Usage!L4</f>
        <v/>
      </c>
      <c r="M4" s="18">
        <f>MIN(MAX(L4,0),1)</f>
        <v/>
      </c>
      <c r="N4" s="18">
        <f>Capacity_Usage!E4/3</f>
        <v/>
      </c>
      <c r="O4" s="18">
        <f>MIN(MAX(N4,0),1)</f>
        <v/>
      </c>
      <c r="P4" s="18">
        <f>Policy!$B$2*G4+Policy!$B$3*I4+Policy!$B$4*K4+Policy!$B$5*M4+Policy!$B$6*O4</f>
        <v/>
      </c>
      <c r="Q4" s="15">
        <f>IF(AND(C4=1,D4=1,A4&lt;&gt;Scoring_Prod!$T$3),P4,-1)</f>
        <v/>
      </c>
    </row>
    <row r="5">
      <c r="A5" s="15">
        <f>Capacity_Usage!B5</f>
        <v/>
      </c>
      <c r="B5" s="15">
        <f>Capacity_Usage!C5</f>
        <v/>
      </c>
      <c r="C5" s="15">
        <f>IF(Capacity_Usage!C5=Setup!$B$3,1,0)</f>
        <v/>
      </c>
      <c r="D5" s="15">
        <f>IF(HC_Gate!J5="YES",1,0)</f>
        <v/>
      </c>
      <c r="E5" s="15">
        <f>IF(Policy!$B$10=1,SUMIFS(Capacity_Usage!$U$4:$U$14,Capacity_Usage!$C$4:$C$14,Capacity_Usage!C5),IF(Policy!$B$10=2,VLOOKUP(Capacity_Usage!C5,Policy!$D$11:$E$15,2,FALSE),Policy!$B$11))</f>
        <v/>
      </c>
      <c r="F5" s="18">
        <f>Capacity_Usage!N5/Capacity_Usage!L5</f>
        <v/>
      </c>
      <c r="G5" s="18">
        <f>MIN(MAX(F5,0),1)</f>
        <v/>
      </c>
      <c r="H5" s="18">
        <f>Capacity_Usage!Q5/Capacity_Usage!O5</f>
        <v/>
      </c>
      <c r="I5" s="18">
        <f>MIN(MAX(H5,0),1)</f>
        <v/>
      </c>
      <c r="J5" s="18">
        <f>1-Capacity_Usage!U5/E5</f>
        <v/>
      </c>
      <c r="K5" s="18">
        <f>MIN(MAX(J5,0),1)</f>
        <v/>
      </c>
      <c r="L5" s="18">
        <f>Capacity_Usage!N5/Capacity_Usage!L5</f>
        <v/>
      </c>
      <c r="M5" s="18">
        <f>MIN(MAX(L5,0),1)</f>
        <v/>
      </c>
      <c r="N5" s="18">
        <f>Capacity_Usage!E5/3</f>
        <v/>
      </c>
      <c r="O5" s="18">
        <f>MIN(MAX(N5,0),1)</f>
        <v/>
      </c>
      <c r="P5" s="18">
        <f>Policy!$B$2*G5+Policy!$B$3*I5+Policy!$B$4*K5+Policy!$B$5*M5+Policy!$B$6*O5</f>
        <v/>
      </c>
      <c r="Q5" s="15">
        <f>IF(AND(C5=1,D5=1,A5&lt;&gt;Scoring_Prod!$T$3),P5,-1)</f>
        <v/>
      </c>
    </row>
    <row r="6">
      <c r="A6" s="15">
        <f>Capacity_Usage!B6</f>
        <v/>
      </c>
      <c r="B6" s="15">
        <f>Capacity_Usage!C6</f>
        <v/>
      </c>
      <c r="C6" s="15">
        <f>IF(Capacity_Usage!C6=Setup!$B$3,1,0)</f>
        <v/>
      </c>
      <c r="D6" s="15">
        <f>IF(HC_Gate!J6="YES",1,0)</f>
        <v/>
      </c>
      <c r="E6" s="15">
        <f>IF(Policy!$B$10=1,SUMIFS(Capacity_Usage!$U$4:$U$14,Capacity_Usage!$C$4:$C$14,Capacity_Usage!C6),IF(Policy!$B$10=2,VLOOKUP(Capacity_Usage!C6,Policy!$D$11:$E$15,2,FALSE),Policy!$B$11))</f>
        <v/>
      </c>
      <c r="F6" s="18">
        <f>Capacity_Usage!N6/Capacity_Usage!L6</f>
        <v/>
      </c>
      <c r="G6" s="18">
        <f>MIN(MAX(F6,0),1)</f>
        <v/>
      </c>
      <c r="H6" s="18">
        <f>Capacity_Usage!Q6/Capacity_Usage!O6</f>
        <v/>
      </c>
      <c r="I6" s="18">
        <f>MIN(MAX(H6,0),1)</f>
        <v/>
      </c>
      <c r="J6" s="18">
        <f>1-Capacity_Usage!U6/E6</f>
        <v/>
      </c>
      <c r="K6" s="18">
        <f>MIN(MAX(J6,0),1)</f>
        <v/>
      </c>
      <c r="L6" s="18">
        <f>Capacity_Usage!N6/Capacity_Usage!L6</f>
        <v/>
      </c>
      <c r="M6" s="18">
        <f>MIN(MAX(L6,0),1)</f>
        <v/>
      </c>
      <c r="N6" s="18">
        <f>Capacity_Usage!E6/3</f>
        <v/>
      </c>
      <c r="O6" s="18">
        <f>MIN(MAX(N6,0),1)</f>
        <v/>
      </c>
      <c r="P6" s="18">
        <f>Policy!$B$2*G6+Policy!$B$3*I6+Policy!$B$4*K6+Policy!$B$5*M6+Policy!$B$6*O6</f>
        <v/>
      </c>
      <c r="Q6" s="15">
        <f>IF(AND(C6=1,D6=1,A6&lt;&gt;Scoring_Prod!$T$3),P6,-1)</f>
        <v/>
      </c>
    </row>
    <row r="7">
      <c r="A7" s="15">
        <f>Capacity_Usage!B7</f>
        <v/>
      </c>
      <c r="B7" s="15">
        <f>Capacity_Usage!C7</f>
        <v/>
      </c>
      <c r="C7" s="15">
        <f>IF(Capacity_Usage!C7=Setup!$B$3,1,0)</f>
        <v/>
      </c>
      <c r="D7" s="15">
        <f>IF(HC_Gate!J7="YES",1,0)</f>
        <v/>
      </c>
      <c r="E7" s="15">
        <f>IF(Policy!$B$10=1,SUMIFS(Capacity_Usage!$U$4:$U$14,Capacity_Usage!$C$4:$C$14,Capacity_Usage!C7),IF(Policy!$B$10=2,VLOOKUP(Capacity_Usage!C7,Policy!$D$11:$E$15,2,FALSE),Policy!$B$11))</f>
        <v/>
      </c>
      <c r="F7" s="18">
        <f>Capacity_Usage!N7/Capacity_Usage!L7</f>
        <v/>
      </c>
      <c r="G7" s="18">
        <f>MIN(MAX(F7,0),1)</f>
        <v/>
      </c>
      <c r="H7" s="18">
        <f>Capacity_Usage!Q7/Capacity_Usage!O7</f>
        <v/>
      </c>
      <c r="I7" s="18">
        <f>MIN(MAX(H7,0),1)</f>
        <v/>
      </c>
      <c r="J7" s="18">
        <f>1-Capacity_Usage!U7/E7</f>
        <v/>
      </c>
      <c r="K7" s="18">
        <f>MIN(MAX(J7,0),1)</f>
        <v/>
      </c>
      <c r="L7" s="18">
        <f>Capacity_Usage!N7/Capacity_Usage!L7</f>
        <v/>
      </c>
      <c r="M7" s="18">
        <f>MIN(MAX(L7,0),1)</f>
        <v/>
      </c>
      <c r="N7" s="18">
        <f>Capacity_Usage!E7/3</f>
        <v/>
      </c>
      <c r="O7" s="18">
        <f>MIN(MAX(N7,0),1)</f>
        <v/>
      </c>
      <c r="P7" s="18">
        <f>Policy!$B$2*G7+Policy!$B$3*I7+Policy!$B$4*K7+Policy!$B$5*M7+Policy!$B$6*O7</f>
        <v/>
      </c>
      <c r="Q7" s="15">
        <f>IF(AND(C7=1,D7=1,A7&lt;&gt;Scoring_Prod!$T$3),P7,-1)</f>
        <v/>
      </c>
    </row>
    <row r="8">
      <c r="A8" s="15">
        <f>Capacity_Usage!B8</f>
        <v/>
      </c>
      <c r="B8" s="15">
        <f>Capacity_Usage!C8</f>
        <v/>
      </c>
      <c r="C8" s="15">
        <f>IF(Capacity_Usage!C8=Setup!$B$3,1,0)</f>
        <v/>
      </c>
      <c r="D8" s="15">
        <f>IF(HC_Gate!J8="YES",1,0)</f>
        <v/>
      </c>
      <c r="E8" s="15">
        <f>IF(Policy!$B$10=1,SUMIFS(Capacity_Usage!$U$4:$U$14,Capacity_Usage!$C$4:$C$14,Capacity_Usage!C8),IF(Policy!$B$10=2,VLOOKUP(Capacity_Usage!C8,Policy!$D$11:$E$15,2,FALSE),Policy!$B$11))</f>
        <v/>
      </c>
      <c r="F8" s="18">
        <f>Capacity_Usage!N8/Capacity_Usage!L8</f>
        <v/>
      </c>
      <c r="G8" s="18">
        <f>MIN(MAX(F8,0),1)</f>
        <v/>
      </c>
      <c r="H8" s="18">
        <f>Capacity_Usage!Q8/Capacity_Usage!O8</f>
        <v/>
      </c>
      <c r="I8" s="18">
        <f>MIN(MAX(H8,0),1)</f>
        <v/>
      </c>
      <c r="J8" s="18">
        <f>1-Capacity_Usage!U8/E8</f>
        <v/>
      </c>
      <c r="K8" s="18">
        <f>MIN(MAX(J8,0),1)</f>
        <v/>
      </c>
      <c r="L8" s="18">
        <f>Capacity_Usage!N8/Capacity_Usage!L8</f>
        <v/>
      </c>
      <c r="M8" s="18">
        <f>MIN(MAX(L8,0),1)</f>
        <v/>
      </c>
      <c r="N8" s="18">
        <f>Capacity_Usage!E8/3</f>
        <v/>
      </c>
      <c r="O8" s="18">
        <f>MIN(MAX(N8,0),1)</f>
        <v/>
      </c>
      <c r="P8" s="18">
        <f>Policy!$B$2*G8+Policy!$B$3*I8+Policy!$B$4*K8+Policy!$B$5*M8+Policy!$B$6*O8</f>
        <v/>
      </c>
      <c r="Q8" s="15">
        <f>IF(AND(C8=1,D8=1,A8&lt;&gt;Scoring_Prod!$T$3),P8,-1)</f>
        <v/>
      </c>
    </row>
    <row r="9">
      <c r="A9" s="15">
        <f>Capacity_Usage!B9</f>
        <v/>
      </c>
      <c r="B9" s="15">
        <f>Capacity_Usage!C9</f>
        <v/>
      </c>
      <c r="C9" s="15">
        <f>IF(Capacity_Usage!C9=Setup!$B$3,1,0)</f>
        <v/>
      </c>
      <c r="D9" s="15">
        <f>IF(HC_Gate!J9="YES",1,0)</f>
        <v/>
      </c>
      <c r="E9" s="15">
        <f>IF(Policy!$B$10=1,SUMIFS(Capacity_Usage!$U$4:$U$14,Capacity_Usage!$C$4:$C$14,Capacity_Usage!C9),IF(Policy!$B$10=2,VLOOKUP(Capacity_Usage!C9,Policy!$D$11:$E$15,2,FALSE),Policy!$B$11))</f>
        <v/>
      </c>
      <c r="F9" s="18">
        <f>Capacity_Usage!N9/Capacity_Usage!L9</f>
        <v/>
      </c>
      <c r="G9" s="18">
        <f>MIN(MAX(F9,0),1)</f>
        <v/>
      </c>
      <c r="H9" s="18">
        <f>Capacity_Usage!Q9/Capacity_Usage!O9</f>
        <v/>
      </c>
      <c r="I9" s="18">
        <f>MIN(MAX(H9,0),1)</f>
        <v/>
      </c>
      <c r="J9" s="18">
        <f>1-Capacity_Usage!U9/E9</f>
        <v/>
      </c>
      <c r="K9" s="18">
        <f>MIN(MAX(J9,0),1)</f>
        <v/>
      </c>
      <c r="L9" s="18">
        <f>Capacity_Usage!N9/Capacity_Usage!L9</f>
        <v/>
      </c>
      <c r="M9" s="18">
        <f>MIN(MAX(L9,0),1)</f>
        <v/>
      </c>
      <c r="N9" s="18">
        <f>Capacity_Usage!E9/3</f>
        <v/>
      </c>
      <c r="O9" s="18">
        <f>MIN(MAX(N9,0),1)</f>
        <v/>
      </c>
      <c r="P9" s="18">
        <f>Policy!$B$2*G9+Policy!$B$3*I9+Policy!$B$4*K9+Policy!$B$5*M9+Policy!$B$6*O9</f>
        <v/>
      </c>
      <c r="Q9" s="15">
        <f>IF(AND(C9=1,D9=1,A9&lt;&gt;Scoring_Prod!$T$3),P9,-1)</f>
        <v/>
      </c>
    </row>
    <row r="10">
      <c r="A10" s="15">
        <f>Capacity_Usage!B10</f>
        <v/>
      </c>
      <c r="B10" s="15">
        <f>Capacity_Usage!C10</f>
        <v/>
      </c>
      <c r="C10" s="15">
        <f>IF(Capacity_Usage!C10=Setup!$B$3,1,0)</f>
        <v/>
      </c>
      <c r="D10" s="15">
        <f>IF(HC_Gate!J10="YES",1,0)</f>
        <v/>
      </c>
      <c r="E10" s="15">
        <f>IF(Policy!$B$10=1,SUMIFS(Capacity_Usage!$U$4:$U$14,Capacity_Usage!$C$4:$C$14,Capacity_Usage!C10),IF(Policy!$B$10=2,VLOOKUP(Capacity_Usage!C10,Policy!$D$11:$E$15,2,FALSE),Policy!$B$11))</f>
        <v/>
      </c>
      <c r="F10" s="18">
        <f>Capacity_Usage!N10/Capacity_Usage!L10</f>
        <v/>
      </c>
      <c r="G10" s="18">
        <f>MIN(MAX(F10,0),1)</f>
        <v/>
      </c>
      <c r="H10" s="18">
        <f>Capacity_Usage!Q10/Capacity_Usage!O10</f>
        <v/>
      </c>
      <c r="I10" s="18">
        <f>MIN(MAX(H10,0),1)</f>
        <v/>
      </c>
      <c r="J10" s="18">
        <f>1-Capacity_Usage!U10/E10</f>
        <v/>
      </c>
      <c r="K10" s="18">
        <f>MIN(MAX(J10,0),1)</f>
        <v/>
      </c>
      <c r="L10" s="18">
        <f>Capacity_Usage!N10/Capacity_Usage!L10</f>
        <v/>
      </c>
      <c r="M10" s="18">
        <f>MIN(MAX(L10,0),1)</f>
        <v/>
      </c>
      <c r="N10" s="18">
        <f>Capacity_Usage!E10/3</f>
        <v/>
      </c>
      <c r="O10" s="18">
        <f>MIN(MAX(N10,0),1)</f>
        <v/>
      </c>
      <c r="P10" s="18">
        <f>Policy!$B$2*G10+Policy!$B$3*I10+Policy!$B$4*K10+Policy!$B$5*M10+Policy!$B$6*O10</f>
        <v/>
      </c>
      <c r="Q10" s="15">
        <f>IF(AND(C10=1,D10=1,A10&lt;&gt;Scoring_Prod!$T$3),P10,-1)</f>
        <v/>
      </c>
    </row>
    <row r="11">
      <c r="A11" s="15">
        <f>Capacity_Usage!B11</f>
        <v/>
      </c>
      <c r="B11" s="15">
        <f>Capacity_Usage!C11</f>
        <v/>
      </c>
      <c r="C11" s="15">
        <f>IF(Capacity_Usage!C11=Setup!$B$3,1,0)</f>
        <v/>
      </c>
      <c r="D11" s="15">
        <f>IF(HC_Gate!J11="YES",1,0)</f>
        <v/>
      </c>
      <c r="E11" s="15">
        <f>IF(Policy!$B$10=1,SUMIFS(Capacity_Usage!$U$4:$U$14,Capacity_Usage!$C$4:$C$14,Capacity_Usage!C11),IF(Policy!$B$10=2,VLOOKUP(Capacity_Usage!C11,Policy!$D$11:$E$15,2,FALSE),Policy!$B$11))</f>
        <v/>
      </c>
      <c r="F11" s="18">
        <f>Capacity_Usage!N11/Capacity_Usage!L11</f>
        <v/>
      </c>
      <c r="G11" s="18">
        <f>MIN(MAX(F11,0),1)</f>
        <v/>
      </c>
      <c r="H11" s="18">
        <f>Capacity_Usage!Q11/Capacity_Usage!O11</f>
        <v/>
      </c>
      <c r="I11" s="18">
        <f>MIN(MAX(H11,0),1)</f>
        <v/>
      </c>
      <c r="J11" s="18">
        <f>1-Capacity_Usage!U11/E11</f>
        <v/>
      </c>
      <c r="K11" s="18">
        <f>MIN(MAX(J11,0),1)</f>
        <v/>
      </c>
      <c r="L11" s="18">
        <f>Capacity_Usage!N11/Capacity_Usage!L11</f>
        <v/>
      </c>
      <c r="M11" s="18">
        <f>MIN(MAX(L11,0),1)</f>
        <v/>
      </c>
      <c r="N11" s="18">
        <f>Capacity_Usage!E11/3</f>
        <v/>
      </c>
      <c r="O11" s="18">
        <f>MIN(MAX(N11,0),1)</f>
        <v/>
      </c>
      <c r="P11" s="18">
        <f>Policy!$B$2*G11+Policy!$B$3*I11+Policy!$B$4*K11+Policy!$B$5*M11+Policy!$B$6*O11</f>
        <v/>
      </c>
      <c r="Q11" s="15">
        <f>IF(AND(C11=1,D11=1,A11&lt;&gt;Scoring_Prod!$T$3),P11,-1)</f>
        <v/>
      </c>
    </row>
    <row r="12">
      <c r="A12" s="15">
        <f>Capacity_Usage!B12</f>
        <v/>
      </c>
      <c r="B12" s="15">
        <f>Capacity_Usage!C12</f>
        <v/>
      </c>
      <c r="C12" s="15">
        <f>IF(Capacity_Usage!C12=Setup!$B$3,1,0)</f>
        <v/>
      </c>
      <c r="D12" s="15">
        <f>IF(HC_Gate!J12="YES",1,0)</f>
        <v/>
      </c>
      <c r="E12" s="15">
        <f>IF(Policy!$B$10=1,SUMIFS(Capacity_Usage!$U$4:$U$14,Capacity_Usage!$C$4:$C$14,Capacity_Usage!C12),IF(Policy!$B$10=2,VLOOKUP(Capacity_Usage!C12,Policy!$D$11:$E$15,2,FALSE),Policy!$B$11))</f>
        <v/>
      </c>
      <c r="F12" s="18">
        <f>Capacity_Usage!N12/Capacity_Usage!L12</f>
        <v/>
      </c>
      <c r="G12" s="18">
        <f>MIN(MAX(F12,0),1)</f>
        <v/>
      </c>
      <c r="H12" s="18">
        <f>Capacity_Usage!Q12/Capacity_Usage!O12</f>
        <v/>
      </c>
      <c r="I12" s="18">
        <f>MIN(MAX(H12,0),1)</f>
        <v/>
      </c>
      <c r="J12" s="18">
        <f>1-Capacity_Usage!U12/E12</f>
        <v/>
      </c>
      <c r="K12" s="18">
        <f>MIN(MAX(J12,0),1)</f>
        <v/>
      </c>
      <c r="L12" s="18">
        <f>Capacity_Usage!N12/Capacity_Usage!L12</f>
        <v/>
      </c>
      <c r="M12" s="18">
        <f>MIN(MAX(L12,0),1)</f>
        <v/>
      </c>
      <c r="N12" s="18">
        <f>Capacity_Usage!E12/3</f>
        <v/>
      </c>
      <c r="O12" s="18">
        <f>MIN(MAX(N12,0),1)</f>
        <v/>
      </c>
      <c r="P12" s="18">
        <f>Policy!$B$2*G12+Policy!$B$3*I12+Policy!$B$4*K12+Policy!$B$5*M12+Policy!$B$6*O12</f>
        <v/>
      </c>
      <c r="Q12" s="15">
        <f>IF(AND(C12=1,D12=1,A12&lt;&gt;Scoring_Prod!$T$3),P12,-1)</f>
        <v/>
      </c>
    </row>
    <row r="13">
      <c r="A13" s="15">
        <f>Capacity_Usage!B13</f>
        <v/>
      </c>
      <c r="B13" s="15">
        <f>Capacity_Usage!C13</f>
        <v/>
      </c>
      <c r="C13" s="15">
        <f>IF(Capacity_Usage!C13=Setup!$B$3,1,0)</f>
        <v/>
      </c>
      <c r="D13" s="15">
        <f>IF(HC_Gate!J13="YES",1,0)</f>
        <v/>
      </c>
      <c r="E13" s="15">
        <f>IF(Policy!$B$10=1,SUMIFS(Capacity_Usage!$U$4:$U$14,Capacity_Usage!$C$4:$C$14,Capacity_Usage!C13),IF(Policy!$B$10=2,VLOOKUP(Capacity_Usage!C13,Policy!$D$11:$E$15,2,FALSE),Policy!$B$11))</f>
        <v/>
      </c>
      <c r="F13" s="18">
        <f>Capacity_Usage!N13/Capacity_Usage!L13</f>
        <v/>
      </c>
      <c r="G13" s="18">
        <f>MIN(MAX(F13,0),1)</f>
        <v/>
      </c>
      <c r="H13" s="18">
        <f>Capacity_Usage!Q13/Capacity_Usage!O13</f>
        <v/>
      </c>
      <c r="I13" s="18">
        <f>MIN(MAX(H13,0),1)</f>
        <v/>
      </c>
      <c r="J13" s="18">
        <f>1-Capacity_Usage!U13/E13</f>
        <v/>
      </c>
      <c r="K13" s="18">
        <f>MIN(MAX(J13,0),1)</f>
        <v/>
      </c>
      <c r="L13" s="18">
        <f>Capacity_Usage!N13/Capacity_Usage!L13</f>
        <v/>
      </c>
      <c r="M13" s="18">
        <f>MIN(MAX(L13,0),1)</f>
        <v/>
      </c>
      <c r="N13" s="18">
        <f>Capacity_Usage!E13/3</f>
        <v/>
      </c>
      <c r="O13" s="18">
        <f>MIN(MAX(N13,0),1)</f>
        <v/>
      </c>
      <c r="P13" s="18">
        <f>Policy!$B$2*G13+Policy!$B$3*I13+Policy!$B$4*K13+Policy!$B$5*M13+Policy!$B$6*O13</f>
        <v/>
      </c>
      <c r="Q13" s="15">
        <f>IF(AND(C13=1,D13=1,A13&lt;&gt;Scoring_Prod!$T$3),P13,-1)</f>
        <v/>
      </c>
    </row>
    <row r="14">
      <c r="A14" s="15">
        <f>Capacity_Usage!B14</f>
        <v/>
      </c>
      <c r="B14" s="15">
        <f>Capacity_Usage!C14</f>
        <v/>
      </c>
      <c r="C14" s="15">
        <f>IF(Capacity_Usage!C14=Setup!$B$3,1,0)</f>
        <v/>
      </c>
      <c r="D14" s="15">
        <f>IF(HC_Gate!J14="YES",1,0)</f>
        <v/>
      </c>
      <c r="E14" s="15">
        <f>IF(Policy!$B$10=1,SUMIFS(Capacity_Usage!$U$4:$U$14,Capacity_Usage!$C$4:$C$14,Capacity_Usage!C14),IF(Policy!$B$10=2,VLOOKUP(Capacity_Usage!C14,Policy!$D$11:$E$15,2,FALSE),Policy!$B$11))</f>
        <v/>
      </c>
      <c r="F14" s="18">
        <f>Capacity_Usage!N14/Capacity_Usage!L14</f>
        <v/>
      </c>
      <c r="G14" s="18">
        <f>MIN(MAX(F14,0),1)</f>
        <v/>
      </c>
      <c r="H14" s="18">
        <f>Capacity_Usage!Q14/Capacity_Usage!O14</f>
        <v/>
      </c>
      <c r="I14" s="18">
        <f>MIN(MAX(H14,0),1)</f>
        <v/>
      </c>
      <c r="J14" s="18">
        <f>1-Capacity_Usage!U14/E14</f>
        <v/>
      </c>
      <c r="K14" s="18">
        <f>MIN(MAX(J14,0),1)</f>
        <v/>
      </c>
      <c r="L14" s="18">
        <f>Capacity_Usage!N14/Capacity_Usage!L14</f>
        <v/>
      </c>
      <c r="M14" s="18">
        <f>MIN(MAX(L14,0),1)</f>
        <v/>
      </c>
      <c r="N14" s="18">
        <f>Capacity_Usage!E14/3</f>
        <v/>
      </c>
      <c r="O14" s="18">
        <f>MIN(MAX(N14,0),1)</f>
        <v/>
      </c>
      <c r="P14" s="18">
        <f>Policy!$B$2*G14+Policy!$B$3*I14+Policy!$B$4*K14+Policy!$B$5*M14+Policy!$B$6*O14</f>
        <v/>
      </c>
      <c r="Q14" s="15">
        <f>IF(AND(C14=1,D14=1,A14&lt;&gt;Scoring_Prod!$T$3),P14,-1)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9" max="19"/>
    <col width="18" customWidth="1" min="20" max="20"/>
  </cols>
  <sheetData>
    <row r="1">
      <c r="A1" s="6" t="inlineStr">
        <is>
          <t>PS_DR — DR Placement Score  (Middle East scores EU regions cross-geo)</t>
        </is>
      </c>
      <c r="S1" s="17" t="inlineStr">
        <is>
          <t>DR WINNER</t>
        </is>
      </c>
    </row>
    <row r="2">
      <c r="S2" s="9" t="inlineStr">
        <is>
          <t>Region</t>
        </is>
      </c>
      <c r="T2">
        <f>IF(Setup!$B$10="2-region",Scoring_CVAL!$T$2,IF(MAX(Q4:Q14)&lt;0,"NONE ELIGIBLE",INDEX(A4:A14,MATCH(MAX(Q4:Q14),Q4:Q14,0))))</f>
        <v/>
      </c>
    </row>
    <row r="3">
      <c r="A3" s="14" t="inlineStr">
        <is>
          <t>Region</t>
        </is>
      </c>
      <c r="B3" s="14" t="inlineStr">
        <is>
          <t>Geography</t>
        </is>
      </c>
      <c r="C3" s="14" t="inlineStr">
        <is>
          <t>InScope</t>
        </is>
      </c>
      <c r="D3" s="14" t="inlineStr">
        <is>
          <t>Eligible</t>
        </is>
      </c>
      <c r="E3" s="14" t="inlineStr">
        <is>
          <t>total_cust</t>
        </is>
      </c>
      <c r="F3" s="14" t="inlineStr">
        <is>
          <t>α_raw</t>
        </is>
      </c>
      <c r="G3" s="14" t="inlineStr">
        <is>
          <t>α_c</t>
        </is>
      </c>
      <c r="H3" s="14" t="inlineStr">
        <is>
          <t>β_raw</t>
        </is>
      </c>
      <c r="I3" s="14" t="inlineStr">
        <is>
          <t>β_c</t>
        </is>
      </c>
      <c r="J3" s="14" t="inlineStr">
        <is>
          <t>γ_raw</t>
        </is>
      </c>
      <c r="K3" s="14" t="inlineStr">
        <is>
          <t>γ_c</t>
        </is>
      </c>
      <c r="L3" s="14" t="inlineStr">
        <is>
          <t>δ_raw</t>
        </is>
      </c>
      <c r="M3" s="14" t="inlineStr">
        <is>
          <t>δ_c</t>
        </is>
      </c>
      <c r="N3" s="14" t="inlineStr">
        <is>
          <t>ε_raw</t>
        </is>
      </c>
      <c r="O3" s="14" t="inlineStr">
        <is>
          <t>ε_c</t>
        </is>
      </c>
      <c r="P3" s="14" t="inlineStr">
        <is>
          <t>PS</t>
        </is>
      </c>
      <c r="Q3" s="14" t="inlineStr">
        <is>
          <t>Candidate</t>
        </is>
      </c>
      <c r="S3" s="9" t="inlineStr">
        <is>
          <t>Score</t>
        </is>
      </c>
      <c r="T3" s="19">
        <f>IF(Setup!$B$10="2-region",Scoring_CVAL!$T$3,IF(MAX(Q4:Q14)&lt;0,"",MAX(Q4:Q14)))</f>
        <v/>
      </c>
    </row>
    <row r="4">
      <c r="A4" s="15">
        <f>Capacity_Usage!B4</f>
        <v/>
      </c>
      <c r="B4" s="15">
        <f>Capacity_Usage!C4</f>
        <v/>
      </c>
      <c r="C4" s="15">
        <f>IF(Capacity_Usage!C4=Setup!$B$11,1,0)</f>
        <v/>
      </c>
      <c r="D4" s="15">
        <f>IF(HC_Gate!K4="YES",1,0)</f>
        <v/>
      </c>
      <c r="E4" s="15">
        <f>IF(Policy!$B$10=1,SUMIFS(Capacity_Usage!$U$4:$U$14,Capacity_Usage!$C$4:$C$14,Capacity_Usage!C4),IF(Policy!$B$10=2,VLOOKUP(Capacity_Usage!C4,Policy!$D$11:$E$15,2,FALSE),Policy!$B$11))</f>
        <v/>
      </c>
      <c r="F4" s="18">
        <f>Capacity_Usage!S4/Capacity_Usage!R4</f>
        <v/>
      </c>
      <c r="G4" s="18">
        <f>MIN(MAX(F4,0),1)</f>
        <v/>
      </c>
      <c r="H4" s="18">
        <f>Capacity_Usage!Q4/Capacity_Usage!O4</f>
        <v/>
      </c>
      <c r="I4" s="18">
        <f>MIN(MAX(H4,0),1)</f>
        <v/>
      </c>
      <c r="J4" s="18">
        <f>1-Capacity_Usage!U4/E4</f>
        <v/>
      </c>
      <c r="K4" s="18">
        <f>MIN(MAX(J4,0),1)</f>
        <v/>
      </c>
      <c r="L4" s="18">
        <f>Capacity_Usage!T4/Policy!$B$14</f>
        <v/>
      </c>
      <c r="M4" s="18">
        <f>MIN(MAX(L4,0),1)</f>
        <v/>
      </c>
      <c r="N4" s="18">
        <f>Capacity_Usage!E4/3</f>
        <v/>
      </c>
      <c r="O4" s="18">
        <f>MIN(MAX(N4,0),1)</f>
        <v/>
      </c>
      <c r="P4" s="18">
        <f>Policy!$B$2*G4+Policy!$B$3*I4+Policy!$B$4*K4+Policy!$B$5*M4+Policy!$B$6*O4</f>
        <v/>
      </c>
      <c r="Q4" s="15">
        <f>IF(AND(C4=1,D4=1,A4&lt;&gt;Scoring_Prod!$T$3),P4,-1)</f>
        <v/>
      </c>
    </row>
    <row r="5">
      <c r="A5" s="15">
        <f>Capacity_Usage!B5</f>
        <v/>
      </c>
      <c r="B5" s="15">
        <f>Capacity_Usage!C5</f>
        <v/>
      </c>
      <c r="C5" s="15">
        <f>IF(Capacity_Usage!C5=Setup!$B$11,1,0)</f>
        <v/>
      </c>
      <c r="D5" s="15">
        <f>IF(HC_Gate!K5="YES",1,0)</f>
        <v/>
      </c>
      <c r="E5" s="15">
        <f>IF(Policy!$B$10=1,SUMIFS(Capacity_Usage!$U$4:$U$14,Capacity_Usage!$C$4:$C$14,Capacity_Usage!C5),IF(Policy!$B$10=2,VLOOKUP(Capacity_Usage!C5,Policy!$D$11:$E$15,2,FALSE),Policy!$B$11))</f>
        <v/>
      </c>
      <c r="F5" s="18">
        <f>Capacity_Usage!S5/Capacity_Usage!R5</f>
        <v/>
      </c>
      <c r="G5" s="18">
        <f>MIN(MAX(F5,0),1)</f>
        <v/>
      </c>
      <c r="H5" s="18">
        <f>Capacity_Usage!Q5/Capacity_Usage!O5</f>
        <v/>
      </c>
      <c r="I5" s="18">
        <f>MIN(MAX(H5,0),1)</f>
        <v/>
      </c>
      <c r="J5" s="18">
        <f>1-Capacity_Usage!U5/E5</f>
        <v/>
      </c>
      <c r="K5" s="18">
        <f>MIN(MAX(J5,0),1)</f>
        <v/>
      </c>
      <c r="L5" s="18">
        <f>Capacity_Usage!T5/Policy!$B$14</f>
        <v/>
      </c>
      <c r="M5" s="18">
        <f>MIN(MAX(L5,0),1)</f>
        <v/>
      </c>
      <c r="N5" s="18">
        <f>Capacity_Usage!E5/3</f>
        <v/>
      </c>
      <c r="O5" s="18">
        <f>MIN(MAX(N5,0),1)</f>
        <v/>
      </c>
      <c r="P5" s="18">
        <f>Policy!$B$2*G5+Policy!$B$3*I5+Policy!$B$4*K5+Policy!$B$5*M5+Policy!$B$6*O5</f>
        <v/>
      </c>
      <c r="Q5" s="15">
        <f>IF(AND(C5=1,D5=1,A5&lt;&gt;Scoring_Prod!$T$3),P5,-1)</f>
        <v/>
      </c>
    </row>
    <row r="6">
      <c r="A6" s="15">
        <f>Capacity_Usage!B6</f>
        <v/>
      </c>
      <c r="B6" s="15">
        <f>Capacity_Usage!C6</f>
        <v/>
      </c>
      <c r="C6" s="15">
        <f>IF(Capacity_Usage!C6=Setup!$B$11,1,0)</f>
        <v/>
      </c>
      <c r="D6" s="15">
        <f>IF(HC_Gate!K6="YES",1,0)</f>
        <v/>
      </c>
      <c r="E6" s="15">
        <f>IF(Policy!$B$10=1,SUMIFS(Capacity_Usage!$U$4:$U$14,Capacity_Usage!$C$4:$C$14,Capacity_Usage!C6),IF(Policy!$B$10=2,VLOOKUP(Capacity_Usage!C6,Policy!$D$11:$E$15,2,FALSE),Policy!$B$11))</f>
        <v/>
      </c>
      <c r="F6" s="18">
        <f>Capacity_Usage!S6/Capacity_Usage!R6</f>
        <v/>
      </c>
      <c r="G6" s="18">
        <f>MIN(MAX(F6,0),1)</f>
        <v/>
      </c>
      <c r="H6" s="18">
        <f>Capacity_Usage!Q6/Capacity_Usage!O6</f>
        <v/>
      </c>
      <c r="I6" s="18">
        <f>MIN(MAX(H6,0),1)</f>
        <v/>
      </c>
      <c r="J6" s="18">
        <f>1-Capacity_Usage!U6/E6</f>
        <v/>
      </c>
      <c r="K6" s="18">
        <f>MIN(MAX(J6,0),1)</f>
        <v/>
      </c>
      <c r="L6" s="18">
        <f>Capacity_Usage!T6/Policy!$B$14</f>
        <v/>
      </c>
      <c r="M6" s="18">
        <f>MIN(MAX(L6,0),1)</f>
        <v/>
      </c>
      <c r="N6" s="18">
        <f>Capacity_Usage!E6/3</f>
        <v/>
      </c>
      <c r="O6" s="18">
        <f>MIN(MAX(N6,0),1)</f>
        <v/>
      </c>
      <c r="P6" s="18">
        <f>Policy!$B$2*G6+Policy!$B$3*I6+Policy!$B$4*K6+Policy!$B$5*M6+Policy!$B$6*O6</f>
        <v/>
      </c>
      <c r="Q6" s="15">
        <f>IF(AND(C6=1,D6=1,A6&lt;&gt;Scoring_Prod!$T$3),P6,-1)</f>
        <v/>
      </c>
    </row>
    <row r="7">
      <c r="A7" s="15">
        <f>Capacity_Usage!B7</f>
        <v/>
      </c>
      <c r="B7" s="15">
        <f>Capacity_Usage!C7</f>
        <v/>
      </c>
      <c r="C7" s="15">
        <f>IF(Capacity_Usage!C7=Setup!$B$11,1,0)</f>
        <v/>
      </c>
      <c r="D7" s="15">
        <f>IF(HC_Gate!K7="YES",1,0)</f>
        <v/>
      </c>
      <c r="E7" s="15">
        <f>IF(Policy!$B$10=1,SUMIFS(Capacity_Usage!$U$4:$U$14,Capacity_Usage!$C$4:$C$14,Capacity_Usage!C7),IF(Policy!$B$10=2,VLOOKUP(Capacity_Usage!C7,Policy!$D$11:$E$15,2,FALSE),Policy!$B$11))</f>
        <v/>
      </c>
      <c r="F7" s="18">
        <f>Capacity_Usage!S7/Capacity_Usage!R7</f>
        <v/>
      </c>
      <c r="G7" s="18">
        <f>MIN(MAX(F7,0),1)</f>
        <v/>
      </c>
      <c r="H7" s="18">
        <f>Capacity_Usage!Q7/Capacity_Usage!O7</f>
        <v/>
      </c>
      <c r="I7" s="18">
        <f>MIN(MAX(H7,0),1)</f>
        <v/>
      </c>
      <c r="J7" s="18">
        <f>1-Capacity_Usage!U7/E7</f>
        <v/>
      </c>
      <c r="K7" s="18">
        <f>MIN(MAX(J7,0),1)</f>
        <v/>
      </c>
      <c r="L7" s="18">
        <f>Capacity_Usage!T7/Policy!$B$14</f>
        <v/>
      </c>
      <c r="M7" s="18">
        <f>MIN(MAX(L7,0),1)</f>
        <v/>
      </c>
      <c r="N7" s="18">
        <f>Capacity_Usage!E7/3</f>
        <v/>
      </c>
      <c r="O7" s="18">
        <f>MIN(MAX(N7,0),1)</f>
        <v/>
      </c>
      <c r="P7" s="18">
        <f>Policy!$B$2*G7+Policy!$B$3*I7+Policy!$B$4*K7+Policy!$B$5*M7+Policy!$B$6*O7</f>
        <v/>
      </c>
      <c r="Q7" s="15">
        <f>IF(AND(C7=1,D7=1,A7&lt;&gt;Scoring_Prod!$T$3),P7,-1)</f>
        <v/>
      </c>
    </row>
    <row r="8">
      <c r="A8" s="15">
        <f>Capacity_Usage!B8</f>
        <v/>
      </c>
      <c r="B8" s="15">
        <f>Capacity_Usage!C8</f>
        <v/>
      </c>
      <c r="C8" s="15">
        <f>IF(Capacity_Usage!C8=Setup!$B$11,1,0)</f>
        <v/>
      </c>
      <c r="D8" s="15">
        <f>IF(HC_Gate!K8="YES",1,0)</f>
        <v/>
      </c>
      <c r="E8" s="15">
        <f>IF(Policy!$B$10=1,SUMIFS(Capacity_Usage!$U$4:$U$14,Capacity_Usage!$C$4:$C$14,Capacity_Usage!C8),IF(Policy!$B$10=2,VLOOKUP(Capacity_Usage!C8,Policy!$D$11:$E$15,2,FALSE),Policy!$B$11))</f>
        <v/>
      </c>
      <c r="F8" s="18">
        <f>Capacity_Usage!S8/Capacity_Usage!R8</f>
        <v/>
      </c>
      <c r="G8" s="18">
        <f>MIN(MAX(F8,0),1)</f>
        <v/>
      </c>
      <c r="H8" s="18">
        <f>Capacity_Usage!Q8/Capacity_Usage!O8</f>
        <v/>
      </c>
      <c r="I8" s="18">
        <f>MIN(MAX(H8,0),1)</f>
        <v/>
      </c>
      <c r="J8" s="18">
        <f>1-Capacity_Usage!U8/E8</f>
        <v/>
      </c>
      <c r="K8" s="18">
        <f>MIN(MAX(J8,0),1)</f>
        <v/>
      </c>
      <c r="L8" s="18">
        <f>Capacity_Usage!T8/Policy!$B$14</f>
        <v/>
      </c>
      <c r="M8" s="18">
        <f>MIN(MAX(L8,0),1)</f>
        <v/>
      </c>
      <c r="N8" s="18">
        <f>Capacity_Usage!E8/3</f>
        <v/>
      </c>
      <c r="O8" s="18">
        <f>MIN(MAX(N8,0),1)</f>
        <v/>
      </c>
      <c r="P8" s="18">
        <f>Policy!$B$2*G8+Policy!$B$3*I8+Policy!$B$4*K8+Policy!$B$5*M8+Policy!$B$6*O8</f>
        <v/>
      </c>
      <c r="Q8" s="15">
        <f>IF(AND(C8=1,D8=1,A8&lt;&gt;Scoring_Prod!$T$3),P8,-1)</f>
        <v/>
      </c>
    </row>
    <row r="9">
      <c r="A9" s="15">
        <f>Capacity_Usage!B9</f>
        <v/>
      </c>
      <c r="B9" s="15">
        <f>Capacity_Usage!C9</f>
        <v/>
      </c>
      <c r="C9" s="15">
        <f>IF(Capacity_Usage!C9=Setup!$B$11,1,0)</f>
        <v/>
      </c>
      <c r="D9" s="15">
        <f>IF(HC_Gate!K9="YES",1,0)</f>
        <v/>
      </c>
      <c r="E9" s="15">
        <f>IF(Policy!$B$10=1,SUMIFS(Capacity_Usage!$U$4:$U$14,Capacity_Usage!$C$4:$C$14,Capacity_Usage!C9),IF(Policy!$B$10=2,VLOOKUP(Capacity_Usage!C9,Policy!$D$11:$E$15,2,FALSE),Policy!$B$11))</f>
        <v/>
      </c>
      <c r="F9" s="18">
        <f>Capacity_Usage!S9/Capacity_Usage!R9</f>
        <v/>
      </c>
      <c r="G9" s="18">
        <f>MIN(MAX(F9,0),1)</f>
        <v/>
      </c>
      <c r="H9" s="18">
        <f>Capacity_Usage!Q9/Capacity_Usage!O9</f>
        <v/>
      </c>
      <c r="I9" s="18">
        <f>MIN(MAX(H9,0),1)</f>
        <v/>
      </c>
      <c r="J9" s="18">
        <f>1-Capacity_Usage!U9/E9</f>
        <v/>
      </c>
      <c r="K9" s="18">
        <f>MIN(MAX(J9,0),1)</f>
        <v/>
      </c>
      <c r="L9" s="18">
        <f>Capacity_Usage!T9/Policy!$B$14</f>
        <v/>
      </c>
      <c r="M9" s="18">
        <f>MIN(MAX(L9,0),1)</f>
        <v/>
      </c>
      <c r="N9" s="18">
        <f>Capacity_Usage!E9/3</f>
        <v/>
      </c>
      <c r="O9" s="18">
        <f>MIN(MAX(N9,0),1)</f>
        <v/>
      </c>
      <c r="P9" s="18">
        <f>Policy!$B$2*G9+Policy!$B$3*I9+Policy!$B$4*K9+Policy!$B$5*M9+Policy!$B$6*O9</f>
        <v/>
      </c>
      <c r="Q9" s="15">
        <f>IF(AND(C9=1,D9=1,A9&lt;&gt;Scoring_Prod!$T$3),P9,-1)</f>
        <v/>
      </c>
    </row>
    <row r="10">
      <c r="A10" s="15">
        <f>Capacity_Usage!B10</f>
        <v/>
      </c>
      <c r="B10" s="15">
        <f>Capacity_Usage!C10</f>
        <v/>
      </c>
      <c r="C10" s="15">
        <f>IF(Capacity_Usage!C10=Setup!$B$11,1,0)</f>
        <v/>
      </c>
      <c r="D10" s="15">
        <f>IF(HC_Gate!K10="YES",1,0)</f>
        <v/>
      </c>
      <c r="E10" s="15">
        <f>IF(Policy!$B$10=1,SUMIFS(Capacity_Usage!$U$4:$U$14,Capacity_Usage!$C$4:$C$14,Capacity_Usage!C10),IF(Policy!$B$10=2,VLOOKUP(Capacity_Usage!C10,Policy!$D$11:$E$15,2,FALSE),Policy!$B$11))</f>
        <v/>
      </c>
      <c r="F10" s="18">
        <f>Capacity_Usage!S10/Capacity_Usage!R10</f>
        <v/>
      </c>
      <c r="G10" s="18">
        <f>MIN(MAX(F10,0),1)</f>
        <v/>
      </c>
      <c r="H10" s="18">
        <f>Capacity_Usage!Q10/Capacity_Usage!O10</f>
        <v/>
      </c>
      <c r="I10" s="18">
        <f>MIN(MAX(H10,0),1)</f>
        <v/>
      </c>
      <c r="J10" s="18">
        <f>1-Capacity_Usage!U10/E10</f>
        <v/>
      </c>
      <c r="K10" s="18">
        <f>MIN(MAX(J10,0),1)</f>
        <v/>
      </c>
      <c r="L10" s="18">
        <f>Capacity_Usage!T10/Policy!$B$14</f>
        <v/>
      </c>
      <c r="M10" s="18">
        <f>MIN(MAX(L10,0),1)</f>
        <v/>
      </c>
      <c r="N10" s="18">
        <f>Capacity_Usage!E10/3</f>
        <v/>
      </c>
      <c r="O10" s="18">
        <f>MIN(MAX(N10,0),1)</f>
        <v/>
      </c>
      <c r="P10" s="18">
        <f>Policy!$B$2*G10+Policy!$B$3*I10+Policy!$B$4*K10+Policy!$B$5*M10+Policy!$B$6*O10</f>
        <v/>
      </c>
      <c r="Q10" s="15">
        <f>IF(AND(C10=1,D10=1,A10&lt;&gt;Scoring_Prod!$T$3),P10,-1)</f>
        <v/>
      </c>
    </row>
    <row r="11">
      <c r="A11" s="15">
        <f>Capacity_Usage!B11</f>
        <v/>
      </c>
      <c r="B11" s="15">
        <f>Capacity_Usage!C11</f>
        <v/>
      </c>
      <c r="C11" s="15">
        <f>IF(Capacity_Usage!C11=Setup!$B$11,1,0)</f>
        <v/>
      </c>
      <c r="D11" s="15">
        <f>IF(HC_Gate!K11="YES",1,0)</f>
        <v/>
      </c>
      <c r="E11" s="15">
        <f>IF(Policy!$B$10=1,SUMIFS(Capacity_Usage!$U$4:$U$14,Capacity_Usage!$C$4:$C$14,Capacity_Usage!C11),IF(Policy!$B$10=2,VLOOKUP(Capacity_Usage!C11,Policy!$D$11:$E$15,2,FALSE),Policy!$B$11))</f>
        <v/>
      </c>
      <c r="F11" s="18">
        <f>Capacity_Usage!S11/Capacity_Usage!R11</f>
        <v/>
      </c>
      <c r="G11" s="18">
        <f>MIN(MAX(F11,0),1)</f>
        <v/>
      </c>
      <c r="H11" s="18">
        <f>Capacity_Usage!Q11/Capacity_Usage!O11</f>
        <v/>
      </c>
      <c r="I11" s="18">
        <f>MIN(MAX(H11,0),1)</f>
        <v/>
      </c>
      <c r="J11" s="18">
        <f>1-Capacity_Usage!U11/E11</f>
        <v/>
      </c>
      <c r="K11" s="18">
        <f>MIN(MAX(J11,0),1)</f>
        <v/>
      </c>
      <c r="L11" s="18">
        <f>Capacity_Usage!T11/Policy!$B$14</f>
        <v/>
      </c>
      <c r="M11" s="18">
        <f>MIN(MAX(L11,0),1)</f>
        <v/>
      </c>
      <c r="N11" s="18">
        <f>Capacity_Usage!E11/3</f>
        <v/>
      </c>
      <c r="O11" s="18">
        <f>MIN(MAX(N11,0),1)</f>
        <v/>
      </c>
      <c r="P11" s="18">
        <f>Policy!$B$2*G11+Policy!$B$3*I11+Policy!$B$4*K11+Policy!$B$5*M11+Policy!$B$6*O11</f>
        <v/>
      </c>
      <c r="Q11" s="15">
        <f>IF(AND(C11=1,D11=1,A11&lt;&gt;Scoring_Prod!$T$3),P11,-1)</f>
        <v/>
      </c>
    </row>
    <row r="12">
      <c r="A12" s="15">
        <f>Capacity_Usage!B12</f>
        <v/>
      </c>
      <c r="B12" s="15">
        <f>Capacity_Usage!C12</f>
        <v/>
      </c>
      <c r="C12" s="15">
        <f>IF(Capacity_Usage!C12=Setup!$B$11,1,0)</f>
        <v/>
      </c>
      <c r="D12" s="15">
        <f>IF(HC_Gate!K12="YES",1,0)</f>
        <v/>
      </c>
      <c r="E12" s="15">
        <f>IF(Policy!$B$10=1,SUMIFS(Capacity_Usage!$U$4:$U$14,Capacity_Usage!$C$4:$C$14,Capacity_Usage!C12),IF(Policy!$B$10=2,VLOOKUP(Capacity_Usage!C12,Policy!$D$11:$E$15,2,FALSE),Policy!$B$11))</f>
        <v/>
      </c>
      <c r="F12" s="18">
        <f>Capacity_Usage!S12/Capacity_Usage!R12</f>
        <v/>
      </c>
      <c r="G12" s="18">
        <f>MIN(MAX(F12,0),1)</f>
        <v/>
      </c>
      <c r="H12" s="18">
        <f>Capacity_Usage!Q12/Capacity_Usage!O12</f>
        <v/>
      </c>
      <c r="I12" s="18">
        <f>MIN(MAX(H12,0),1)</f>
        <v/>
      </c>
      <c r="J12" s="18">
        <f>1-Capacity_Usage!U12/E12</f>
        <v/>
      </c>
      <c r="K12" s="18">
        <f>MIN(MAX(J12,0),1)</f>
        <v/>
      </c>
      <c r="L12" s="18">
        <f>Capacity_Usage!T12/Policy!$B$14</f>
        <v/>
      </c>
      <c r="M12" s="18">
        <f>MIN(MAX(L12,0),1)</f>
        <v/>
      </c>
      <c r="N12" s="18">
        <f>Capacity_Usage!E12/3</f>
        <v/>
      </c>
      <c r="O12" s="18">
        <f>MIN(MAX(N12,0),1)</f>
        <v/>
      </c>
      <c r="P12" s="18">
        <f>Policy!$B$2*G12+Policy!$B$3*I12+Policy!$B$4*K12+Policy!$B$5*M12+Policy!$B$6*O12</f>
        <v/>
      </c>
      <c r="Q12" s="15">
        <f>IF(AND(C12=1,D12=1,A12&lt;&gt;Scoring_Prod!$T$3),P12,-1)</f>
        <v/>
      </c>
    </row>
    <row r="13">
      <c r="A13" s="15">
        <f>Capacity_Usage!B13</f>
        <v/>
      </c>
      <c r="B13" s="15">
        <f>Capacity_Usage!C13</f>
        <v/>
      </c>
      <c r="C13" s="15">
        <f>IF(Capacity_Usage!C13=Setup!$B$11,1,0)</f>
        <v/>
      </c>
      <c r="D13" s="15">
        <f>IF(HC_Gate!K13="YES",1,0)</f>
        <v/>
      </c>
      <c r="E13" s="15">
        <f>IF(Policy!$B$10=1,SUMIFS(Capacity_Usage!$U$4:$U$14,Capacity_Usage!$C$4:$C$14,Capacity_Usage!C13),IF(Policy!$B$10=2,VLOOKUP(Capacity_Usage!C13,Policy!$D$11:$E$15,2,FALSE),Policy!$B$11))</f>
        <v/>
      </c>
      <c r="F13" s="18">
        <f>Capacity_Usage!S13/Capacity_Usage!R13</f>
        <v/>
      </c>
      <c r="G13" s="18">
        <f>MIN(MAX(F13,0),1)</f>
        <v/>
      </c>
      <c r="H13" s="18">
        <f>Capacity_Usage!Q13/Capacity_Usage!O13</f>
        <v/>
      </c>
      <c r="I13" s="18">
        <f>MIN(MAX(H13,0),1)</f>
        <v/>
      </c>
      <c r="J13" s="18">
        <f>1-Capacity_Usage!U13/E13</f>
        <v/>
      </c>
      <c r="K13" s="18">
        <f>MIN(MAX(J13,0),1)</f>
        <v/>
      </c>
      <c r="L13" s="18">
        <f>Capacity_Usage!T13/Policy!$B$14</f>
        <v/>
      </c>
      <c r="M13" s="18">
        <f>MIN(MAX(L13,0),1)</f>
        <v/>
      </c>
      <c r="N13" s="18">
        <f>Capacity_Usage!E13/3</f>
        <v/>
      </c>
      <c r="O13" s="18">
        <f>MIN(MAX(N13,0),1)</f>
        <v/>
      </c>
      <c r="P13" s="18">
        <f>Policy!$B$2*G13+Policy!$B$3*I13+Policy!$B$4*K13+Policy!$B$5*M13+Policy!$B$6*O13</f>
        <v/>
      </c>
      <c r="Q13" s="15">
        <f>IF(AND(C13=1,D13=1,A13&lt;&gt;Scoring_Prod!$T$3),P13,-1)</f>
        <v/>
      </c>
    </row>
    <row r="14">
      <c r="A14" s="15">
        <f>Capacity_Usage!B14</f>
        <v/>
      </c>
      <c r="B14" s="15">
        <f>Capacity_Usage!C14</f>
        <v/>
      </c>
      <c r="C14" s="15">
        <f>IF(Capacity_Usage!C14=Setup!$B$11,1,0)</f>
        <v/>
      </c>
      <c r="D14" s="15">
        <f>IF(HC_Gate!K14="YES",1,0)</f>
        <v/>
      </c>
      <c r="E14" s="15">
        <f>IF(Policy!$B$10=1,SUMIFS(Capacity_Usage!$U$4:$U$14,Capacity_Usage!$C$4:$C$14,Capacity_Usage!C14),IF(Policy!$B$10=2,VLOOKUP(Capacity_Usage!C14,Policy!$D$11:$E$15,2,FALSE),Policy!$B$11))</f>
        <v/>
      </c>
      <c r="F14" s="18">
        <f>Capacity_Usage!S14/Capacity_Usage!R14</f>
        <v/>
      </c>
      <c r="G14" s="18">
        <f>MIN(MAX(F14,0),1)</f>
        <v/>
      </c>
      <c r="H14" s="18">
        <f>Capacity_Usage!Q14/Capacity_Usage!O14</f>
        <v/>
      </c>
      <c r="I14" s="18">
        <f>MIN(MAX(H14,0),1)</f>
        <v/>
      </c>
      <c r="J14" s="18">
        <f>1-Capacity_Usage!U14/E14</f>
        <v/>
      </c>
      <c r="K14" s="18">
        <f>MIN(MAX(J14,0),1)</f>
        <v/>
      </c>
      <c r="L14" s="18">
        <f>Capacity_Usage!T14/Policy!$B$14</f>
        <v/>
      </c>
      <c r="M14" s="18">
        <f>MIN(MAX(L14,0),1)</f>
        <v/>
      </c>
      <c r="N14" s="18">
        <f>Capacity_Usage!E14/3</f>
        <v/>
      </c>
      <c r="O14" s="18">
        <f>MIN(MAX(N14,0),1)</f>
        <v/>
      </c>
      <c r="P14" s="18">
        <f>Policy!$B$2*G14+Policy!$B$3*I14+Policy!$B$4*K14+Policy!$B$5*M14+Policy!$B$6*O14</f>
        <v/>
      </c>
      <c r="Q14" s="15">
        <f>IF(AND(C14=1,D14=1,A14&lt;&gt;Scoring_Prod!$T$3),P14,-1)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4" customWidth="1" min="4" max="4"/>
    <col width="26" customWidth="1" min="5" max="5"/>
    <col width="16" customWidth="1" min="6" max="6"/>
  </cols>
  <sheetData>
    <row r="1">
      <c r="A1" s="6" t="inlineStr">
        <is>
          <t>RESULT — CustomerSeedRecord</t>
        </is>
      </c>
    </row>
    <row r="3">
      <c r="A3" s="9" t="inlineStr">
        <is>
          <t>Customer ID</t>
        </is>
      </c>
      <c r="B3" s="15">
        <f>Setup!B9</f>
        <v/>
      </c>
      <c r="E3" s="17" t="inlineStr">
        <is>
          <t>DR SIZING (max-not-sum, A.6 / DR-017)</t>
        </is>
      </c>
    </row>
    <row r="4">
      <c r="A4" s="9" t="inlineStr">
        <is>
          <t>Geography</t>
        </is>
      </c>
      <c r="B4" s="15">
        <f>Setup!B3</f>
        <v/>
      </c>
    </row>
    <row r="5">
      <c r="A5" s="9" t="inlineStr">
        <is>
          <t>SKU</t>
        </is>
      </c>
      <c r="B5" s="15">
        <f>Setup!B4</f>
        <v/>
      </c>
      <c r="E5" s="9" t="inlineStr">
        <is>
          <t>DR region</t>
        </is>
      </c>
      <c r="F5" s="15">
        <f>B11</f>
        <v/>
      </c>
    </row>
    <row r="6">
      <c r="A6" s="9" t="inlineStr">
        <is>
          <t>Requested vCPU</t>
        </is>
      </c>
      <c r="B6" s="15">
        <f>Setup!B7</f>
        <v/>
      </c>
      <c r="E6" s="9" t="inlineStr">
        <is>
          <t>Max source customers</t>
        </is>
      </c>
      <c r="F6" s="15">
        <f>SUMPRODUCT(MAX((Capacity_Usage!$C$4:$C$14=Setup!$B$11)*Capacity_Usage!$U$4:$U$14))</f>
        <v/>
      </c>
    </row>
    <row r="7">
      <c r="E7" s="9" t="inlineStr">
        <is>
          <t>× Requested vCPU</t>
        </is>
      </c>
      <c r="F7" s="15">
        <f>Setup!B7</f>
        <v/>
      </c>
    </row>
    <row r="8">
      <c r="A8" s="14" t="inlineStr">
        <is>
          <t>Environment</t>
        </is>
      </c>
      <c r="B8" s="14" t="inlineStr">
        <is>
          <t>Region</t>
        </is>
      </c>
      <c r="C8" s="14" t="inlineStr">
        <is>
          <t>Score</t>
        </is>
      </c>
      <c r="E8" s="9" t="inlineStr">
        <is>
          <t>DR Requirement (max-not-sum)</t>
        </is>
      </c>
      <c r="F8" s="20">
        <f>F6*F7</f>
        <v/>
      </c>
    </row>
    <row r="9">
      <c r="A9" s="9" t="inlineStr">
        <is>
          <t>Prod</t>
        </is>
      </c>
      <c r="B9" s="15">
        <f>Scoring_Prod!T3</f>
        <v/>
      </c>
      <c r="C9" s="18">
        <f>Scoring_Prod!T4</f>
        <v/>
      </c>
      <c r="E9" s="9" t="inlineStr">
        <is>
          <t>DR Reserved (region)</t>
        </is>
      </c>
      <c r="F9" s="15">
        <f>IFERROR(INDEX(Capacity_Usage!$R$4:$R$14,MATCH(B11,Capacity_Usage!$B$4:$B$14,0)),0)</f>
        <v/>
      </c>
    </row>
    <row r="10">
      <c r="A10" s="9" t="inlineStr">
        <is>
          <t>CVAL</t>
        </is>
      </c>
      <c r="B10" s="15">
        <f>Scoring_CVAL!T2</f>
        <v/>
      </c>
      <c r="C10" s="18">
        <f>Scoring_CVAL!T3</f>
        <v/>
      </c>
      <c r="E10" s="9" t="inlineStr">
        <is>
          <t>DR Gap</t>
        </is>
      </c>
      <c r="F10" s="15">
        <f>MAX(0,F8-F9)</f>
        <v/>
      </c>
    </row>
    <row r="11">
      <c r="A11" s="9" t="inlineStr">
        <is>
          <t>DR</t>
        </is>
      </c>
      <c r="B11" s="15">
        <f>Scoring_DR!T2</f>
        <v/>
      </c>
      <c r="C11" s="18">
        <f>Scoring_DR!T3</f>
        <v/>
      </c>
      <c r="E11" s="21" t="inlineStr">
        <is>
          <t>Note: illustrative — sources = regions in DR scope geography.</t>
        </is>
      </c>
    </row>
    <row r="13">
      <c r="A13" s="9" t="inlineStr">
        <is>
          <t>Readiness State</t>
        </is>
      </c>
      <c r="B13" s="20">
        <f>IF(B9="NONE ELIGIBLE","QUOTA_DEFICIT / CAPACITY_UNAVAILABLE (Prod)",IF(B10="NONE ELIGIBLE","CAPACITY_UNAVAILABLE (CVAL)",IF(B11="NONE ELIGIBLE","READY_WITH_RISK (no DR region)","READY")))</f>
        <v/>
      </c>
    </row>
    <row r="15">
      <c r="A15" s="9" t="inlineStr">
        <is>
          <t>Policy version</t>
        </is>
      </c>
      <c r="B15" s="15">
        <f>"v2.4.0-mock  (weights "&amp;TEXT(Policy!B7,"0.00")&amp;" — "&amp;Policy!B8&amp;")"</f>
        <v/>
      </c>
    </row>
  </sheetData>
  <mergeCells count="2">
    <mergeCell ref="E3:F3"/>
    <mergeCell ref="E11:F11"/>
  </mergeCells>
  <conditionalFormatting sqref="B13">
    <cfRule type="cellIs" priority="1" operator="equal" dxfId="0">
      <formula>"READY"</formula>
    </cfRule>
    <cfRule type="expression" priority="2" dxfId="1">
      <formula>ISNUMBER(SEARCH("DEFICIT",B13))</formula>
    </cfRule>
    <cfRule type="expression" priority="3" dxfId="1">
      <formula>ISNUMBER(SEARCH("UNAVAILABLE",B13))</formula>
    </cfRule>
    <cfRule type="expression" priority="4" dxfId="2">
      <formula>ISNUMBER(SEARCH("RISK",B13))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2026-09-21T14:29:58Z</dcterms:created>
  <dcterms:modified xmlns:dcterms="http://purl.org/dc/terms/" xmlns:xsi="http://www.w3.org/2001/XMLSchema-instance" xsi:type="dcterms:W3CDTF">2026-09-21T14:29:58Z</dcterms:modified>
</cp:coreProperties>
</file>