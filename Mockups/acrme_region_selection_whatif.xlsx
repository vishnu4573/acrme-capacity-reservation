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_Use" sheetId="1" state="visible" r:id="rId1"/>
    <sheet xmlns:r="http://schemas.openxmlformats.org/officeDocument/2006/relationships" name="Usage_Source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Policy" sheetId="4" state="visible" r:id="rId4"/>
    <sheet xmlns:r="http://schemas.openxmlformats.org/officeDocument/2006/relationships" name="Capacity_Usage" sheetId="5" state="visible" r:id="rId5"/>
    <sheet xmlns:r="http://schemas.openxmlformats.org/officeDocument/2006/relationships" name="HC_Gate" sheetId="6" state="visible" r:id="rId6"/>
    <sheet xmlns:r="http://schemas.openxmlformats.org/officeDocument/2006/relationships" name="Scoring_Prod" sheetId="7" state="visible" r:id="rId7"/>
    <sheet xmlns:r="http://schemas.openxmlformats.org/officeDocument/2006/relationships" name="Scoring_CVAL" sheetId="8" state="visible" r:id="rId8"/>
    <sheet xmlns:r="http://schemas.openxmlformats.org/officeDocument/2006/relationships" name="Scoring_DR" sheetId="9" state="visible" r:id="rId9"/>
    <sheet xmlns:r="http://schemas.openxmlformats.org/officeDocument/2006/relationships" name="Resul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808080"/>
    </font>
    <font>
      <b val="1"/>
      <color rgb="001F3864"/>
      <sz val="12"/>
    </font>
    <font>
      <b val="1"/>
      <color rgb="00FFFFFF"/>
    </font>
    <font>
      <b val="1"/>
    </font>
    <font>
      <i val="1"/>
      <color rgb="00808080"/>
      <sz val="9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DE9D9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5" fillId="0" borderId="0" pivotButton="0" quotePrefix="0" xfId="0"/>
    <xf numFmtId="3" fontId="5" fillId="0" borderId="0" pivotButton="0" quotePrefix="0" xfId="0"/>
    <xf numFmtId="0" fontId="4" fillId="5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3" fillId="2" borderId="0" pivotButton="0" quotePrefix="0" xfId="0"/>
    <xf numFmtId="164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Total Cores by Region (real)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'Usage_Source'!E3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'Usage_Source'!$A$4:$A$17</f>
            </numRef>
          </cat>
          <val>
            <numRef>
              <f>'Usage_Source'!$E$4:$E$17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PS_Prod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'Scoring_Prod'!P3</f>
            </strRef>
          </tx>
          <spPr>
            <a:ln xmlns:a="http://schemas.openxmlformats.org/drawingml/2006/main">
              <a:prstDash val="solid"/>
            </a:ln>
          </spPr>
          <cat>
            <numRef>
              <f>'Scoring_Prod'!$A$4:$A$18</f>
            </numRef>
          </cat>
          <val>
            <numRef>
              <f>'Scoring_Prod'!$P$4:$P$18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Chosen Placement Scores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'Result'!$A$9:$A$11</f>
            </numRef>
          </cat>
          <val>
            <numRef>
              <f>'Result'!$C$9:$C$11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18</col>
      <colOff>0</colOff>
      <row>5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17</row>
      <rowOff>0</rowOff>
    </from>
    <ext cx="36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ACRME Region Selection — WHAT-IF Analysis (Formula-Only)</t>
        </is>
      </c>
    </row>
    <row r="2">
      <c r="B2" s="2" t="inlineStr">
        <is>
          <t>Driven by real Azure SKU usage (AKS-heavy, EUS2-dominant). Sources: SKU_USage (1).xlsx / SKU_USage.xlsx / sku_usage_prod_v1.xlsx</t>
        </is>
      </c>
    </row>
    <row r="3">
      <c r="B3" s="3" t="inlineStr"/>
    </row>
    <row r="4">
      <c r="B4" s="4" t="inlineStr">
        <is>
          <t>WHAT THIS WORKBOOK DOES</t>
        </is>
      </c>
    </row>
    <row r="5">
      <c r="B5" s="3" t="inlineStr">
        <is>
          <t>This is a what-if region-selection tool built on your REAL current usage. The uploaded files show a heavily concentrated estate (East US 2 alone ≈ 468k cores). We take the real per-region Prod / Non-Prod core allocation and DISTRIBUTE each geography's current usage evenly across its regions to form a balanced planning pool (Reserved + Quota). The ACRME weightage model then scores every region so you can see where new workload should land given today's concentration. All results are live formulas — change any input and everything recalculates.</t>
        </is>
      </c>
    </row>
    <row r="6">
      <c r="B6" s="3" t="inlineStr"/>
    </row>
    <row r="7">
      <c r="B7" s="4" t="inlineStr">
        <is>
          <t>THE 'DISTRIBUTE BY GEOGRAPHY' IDEA (read this)</t>
        </is>
      </c>
    </row>
    <row r="8">
      <c r="B8" s="3" t="inlineStr">
        <is>
          <t>• Current Alloc columns = your REAL usage (from the files). East US 2 is far above its geography's balanced share; West US 3 / East US are near zero.</t>
        </is>
      </c>
    </row>
    <row r="9">
      <c r="B9" s="3" t="inlineStr">
        <is>
          <t>• Reserved / Quota columns = each geography's total usage distributed EVENLY across its regions = the balanced target. A region whose real alloc exceeds its balanced share shows negative free / quota headroom (over-subscribed); an under-used region shows large headroom and scores high.</t>
        </is>
      </c>
    </row>
    <row r="10">
      <c r="B10" s="3" t="inlineStr">
        <is>
          <t>• The what-if answer: the engine steers new placement toward under-utilised regions and away from the concentrated ones — exactly the rebalancing signal you want.</t>
        </is>
      </c>
    </row>
    <row r="11">
      <c r="B11" s="3" t="inlineStr"/>
    </row>
    <row r="12">
      <c r="B12" s="4" t="inlineStr">
        <is>
          <t>SHEET MAP</t>
        </is>
      </c>
    </row>
    <row r="13">
      <c r="B13" s="3" t="inlineStr">
        <is>
          <t>1. How_To_Use — this guide.</t>
        </is>
      </c>
    </row>
    <row r="14">
      <c r="B14" s="3" t="inlineStr">
        <is>
          <t>2. Usage_Source — the REAL aggregated usage by region (Prod / Non-Prod cores, AKS cores, subscriptions). Read-only snapshot of the uploaded files. This is the source of current usage.</t>
        </is>
      </c>
    </row>
    <row r="15">
      <c r="B15" s="3" t="inlineStr">
        <is>
          <t>3. Setup — pick Geography, SKU, VM count, optional customer-supplied Prod region, Customer ID (yellow = editable).</t>
        </is>
      </c>
    </row>
    <row r="16">
      <c r="B16" s="3" t="inlineStr">
        <is>
          <t>4. Policy — the five weights (sum=1.0), total_customers mode, DR bootstrap / target, min headroom floors.</t>
        </is>
      </c>
    </row>
    <row r="17">
      <c r="B17" s="3" t="inlineStr">
        <is>
          <t>5. Capacity_Usage — the derived planning snapshot the engine reads: real Alloc/Q-Used + distributed Reserved/Quota. Yellow = editable; grey = computed.</t>
        </is>
      </c>
    </row>
    <row r="18">
      <c r="B18" s="3" t="inlineStr">
        <is>
          <t>6. HC_Gate — HC-3 / HC-6 / HC-7 pass/fail and eligibility per region.</t>
        </is>
      </c>
    </row>
    <row r="19">
      <c r="B19" s="3" t="inlineStr">
        <is>
          <t>7. Scoring_Prod / 8. Scoring_CVAL / 9. Scoring_DR — PS_Prod / PS_NonProd / PS_DR component breakdown and winners.</t>
        </is>
      </c>
    </row>
    <row r="20">
      <c r="B20" s="3" t="inlineStr">
        <is>
          <t>10. Result — final placement (Prod / CVAL / DR), readiness, DR sizing (max-not-sum).</t>
        </is>
      </c>
    </row>
    <row r="21">
      <c r="B21" s="3" t="inlineStr"/>
    </row>
    <row r="22">
      <c r="B22" s="4" t="inlineStr">
        <is>
          <t>STEP-BY-STEP</t>
        </is>
      </c>
    </row>
    <row r="23">
      <c r="B23" s="3" t="inlineStr">
        <is>
          <t>Step 1 — Setup: choose a Geography (US, EU, Australia, Asia Pacific, Middle East).</t>
        </is>
      </c>
    </row>
    <row r="24">
      <c r="B24" s="3" t="inlineStr">
        <is>
          <t>Step 2 — Choose a SKU + VM count. Requested vCPU = VM count × vCPU/VM.</t>
        </is>
      </c>
    </row>
    <row r="25">
      <c r="B25" s="3" t="inlineStr">
        <is>
          <t>Step 3 — (Optional) supply a Prod region to model the validate-only path; leave blank to let the engine choose.</t>
        </is>
      </c>
    </row>
    <row r="26">
      <c r="B26" s="3" t="inlineStr">
        <is>
          <t>Step 4 — Read Result. Inspect HC_Gate and Scoring sheets to see exactly why each region won or was excluded.</t>
        </is>
      </c>
    </row>
    <row r="27">
      <c r="B27" s="3" t="inlineStr">
        <is>
          <t>Step 5 — What-if: change weights on Policy or edit any Reserved/Alloc on Capacity_Usage and watch winners move.</t>
        </is>
      </c>
    </row>
    <row r="28">
      <c r="B28" s="3" t="inlineStr"/>
    </row>
    <row r="29">
      <c r="B29" s="4" t="inlineStr">
        <is>
          <t>THE FORMULAS (from the baseline)</t>
        </is>
      </c>
    </row>
    <row r="30">
      <c r="B30" s="3" t="inlineStr">
        <is>
          <t>Clamp(x)=MIN(MAX(x,0),1). PS_Prod=α·(npEffFree/prodRes)+β·(prodQHeadroom/prodQLimit)+γ·(1−cust/total)+δ·drCov+ε·(az/3).</t>
        </is>
      </c>
    </row>
    <row r="31">
      <c r="B31" s="3" t="inlineStr">
        <is>
          <t>PS_NonProd=α·(npEffFree/npRes)+β·(npQHeadroom/npQLimit)+γ·(1−cust/total)+δ·(npEffFree/npRes)+ε·(az/3).</t>
        </is>
      </c>
    </row>
    <row r="32">
      <c r="B32" s="3" t="inlineStr">
        <is>
          <t>PS_DR=α·(drFree/drRes)+β·(npQHeadroom/npQLimit)+γ·(1−cust/total)+δ·(drCov/target)+ε·(az/3).</t>
        </is>
      </c>
    </row>
    <row r="33">
      <c r="B33" s="3" t="inlineStr">
        <is>
          <t>Weights default α0.30 β0.20 γ0.25 δ0.15 ε0.10 (sum 1.0). HC-3 quota floor, HC-6 DR floor, HC-7 DR integrity.</t>
        </is>
      </c>
    </row>
    <row r="34">
      <c r="B34" s="3" t="inlineStr">
        <is>
          <t>DR sizing = MAX-NOT-SUM (A.6 / DR-017): DR req = MAX over source regions of (customers × vCPU).</t>
        </is>
      </c>
    </row>
    <row r="35">
      <c r="B35" s="3" t="inlineStr"/>
    </row>
    <row r="36">
      <c r="B36" s="4" t="inlineStr">
        <is>
          <t>KNOWN GAPS / ASSUMPTIONS (surfaced, not hidden)</t>
        </is>
      </c>
    </row>
    <row r="37">
      <c r="B37" s="5" t="inlineStr">
        <is>
          <t>• Metric = Total Cores. Prod = environment tag 'Prod'; everything else = Non-Prod.</t>
        </is>
      </c>
    </row>
    <row r="38">
      <c r="B38" s="5" t="inlineStr">
        <is>
          <t>• Reserved &amp; Quota are DERIVED (distributed) planning figures, not billed reservations — edit them to model reality.</t>
        </is>
      </c>
    </row>
    <row r="39">
      <c r="B39" s="6" t="inlineStr">
        <is>
          <t>• Middle East has ~no real usage in the data (only South Africa North, Non-Prod). UAE North and the ME pool are SYNTHETIC placeholders (orange) so the geography can be exercised — flagged on Usage_Source.</t>
        </is>
      </c>
    </row>
    <row r="40">
      <c r="B40" s="5" t="inlineStr">
        <is>
          <t>• total_customers is undefined in baseline v2.4 — mode selector on Policy (Live/Constant/Manual). γ values illustrative.</t>
        </is>
      </c>
    </row>
    <row r="41">
      <c r="B41" s="5" t="inlineStr">
        <is>
          <t>• PS_NonProd δ duplicates its α (baseline design-of-record). DR bootstrap / target are configurable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5" customWidth="1" min="4" max="4"/>
    <col width="12" customWidth="1" min="5" max="5"/>
    <col width="11" customWidth="1" min="6" max="6"/>
    <col width="11" customWidth="1" min="7" max="7"/>
    <col width="26" customWidth="1" min="8" max="8"/>
  </cols>
  <sheetData>
    <row r="1">
      <c r="A1" s="7" t="inlineStr">
        <is>
          <t>CURRENT USAGE — SOURCE SNAPSHOT (real, from uploaded files)</t>
        </is>
      </c>
    </row>
    <row r="2">
      <c r="A2" s="8" t="inlineStr">
        <is>
          <t>Aggregated from SKU_USage (1).xlsx (Total Cores). Prod = tag 'Prod'; all other tags = Non-Prod. Read-only reference.</t>
        </is>
      </c>
    </row>
    <row r="3">
      <c r="A3" s="9" t="inlineStr">
        <is>
          <t>Region</t>
        </is>
      </c>
      <c r="B3" s="9" t="inlineStr">
        <is>
          <t>Geography</t>
        </is>
      </c>
      <c r="C3" s="9" t="inlineStr">
        <is>
          <t>Prod Cores</t>
        </is>
      </c>
      <c r="D3" s="9" t="inlineStr">
        <is>
          <t>Non-Prod Cores</t>
        </is>
      </c>
      <c r="E3" s="9" t="inlineStr">
        <is>
          <t>Total Cores</t>
        </is>
      </c>
      <c r="F3" s="9" t="inlineStr">
        <is>
          <t>AKS Cores</t>
        </is>
      </c>
      <c r="G3" s="9" t="inlineStr">
        <is>
          <t>Unique Subs</t>
        </is>
      </c>
      <c r="H3" s="9" t="inlineStr">
        <is>
          <t>Data Origin</t>
        </is>
      </c>
    </row>
    <row r="4">
      <c r="A4" s="10" t="inlineStr">
        <is>
          <t>East US 2</t>
        </is>
      </c>
      <c r="B4" s="10" t="inlineStr">
        <is>
          <t>US</t>
        </is>
      </c>
      <c r="C4" s="11" t="n">
        <v>139410</v>
      </c>
      <c r="D4" s="11" t="n">
        <v>328418</v>
      </c>
      <c r="E4" s="11" t="n">
        <v>467828</v>
      </c>
      <c r="F4" s="11" t="n">
        <v>155696</v>
      </c>
      <c r="G4" s="10" t="n">
        <v>150</v>
      </c>
      <c r="H4" s="10" t="inlineStr">
        <is>
          <t>real</t>
        </is>
      </c>
    </row>
    <row r="5">
      <c r="A5" s="10" t="inlineStr">
        <is>
          <t>Central US</t>
        </is>
      </c>
      <c r="B5" s="10" t="inlineStr">
        <is>
          <t>US</t>
        </is>
      </c>
      <c r="C5" s="11" t="n">
        <v>17964</v>
      </c>
      <c r="D5" s="11" t="n">
        <v>22318</v>
      </c>
      <c r="E5" s="11" t="n">
        <v>40282</v>
      </c>
      <c r="F5" s="11" t="n">
        <v>19626</v>
      </c>
      <c r="G5" s="10" t="n">
        <v>65</v>
      </c>
      <c r="H5" s="10" t="inlineStr">
        <is>
          <t>real</t>
        </is>
      </c>
    </row>
    <row r="6">
      <c r="A6" s="10" t="inlineStr">
        <is>
          <t>East US</t>
        </is>
      </c>
      <c r="B6" s="10" t="inlineStr">
        <is>
          <t>US</t>
        </is>
      </c>
      <c r="C6" s="11" t="n">
        <v>0</v>
      </c>
      <c r="D6" s="11" t="n">
        <v>34</v>
      </c>
      <c r="E6" s="11" t="n">
        <v>34</v>
      </c>
      <c r="F6" s="11" t="n">
        <v>12</v>
      </c>
      <c r="G6" s="10" t="n">
        <v>4</v>
      </c>
      <c r="H6" s="10" t="inlineStr">
        <is>
          <t>real</t>
        </is>
      </c>
    </row>
    <row r="7">
      <c r="A7" s="10" t="inlineStr">
        <is>
          <t>West US 3</t>
        </is>
      </c>
      <c r="B7" s="10" t="inlineStr">
        <is>
          <t>US</t>
        </is>
      </c>
      <c r="C7" s="11" t="n">
        <v>0</v>
      </c>
      <c r="D7" s="11" t="n">
        <v>2</v>
      </c>
      <c r="E7" s="11" t="n">
        <v>2</v>
      </c>
      <c r="F7" s="11" t="n">
        <v>0</v>
      </c>
      <c r="G7" s="10" t="n">
        <v>1</v>
      </c>
      <c r="H7" s="10" t="inlineStr">
        <is>
          <t>real</t>
        </is>
      </c>
    </row>
    <row r="8">
      <c r="A8" s="10" t="inlineStr">
        <is>
          <t>West Europe</t>
        </is>
      </c>
      <c r="B8" s="10" t="inlineStr">
        <is>
          <t>EU</t>
        </is>
      </c>
      <c r="C8" s="11" t="n">
        <v>41088</v>
      </c>
      <c r="D8" s="11" t="n">
        <v>139820</v>
      </c>
      <c r="E8" s="11" t="n">
        <v>180908</v>
      </c>
      <c r="F8" s="11" t="n">
        <v>58982</v>
      </c>
      <c r="G8" s="10" t="n">
        <v>69</v>
      </c>
      <c r="H8" s="10" t="inlineStr">
        <is>
          <t>real</t>
        </is>
      </c>
    </row>
    <row r="9">
      <c r="A9" s="10" t="inlineStr">
        <is>
          <t>North Europe</t>
        </is>
      </c>
      <c r="B9" s="10" t="inlineStr">
        <is>
          <t>EU</t>
        </is>
      </c>
      <c r="C9" s="11" t="n">
        <v>5448</v>
      </c>
      <c r="D9" s="11" t="n">
        <v>6944</v>
      </c>
      <c r="E9" s="11" t="n">
        <v>12392</v>
      </c>
      <c r="F9" s="11" t="n">
        <v>6000</v>
      </c>
      <c r="G9" s="10" t="n">
        <v>30</v>
      </c>
      <c r="H9" s="10" t="inlineStr">
        <is>
          <t>real</t>
        </is>
      </c>
    </row>
    <row r="10">
      <c r="A10" s="10" t="inlineStr">
        <is>
          <t>Sweden Central</t>
        </is>
      </c>
      <c r="B10" s="10" t="inlineStr">
        <is>
          <t>EU</t>
        </is>
      </c>
      <c r="C10" s="11" t="n">
        <v>1632</v>
      </c>
      <c r="D10" s="11" t="n">
        <v>1760</v>
      </c>
      <c r="E10" s="11" t="n">
        <v>3392</v>
      </c>
      <c r="F10" s="11" t="n">
        <v>1696</v>
      </c>
      <c r="G10" s="10" t="n">
        <v>13</v>
      </c>
      <c r="H10" s="10" t="inlineStr">
        <is>
          <t>real</t>
        </is>
      </c>
    </row>
    <row r="11">
      <c r="A11" s="10" t="inlineStr">
        <is>
          <t>Switzerland North</t>
        </is>
      </c>
      <c r="B11" s="10" t="inlineStr">
        <is>
          <t>EU</t>
        </is>
      </c>
      <c r="C11" s="11" t="n">
        <v>1216</v>
      </c>
      <c r="D11" s="11" t="n">
        <v>1312</v>
      </c>
      <c r="E11" s="11" t="n">
        <v>2528</v>
      </c>
      <c r="F11" s="11" t="n">
        <v>1264</v>
      </c>
      <c r="G11" s="10" t="n">
        <v>11</v>
      </c>
      <c r="H11" s="10" t="inlineStr">
        <is>
          <t>real</t>
        </is>
      </c>
    </row>
    <row r="12">
      <c r="A12" s="10" t="inlineStr">
        <is>
          <t>Australia East</t>
        </is>
      </c>
      <c r="B12" s="10" t="inlineStr">
        <is>
          <t>Australia</t>
        </is>
      </c>
      <c r="C12" s="11" t="n">
        <v>8436</v>
      </c>
      <c r="D12" s="11" t="n">
        <v>17002</v>
      </c>
      <c r="E12" s="11" t="n">
        <v>25438</v>
      </c>
      <c r="F12" s="11" t="n">
        <v>8616</v>
      </c>
      <c r="G12" s="10" t="n">
        <v>34</v>
      </c>
      <c r="H12" s="10" t="inlineStr">
        <is>
          <t>real</t>
        </is>
      </c>
    </row>
    <row r="13">
      <c r="A13" s="10" t="inlineStr">
        <is>
          <t>Australia Southeast</t>
        </is>
      </c>
      <c r="B13" s="10" t="inlineStr">
        <is>
          <t>Australia</t>
        </is>
      </c>
      <c r="C13" s="11" t="n">
        <v>1976</v>
      </c>
      <c r="D13" s="11" t="n">
        <v>2644</v>
      </c>
      <c r="E13" s="11" t="n">
        <v>4620</v>
      </c>
      <c r="F13" s="11" t="n">
        <v>2096</v>
      </c>
      <c r="G13" s="10" t="n">
        <v>14</v>
      </c>
      <c r="H13" s="10" t="inlineStr">
        <is>
          <t>real</t>
        </is>
      </c>
    </row>
    <row r="14">
      <c r="A14" s="10" t="inlineStr">
        <is>
          <t>Southeast Asia</t>
        </is>
      </c>
      <c r="B14" s="10" t="inlineStr">
        <is>
          <t>Asia Pacific</t>
        </is>
      </c>
      <c r="C14" s="11" t="n">
        <v>19388</v>
      </c>
      <c r="D14" s="11" t="n">
        <v>22766</v>
      </c>
      <c r="E14" s="11" t="n">
        <v>42154</v>
      </c>
      <c r="F14" s="11" t="n">
        <v>12338</v>
      </c>
      <c r="G14" s="10" t="n">
        <v>43</v>
      </c>
      <c r="H14" s="10" t="inlineStr">
        <is>
          <t>real</t>
        </is>
      </c>
    </row>
    <row r="15">
      <c r="A15" s="10" t="inlineStr">
        <is>
          <t>East Asia</t>
        </is>
      </c>
      <c r="B15" s="10" t="inlineStr">
        <is>
          <t>Asia Pacific</t>
        </is>
      </c>
      <c r="C15" s="11" t="n">
        <v>3068</v>
      </c>
      <c r="D15" s="11" t="n">
        <v>3100</v>
      </c>
      <c r="E15" s="11" t="n">
        <v>6168</v>
      </c>
      <c r="F15" s="11" t="n">
        <v>2824</v>
      </c>
      <c r="G15" s="10" t="n">
        <v>21</v>
      </c>
      <c r="H15" s="10" t="inlineStr">
        <is>
          <t>real</t>
        </is>
      </c>
    </row>
    <row r="16">
      <c r="A16" s="10" t="inlineStr">
        <is>
          <t>Central India</t>
        </is>
      </c>
      <c r="B16" s="10" t="inlineStr">
        <is>
          <t>Asia Pacific</t>
        </is>
      </c>
      <c r="C16" s="11" t="n">
        <v>698</v>
      </c>
      <c r="D16" s="11" t="n">
        <v>0</v>
      </c>
      <c r="E16" s="11" t="n">
        <v>698</v>
      </c>
      <c r="F16" s="11" t="n">
        <v>0</v>
      </c>
      <c r="G16" s="10" t="n">
        <v>1</v>
      </c>
      <c r="H16" s="10" t="inlineStr">
        <is>
          <t>real</t>
        </is>
      </c>
    </row>
    <row r="17">
      <c r="A17" s="10" t="inlineStr">
        <is>
          <t>South Africa North</t>
        </is>
      </c>
      <c r="B17" s="10" t="inlineStr">
        <is>
          <t>Middle East</t>
        </is>
      </c>
      <c r="C17" s="11" t="n">
        <v>0</v>
      </c>
      <c r="D17" s="11" t="n">
        <v>1736</v>
      </c>
      <c r="E17" s="11" t="n">
        <v>1736</v>
      </c>
      <c r="F17" s="11" t="n">
        <v>868</v>
      </c>
      <c r="G17" s="10" t="n">
        <v>1</v>
      </c>
      <c r="H17" s="10" t="inlineStr">
        <is>
          <t>real</t>
        </is>
      </c>
    </row>
    <row r="18">
      <c r="A18" s="12" t="inlineStr">
        <is>
          <t>UAE North</t>
        </is>
      </c>
      <c r="B18" s="12" t="inlineStr">
        <is>
          <t>Middle East</t>
        </is>
      </c>
      <c r="C18" s="13" t="n">
        <v>1200</v>
      </c>
      <c r="D18" s="13" t="n">
        <v>1200</v>
      </c>
      <c r="E18" s="13" t="n">
        <v>2400</v>
      </c>
      <c r="F18" s="13" t="n">
        <v>0</v>
      </c>
      <c r="G18" s="12" t="n">
        <v>4</v>
      </c>
      <c r="H18" s="12" t="inlineStr">
        <is>
          <t>SYNTHETIC (no real ME usage)</t>
        </is>
      </c>
    </row>
    <row r="19">
      <c r="A19" s="14" t="inlineStr">
        <is>
          <t>TOTAL (all regions)</t>
        </is>
      </c>
      <c r="B19" s="14" t="n"/>
      <c r="C19" s="15">
        <f>SUM(C4:C18)</f>
        <v/>
      </c>
      <c r="D19" s="15">
        <f>SUM(D4:D18)</f>
        <v/>
      </c>
      <c r="E19" s="15">
        <f>SUM(E4:E18)</f>
        <v/>
      </c>
      <c r="F19" s="15">
        <f>SUM(F4:F18)</f>
        <v/>
      </c>
      <c r="G19" s="14" t="n"/>
      <c r="H19" s="14" t="n"/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" customWidth="1" min="3" max="3"/>
    <col width="3" customWidth="1" min="4" max="4"/>
    <col width="18" customWidth="1" min="5" max="5"/>
    <col width="10" customWidth="1" min="6" max="6"/>
    <col width="16" customWidth="1" min="7" max="7"/>
  </cols>
  <sheetData>
    <row r="1">
      <c r="A1" s="7" t="inlineStr">
        <is>
          <t>SETUP — Customer &amp; Workload</t>
        </is>
      </c>
      <c r="E1" s="8" t="inlineStr">
        <is>
          <t>Lookup tables (do not edit)</t>
        </is>
      </c>
    </row>
    <row r="2">
      <c r="E2" s="16" t="inlineStr">
        <is>
          <t>SKU</t>
        </is>
      </c>
      <c r="F2" s="16" t="inlineStr">
        <is>
          <t>vCPU/VM</t>
        </is>
      </c>
    </row>
    <row r="3">
      <c r="A3" s="14" t="inlineStr">
        <is>
          <t>Geography</t>
        </is>
      </c>
      <c r="B3" s="17" t="inlineStr">
        <is>
          <t>US</t>
        </is>
      </c>
      <c r="E3" s="18" t="inlineStr">
        <is>
          <t>E16ads_v5</t>
        </is>
      </c>
      <c r="F3" s="18" t="n">
        <v>16</v>
      </c>
    </row>
    <row r="4">
      <c r="A4" s="14" t="inlineStr">
        <is>
          <t>SKU</t>
        </is>
      </c>
      <c r="B4" s="17" t="inlineStr">
        <is>
          <t>E16ads_v5</t>
        </is>
      </c>
      <c r="E4" s="18" t="inlineStr">
        <is>
          <t>E32ads_v5</t>
        </is>
      </c>
      <c r="F4" s="18" t="n">
        <v>32</v>
      </c>
    </row>
    <row r="5">
      <c r="A5" s="14" t="inlineStr">
        <is>
          <t>VM count</t>
        </is>
      </c>
      <c r="B5" s="17" t="n">
        <v>3</v>
      </c>
      <c r="E5" s="18" t="inlineStr">
        <is>
          <t>E8ads_v5</t>
        </is>
      </c>
      <c r="F5" s="18" t="n">
        <v>8</v>
      </c>
    </row>
    <row r="6">
      <c r="A6" s="14" t="inlineStr">
        <is>
          <t>vCPU per VM</t>
        </is>
      </c>
      <c r="B6" s="19">
        <f>VLOOKUP(B4,E3:F10,2,FALSE)</f>
        <v/>
      </c>
      <c r="E6" s="18" t="inlineStr">
        <is>
          <t>E4ads_v5</t>
        </is>
      </c>
      <c r="F6" s="18" t="n">
        <v>4</v>
      </c>
    </row>
    <row r="7">
      <c r="A7" s="14" t="inlineStr">
        <is>
          <t>Requested vCPU</t>
        </is>
      </c>
      <c r="B7" s="20">
        <f>B5*B6</f>
        <v/>
      </c>
      <c r="E7" s="18" t="inlineStr">
        <is>
          <t>D8ads_v5</t>
        </is>
      </c>
      <c r="F7" s="18" t="n">
        <v>8</v>
      </c>
    </row>
    <row r="8">
      <c r="A8" s="14" t="inlineStr">
        <is>
          <t>Prod region (optional)</t>
        </is>
      </c>
      <c r="B8" s="17" t="inlineStr"/>
      <c r="E8" s="18" t="inlineStr">
        <is>
          <t>D4ads_v5</t>
        </is>
      </c>
      <c r="F8" s="18" t="n">
        <v>4</v>
      </c>
    </row>
    <row r="9">
      <c r="A9" s="14" t="inlineStr">
        <is>
          <t>Customer ID</t>
        </is>
      </c>
      <c r="B9" s="17" t="inlineStr">
        <is>
          <t>CUST-0042</t>
        </is>
      </c>
      <c r="E9" s="18" t="inlineStr">
        <is>
          <t>D2ads_v5</t>
        </is>
      </c>
      <c r="F9" s="18" t="n">
        <v>2</v>
      </c>
    </row>
    <row r="10">
      <c r="A10" s="14" t="inlineStr">
        <is>
          <t>Distribution model</t>
        </is>
      </c>
      <c r="B10" s="19">
        <f>VLOOKUP(B3,E13:G17,2,FALSE)</f>
        <v/>
      </c>
      <c r="E10" s="18" t="inlineStr">
        <is>
          <t>D16ads_v5</t>
        </is>
      </c>
      <c r="F10" s="18" t="n">
        <v>16</v>
      </c>
    </row>
    <row r="11">
      <c r="A11" s="14" t="inlineStr">
        <is>
          <t>DR scope geography</t>
        </is>
      </c>
      <c r="B11" s="19">
        <f>VLOOKUP(B3,E13:G17,3,FALSE)</f>
        <v/>
      </c>
    </row>
    <row r="12">
      <c r="E12" s="16" t="inlineStr">
        <is>
          <t>Geography</t>
        </is>
      </c>
      <c r="F12" s="16" t="inlineStr">
        <is>
          <t>Model</t>
        </is>
      </c>
      <c r="G12" s="16" t="inlineStr">
        <is>
          <t>DR Scope Geo</t>
        </is>
      </c>
    </row>
    <row r="13">
      <c r="E13" s="18" t="inlineStr">
        <is>
          <t>US</t>
        </is>
      </c>
      <c r="F13" s="18" t="inlineStr">
        <is>
          <t>3-region</t>
        </is>
      </c>
      <c r="G13" s="18" t="inlineStr">
        <is>
          <t>US</t>
        </is>
      </c>
    </row>
    <row r="14">
      <c r="E14" s="18" t="inlineStr">
        <is>
          <t>EU</t>
        </is>
      </c>
      <c r="F14" s="18" t="inlineStr">
        <is>
          <t>2-region</t>
        </is>
      </c>
      <c r="G14" s="18" t="inlineStr">
        <is>
          <t>EU</t>
        </is>
      </c>
    </row>
    <row r="15">
      <c r="E15" s="18" t="inlineStr">
        <is>
          <t>Australia</t>
        </is>
      </c>
      <c r="F15" s="18" t="inlineStr">
        <is>
          <t>2-region</t>
        </is>
      </c>
      <c r="G15" s="18" t="inlineStr">
        <is>
          <t>Australia</t>
        </is>
      </c>
    </row>
    <row r="16">
      <c r="E16" s="18" t="inlineStr">
        <is>
          <t>Asia Pacific</t>
        </is>
      </c>
      <c r="F16" s="18" t="inlineStr">
        <is>
          <t>2-region</t>
        </is>
      </c>
      <c r="G16" s="18" t="inlineStr">
        <is>
          <t>Asia Pacific</t>
        </is>
      </c>
    </row>
    <row r="17">
      <c r="E17" s="18" t="inlineStr">
        <is>
          <t>Middle East</t>
        </is>
      </c>
      <c r="F17" s="18" t="inlineStr">
        <is>
          <t>cross-geo</t>
        </is>
      </c>
      <c r="G17" s="18" t="inlineStr">
        <is>
          <t>EU</t>
        </is>
      </c>
    </row>
  </sheetData>
  <dataValidations count="3">
    <dataValidation sqref="B3" showDropDown="0" showInputMessage="0" showErrorMessage="0" allowBlank="0" type="list">
      <formula1>"US,EU,Australia,Asia Pacific,Middle East"</formula1>
    </dataValidation>
    <dataValidation sqref="B4" showDropDown="0" showInputMessage="0" showErrorMessage="0" allowBlank="0" type="list">
      <formula1>"E16ads_v5,E32ads_v5,E8ads_v5,E4ads_v5,D8ads_v5,D4ads_v5,D2ads_v5,D16ads_v5"</formula1>
    </dataValidation>
    <dataValidation sqref="B8" showDropDown="0" showInputMessage="0" showErrorMessage="0" allowBlank="1" type="list">
      <formula1>=Capacity_Usage!$B$4:$B$18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" customWidth="1" min="3" max="3"/>
    <col width="16" customWidth="1" min="4" max="4"/>
    <col width="12" customWidth="1" min="5" max="5"/>
  </cols>
  <sheetData>
    <row r="1">
      <c r="A1" s="7" t="inlineStr">
        <is>
          <t>POLICY — Weights &amp; Parameters</t>
        </is>
      </c>
    </row>
    <row r="2">
      <c r="A2" s="14" t="inlineStr">
        <is>
          <t>alpha (α) — Capacity headroom</t>
        </is>
      </c>
      <c r="B2" s="17" t="n">
        <v>0.3</v>
      </c>
    </row>
    <row r="3">
      <c r="A3" s="14" t="inlineStr">
        <is>
          <t>beta (β) — Quota headroom</t>
        </is>
      </c>
      <c r="B3" s="17" t="n">
        <v>0.2</v>
      </c>
    </row>
    <row r="4">
      <c r="A4" s="14" t="inlineStr">
        <is>
          <t>gamma (γ) — Distribution fairness</t>
        </is>
      </c>
      <c r="B4" s="17" t="n">
        <v>0.25</v>
      </c>
    </row>
    <row r="5">
      <c r="A5" s="14" t="inlineStr">
        <is>
          <t>delta (δ) — DR readiness</t>
        </is>
      </c>
      <c r="B5" s="17" t="n">
        <v>0.15</v>
      </c>
    </row>
    <row r="6">
      <c r="A6" s="14" t="inlineStr">
        <is>
          <t>epsilon (ε) — Zone diversity</t>
        </is>
      </c>
      <c r="B6" s="17" t="n">
        <v>0.1</v>
      </c>
    </row>
    <row r="7">
      <c r="A7" s="14" t="inlineStr">
        <is>
          <t>Weight sum</t>
        </is>
      </c>
      <c r="B7" s="20">
        <f>SUM(B2:B6)</f>
        <v/>
      </c>
    </row>
    <row r="8">
      <c r="A8" s="14" t="inlineStr">
        <is>
          <t>Validation</t>
        </is>
      </c>
      <c r="B8" s="19">
        <f>IF(ABS(B7-1)&lt;=0.001,"VALID","INVALID — must sum to 1.0")</f>
        <v/>
      </c>
    </row>
    <row r="10">
      <c r="A10" s="14" t="inlineStr">
        <is>
          <t>total_customers mode (1=Live 2=Constant 3=Manual)</t>
        </is>
      </c>
      <c r="B10" s="17" t="n">
        <v>1</v>
      </c>
      <c r="D10" s="16" t="inlineStr">
        <is>
          <t>Geography</t>
        </is>
      </c>
      <c r="E10" s="16" t="inlineStr">
        <is>
          <t>Constant</t>
        </is>
      </c>
    </row>
    <row r="11">
      <c r="A11" s="14" t="inlineStr">
        <is>
          <t>Manual total_customers</t>
        </is>
      </c>
      <c r="B11" s="17" t="n">
        <v>300</v>
      </c>
      <c r="D11" s="18" t="inlineStr">
        <is>
          <t>US</t>
        </is>
      </c>
      <c r="E11" s="18" t="n">
        <v>150</v>
      </c>
    </row>
    <row r="12">
      <c r="D12" s="18" t="inlineStr">
        <is>
          <t>EU</t>
        </is>
      </c>
      <c r="E12" s="18" t="n">
        <v>90</v>
      </c>
    </row>
    <row r="13">
      <c r="A13" s="14" t="inlineStr">
        <is>
          <t>DR bootstrap qty (vCPU)</t>
        </is>
      </c>
      <c r="B13" s="17" t="n">
        <v>40</v>
      </c>
      <c r="D13" s="18" t="inlineStr">
        <is>
          <t>Australia</t>
        </is>
      </c>
      <c r="E13" s="18" t="n">
        <v>40</v>
      </c>
    </row>
    <row r="14">
      <c r="A14" s="14" t="inlineStr">
        <is>
          <t>DR coverage target</t>
        </is>
      </c>
      <c r="B14" s="17" t="n">
        <v>0.8</v>
      </c>
      <c r="D14" s="18" t="inlineStr">
        <is>
          <t>Asia Pacific</t>
        </is>
      </c>
      <c r="E14" s="18" t="n">
        <v>50</v>
      </c>
    </row>
    <row r="15">
      <c r="A15" s="14" t="inlineStr">
        <is>
          <t>Min Prod headroom (vCPU)</t>
        </is>
      </c>
      <c r="B15" s="17" t="n">
        <v>20</v>
      </c>
      <c r="D15" s="18" t="inlineStr">
        <is>
          <t>Middle East</t>
        </is>
      </c>
      <c r="E15" s="18" t="n">
        <v>10</v>
      </c>
    </row>
    <row r="16">
      <c r="A16" s="14" t="inlineStr">
        <is>
          <t>Min NonProd headroom (vCPU)</t>
        </is>
      </c>
      <c r="B16" s="17" t="n">
        <v>20</v>
      </c>
    </row>
    <row r="17">
      <c r="A17" s="14" t="inlineStr">
        <is>
          <t>Min DR headroom (vCPU)</t>
        </is>
      </c>
      <c r="B17" s="17" t="n">
        <v>16</v>
      </c>
    </row>
  </sheetData>
  <conditionalFormatting sqref="B8">
    <cfRule type="cellIs" priority="1" operator="equal" dxfId="0">
      <formula>"VALID"</formula>
    </cfRule>
    <cfRule type="expression" priority="2" dxfId="1">
      <formula>LEFT(B8,7)="INVALID"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7" t="inlineStr">
        <is>
          <t>DERIVED REGIONAL CAPACITY &amp; USAGE  (real Alloc + geography-distributed Reserved/Quota)</t>
        </is>
      </c>
    </row>
    <row r="2">
      <c r="A2" s="8" t="inlineStr">
        <is>
          <t>Alloc / Q-Used = real usage (cores). Reserved / Quota = geography total distributed evenly across regions (balanced plan). Yellow = editable; grey = computed.</t>
        </is>
      </c>
    </row>
    <row r="3">
      <c r="A3" s="9" t="inlineStr">
        <is>
          <t>Region ID</t>
        </is>
      </c>
      <c r="B3" s="9" t="inlineStr">
        <is>
          <t>Region Name</t>
        </is>
      </c>
      <c r="C3" s="9" t="inlineStr">
        <is>
          <t>Geography</t>
        </is>
      </c>
      <c r="D3" s="9" t="inlineStr">
        <is>
          <t>Model</t>
        </is>
      </c>
      <c r="E3" s="9" t="inlineStr">
        <is>
          <t>AZ</t>
        </is>
      </c>
      <c r="F3" s="9" t="inlineStr">
        <is>
          <t>Prod Reserved</t>
        </is>
      </c>
      <c r="G3" s="9" t="inlineStr">
        <is>
          <t>Prod Alloc</t>
        </is>
      </c>
      <c r="H3" s="9" t="inlineStr">
        <is>
          <t>Prod Free</t>
        </is>
      </c>
      <c r="I3" s="9" t="inlineStr">
        <is>
          <t>Prod Q-Limit</t>
        </is>
      </c>
      <c r="J3" s="9" t="inlineStr">
        <is>
          <t>Prod Q-Used</t>
        </is>
      </c>
      <c r="K3" s="9" t="inlineStr">
        <is>
          <t>Prod Q-Headroom</t>
        </is>
      </c>
      <c r="L3" s="9" t="inlineStr">
        <is>
          <t>NP Reserved</t>
        </is>
      </c>
      <c r="M3" s="9" t="inlineStr">
        <is>
          <t>NP Alloc</t>
        </is>
      </c>
      <c r="N3" s="9" t="inlineStr">
        <is>
          <t>NP Eff-Free</t>
        </is>
      </c>
      <c r="O3" s="9" t="inlineStr">
        <is>
          <t>NP Q-Limit</t>
        </is>
      </c>
      <c r="P3" s="9" t="inlineStr">
        <is>
          <t>NP Q-Used</t>
        </is>
      </c>
      <c r="Q3" s="9" t="inlineStr">
        <is>
          <t>NP Q-Headroom</t>
        </is>
      </c>
      <c r="R3" s="9" t="inlineStr">
        <is>
          <t>DR Reserved</t>
        </is>
      </c>
      <c r="S3" s="9" t="inlineStr">
        <is>
          <t>DR Free</t>
        </is>
      </c>
      <c r="T3" s="9" t="inlineStr">
        <is>
          <t>DR Coverage</t>
        </is>
      </c>
      <c r="U3" s="9" t="inlineStr">
        <is>
          <t>Cust Count</t>
        </is>
      </c>
    </row>
    <row r="4">
      <c r="A4" s="10" t="inlineStr">
        <is>
          <t>eastus2</t>
        </is>
      </c>
      <c r="B4" s="10" t="inlineStr">
        <is>
          <t>East US 2</t>
        </is>
      </c>
      <c r="C4" s="10" t="inlineStr">
        <is>
          <t>US</t>
        </is>
      </c>
      <c r="D4" s="10" t="inlineStr">
        <is>
          <t>3-region</t>
        </is>
      </c>
      <c r="E4" s="17" t="n">
        <v>3</v>
      </c>
      <c r="F4" s="21" t="n">
        <v>39344</v>
      </c>
      <c r="G4" s="21" t="n">
        <v>139410</v>
      </c>
      <c r="H4" s="22">
        <f>F4-G4</f>
        <v/>
      </c>
      <c r="I4" s="21" t="n">
        <v>59016</v>
      </c>
      <c r="J4" s="21" t="n">
        <v>139410</v>
      </c>
      <c r="K4" s="22">
        <f>I4-J4</f>
        <v/>
      </c>
      <c r="L4" s="21" t="n">
        <v>87694</v>
      </c>
      <c r="M4" s="21" t="n">
        <v>328418</v>
      </c>
      <c r="N4" s="21" t="n">
        <v>0</v>
      </c>
      <c r="O4" s="21" t="n">
        <v>131540</v>
      </c>
      <c r="P4" s="21" t="n">
        <v>328418</v>
      </c>
      <c r="Q4" s="22">
        <f>O4-P4</f>
        <v/>
      </c>
      <c r="R4" s="17" t="n">
        <v>19672</v>
      </c>
      <c r="S4" s="17" t="n">
        <v>16722</v>
      </c>
      <c r="T4" s="17" t="n">
        <v>0.6</v>
      </c>
      <c r="U4" s="17" t="n">
        <v>150</v>
      </c>
    </row>
    <row r="5">
      <c r="A5" s="10" t="inlineStr">
        <is>
          <t>centralus</t>
        </is>
      </c>
      <c r="B5" s="10" t="inlineStr">
        <is>
          <t>Central US</t>
        </is>
      </c>
      <c r="C5" s="10" t="inlineStr">
        <is>
          <t>US</t>
        </is>
      </c>
      <c r="D5" s="10" t="inlineStr">
        <is>
          <t>3-region</t>
        </is>
      </c>
      <c r="E5" s="17" t="n">
        <v>3</v>
      </c>
      <c r="F5" s="21" t="n">
        <v>39344</v>
      </c>
      <c r="G5" s="21" t="n">
        <v>17964</v>
      </c>
      <c r="H5" s="22">
        <f>F5-G5</f>
        <v/>
      </c>
      <c r="I5" s="21" t="n">
        <v>59016</v>
      </c>
      <c r="J5" s="21" t="n">
        <v>17964</v>
      </c>
      <c r="K5" s="22">
        <f>I5-J5</f>
        <v/>
      </c>
      <c r="L5" s="21" t="n">
        <v>87694</v>
      </c>
      <c r="M5" s="21" t="n">
        <v>22318</v>
      </c>
      <c r="N5" s="21" t="n">
        <v>65376</v>
      </c>
      <c r="O5" s="21" t="n">
        <v>131540</v>
      </c>
      <c r="P5" s="21" t="n">
        <v>22318</v>
      </c>
      <c r="Q5" s="22">
        <f>O5-P5</f>
        <v/>
      </c>
      <c r="R5" s="17" t="n">
        <v>19672</v>
      </c>
      <c r="S5" s="17" t="n">
        <v>16722</v>
      </c>
      <c r="T5" s="17" t="n">
        <v>0.6</v>
      </c>
      <c r="U5" s="17" t="n">
        <v>65</v>
      </c>
    </row>
    <row r="6">
      <c r="A6" s="10" t="inlineStr">
        <is>
          <t>eastus</t>
        </is>
      </c>
      <c r="B6" s="10" t="inlineStr">
        <is>
          <t>East US</t>
        </is>
      </c>
      <c r="C6" s="10" t="inlineStr">
        <is>
          <t>US</t>
        </is>
      </c>
      <c r="D6" s="10" t="inlineStr">
        <is>
          <t>3-region</t>
        </is>
      </c>
      <c r="E6" s="17" t="n">
        <v>3</v>
      </c>
      <c r="F6" s="21" t="n">
        <v>39344</v>
      </c>
      <c r="G6" s="21" t="n">
        <v>0</v>
      </c>
      <c r="H6" s="22">
        <f>F6-G6</f>
        <v/>
      </c>
      <c r="I6" s="21" t="n">
        <v>59016</v>
      </c>
      <c r="J6" s="21" t="n">
        <v>0</v>
      </c>
      <c r="K6" s="22">
        <f>I6-J6</f>
        <v/>
      </c>
      <c r="L6" s="21" t="n">
        <v>87694</v>
      </c>
      <c r="M6" s="21" t="n">
        <v>34</v>
      </c>
      <c r="N6" s="21" t="n">
        <v>87660</v>
      </c>
      <c r="O6" s="21" t="n">
        <v>131540</v>
      </c>
      <c r="P6" s="21" t="n">
        <v>34</v>
      </c>
      <c r="Q6" s="22">
        <f>O6-P6</f>
        <v/>
      </c>
      <c r="R6" s="17" t="n">
        <v>19672</v>
      </c>
      <c r="S6" s="17" t="n">
        <v>16722</v>
      </c>
      <c r="T6" s="17" t="n">
        <v>0.6</v>
      </c>
      <c r="U6" s="17" t="n">
        <v>4</v>
      </c>
    </row>
    <row r="7">
      <c r="A7" s="10" t="inlineStr">
        <is>
          <t>westus3</t>
        </is>
      </c>
      <c r="B7" s="10" t="inlineStr">
        <is>
          <t>West US 3</t>
        </is>
      </c>
      <c r="C7" s="10" t="inlineStr">
        <is>
          <t>US</t>
        </is>
      </c>
      <c r="D7" s="10" t="inlineStr">
        <is>
          <t>3-region</t>
        </is>
      </c>
      <c r="E7" s="17" t="n">
        <v>3</v>
      </c>
      <c r="F7" s="21" t="n">
        <v>39344</v>
      </c>
      <c r="G7" s="21" t="n">
        <v>0</v>
      </c>
      <c r="H7" s="22">
        <f>F7-G7</f>
        <v/>
      </c>
      <c r="I7" s="21" t="n">
        <v>59016</v>
      </c>
      <c r="J7" s="21" t="n">
        <v>0</v>
      </c>
      <c r="K7" s="22">
        <f>I7-J7</f>
        <v/>
      </c>
      <c r="L7" s="21" t="n">
        <v>87694</v>
      </c>
      <c r="M7" s="21" t="n">
        <v>2</v>
      </c>
      <c r="N7" s="21" t="n">
        <v>87692</v>
      </c>
      <c r="O7" s="21" t="n">
        <v>131540</v>
      </c>
      <c r="P7" s="21" t="n">
        <v>2</v>
      </c>
      <c r="Q7" s="22">
        <f>O7-P7</f>
        <v/>
      </c>
      <c r="R7" s="17" t="n">
        <v>19672</v>
      </c>
      <c r="S7" s="17" t="n">
        <v>16722</v>
      </c>
      <c r="T7" s="17" t="n">
        <v>0.6</v>
      </c>
      <c r="U7" s="17" t="n">
        <v>1</v>
      </c>
    </row>
    <row r="8">
      <c r="A8" s="10" t="inlineStr">
        <is>
          <t>westeurope</t>
        </is>
      </c>
      <c r="B8" s="10" t="inlineStr">
        <is>
          <t>West Europe</t>
        </is>
      </c>
      <c r="C8" s="10" t="inlineStr">
        <is>
          <t>EU</t>
        </is>
      </c>
      <c r="D8" s="10" t="inlineStr">
        <is>
          <t>2-region</t>
        </is>
      </c>
      <c r="E8" s="17" t="n">
        <v>3</v>
      </c>
      <c r="F8" s="21" t="n">
        <v>12346</v>
      </c>
      <c r="G8" s="21" t="n">
        <v>41088</v>
      </c>
      <c r="H8" s="22">
        <f>F8-G8</f>
        <v/>
      </c>
      <c r="I8" s="21" t="n">
        <v>18520</v>
      </c>
      <c r="J8" s="21" t="n">
        <v>41088</v>
      </c>
      <c r="K8" s="22">
        <f>I8-J8</f>
        <v/>
      </c>
      <c r="L8" s="21" t="n">
        <v>37460</v>
      </c>
      <c r="M8" s="21" t="n">
        <v>139820</v>
      </c>
      <c r="N8" s="21" t="n">
        <v>0</v>
      </c>
      <c r="O8" s="21" t="n">
        <v>56190</v>
      </c>
      <c r="P8" s="21" t="n">
        <v>139820</v>
      </c>
      <c r="Q8" s="22">
        <f>O8-P8</f>
        <v/>
      </c>
      <c r="R8" s="17" t="n">
        <v>6174</v>
      </c>
      <c r="S8" s="17" t="n">
        <v>5248</v>
      </c>
      <c r="T8" s="17" t="n">
        <v>0.6</v>
      </c>
      <c r="U8" s="17" t="n">
        <v>69</v>
      </c>
    </row>
    <row r="9">
      <c r="A9" s="10" t="inlineStr">
        <is>
          <t>northeurope</t>
        </is>
      </c>
      <c r="B9" s="10" t="inlineStr">
        <is>
          <t>North Europe</t>
        </is>
      </c>
      <c r="C9" s="10" t="inlineStr">
        <is>
          <t>EU</t>
        </is>
      </c>
      <c r="D9" s="10" t="inlineStr">
        <is>
          <t>2-region</t>
        </is>
      </c>
      <c r="E9" s="17" t="n">
        <v>3</v>
      </c>
      <c r="F9" s="21" t="n">
        <v>12346</v>
      </c>
      <c r="G9" s="21" t="n">
        <v>5448</v>
      </c>
      <c r="H9" s="22">
        <f>F9-G9</f>
        <v/>
      </c>
      <c r="I9" s="21" t="n">
        <v>18520</v>
      </c>
      <c r="J9" s="21" t="n">
        <v>5448</v>
      </c>
      <c r="K9" s="22">
        <f>I9-J9</f>
        <v/>
      </c>
      <c r="L9" s="21" t="n">
        <v>37460</v>
      </c>
      <c r="M9" s="21" t="n">
        <v>6944</v>
      </c>
      <c r="N9" s="21" t="n">
        <v>30516</v>
      </c>
      <c r="O9" s="21" t="n">
        <v>56190</v>
      </c>
      <c r="P9" s="21" t="n">
        <v>6944</v>
      </c>
      <c r="Q9" s="22">
        <f>O9-P9</f>
        <v/>
      </c>
      <c r="R9" s="17" t="n">
        <v>6174</v>
      </c>
      <c r="S9" s="17" t="n">
        <v>5248</v>
      </c>
      <c r="T9" s="17" t="n">
        <v>0.6</v>
      </c>
      <c r="U9" s="17" t="n">
        <v>30</v>
      </c>
    </row>
    <row r="10">
      <c r="A10" s="10" t="inlineStr">
        <is>
          <t>swedencentral</t>
        </is>
      </c>
      <c r="B10" s="10" t="inlineStr">
        <is>
          <t>Sweden Central</t>
        </is>
      </c>
      <c r="C10" s="10" t="inlineStr">
        <is>
          <t>EU</t>
        </is>
      </c>
      <c r="D10" s="10" t="inlineStr">
        <is>
          <t>2-region</t>
        </is>
      </c>
      <c r="E10" s="17" t="n">
        <v>3</v>
      </c>
      <c r="F10" s="21" t="n">
        <v>12346</v>
      </c>
      <c r="G10" s="21" t="n">
        <v>1632</v>
      </c>
      <c r="H10" s="22">
        <f>F10-G10</f>
        <v/>
      </c>
      <c r="I10" s="21" t="n">
        <v>18520</v>
      </c>
      <c r="J10" s="21" t="n">
        <v>1632</v>
      </c>
      <c r="K10" s="22">
        <f>I10-J10</f>
        <v/>
      </c>
      <c r="L10" s="21" t="n">
        <v>37460</v>
      </c>
      <c r="M10" s="21" t="n">
        <v>1760</v>
      </c>
      <c r="N10" s="21" t="n">
        <v>35700</v>
      </c>
      <c r="O10" s="21" t="n">
        <v>56190</v>
      </c>
      <c r="P10" s="21" t="n">
        <v>1760</v>
      </c>
      <c r="Q10" s="22">
        <f>O10-P10</f>
        <v/>
      </c>
      <c r="R10" s="17" t="n">
        <v>6174</v>
      </c>
      <c r="S10" s="17" t="n">
        <v>5248</v>
      </c>
      <c r="T10" s="17" t="n">
        <v>0.6</v>
      </c>
      <c r="U10" s="17" t="n">
        <v>13</v>
      </c>
    </row>
    <row r="11">
      <c r="A11" s="10" t="inlineStr">
        <is>
          <t>switzerlandnorth</t>
        </is>
      </c>
      <c r="B11" s="10" t="inlineStr">
        <is>
          <t>Switzerland North</t>
        </is>
      </c>
      <c r="C11" s="10" t="inlineStr">
        <is>
          <t>EU</t>
        </is>
      </c>
      <c r="D11" s="10" t="inlineStr">
        <is>
          <t>2-region</t>
        </is>
      </c>
      <c r="E11" s="17" t="n">
        <v>3</v>
      </c>
      <c r="F11" s="21" t="n">
        <v>12346</v>
      </c>
      <c r="G11" s="21" t="n">
        <v>1216</v>
      </c>
      <c r="H11" s="22">
        <f>F11-G11</f>
        <v/>
      </c>
      <c r="I11" s="21" t="n">
        <v>18520</v>
      </c>
      <c r="J11" s="21" t="n">
        <v>1216</v>
      </c>
      <c r="K11" s="22">
        <f>I11-J11</f>
        <v/>
      </c>
      <c r="L11" s="21" t="n">
        <v>37460</v>
      </c>
      <c r="M11" s="21" t="n">
        <v>1312</v>
      </c>
      <c r="N11" s="21" t="n">
        <v>36148</v>
      </c>
      <c r="O11" s="21" t="n">
        <v>56190</v>
      </c>
      <c r="P11" s="21" t="n">
        <v>1312</v>
      </c>
      <c r="Q11" s="22">
        <f>O11-P11</f>
        <v/>
      </c>
      <c r="R11" s="17" t="n">
        <v>6174</v>
      </c>
      <c r="S11" s="17" t="n">
        <v>5248</v>
      </c>
      <c r="T11" s="17" t="n">
        <v>0.6</v>
      </c>
      <c r="U11" s="17" t="n">
        <v>11</v>
      </c>
    </row>
    <row r="12">
      <c r="A12" s="10" t="inlineStr">
        <is>
          <t>australiaeast</t>
        </is>
      </c>
      <c r="B12" s="10" t="inlineStr">
        <is>
          <t>Australia East</t>
        </is>
      </c>
      <c r="C12" s="10" t="inlineStr">
        <is>
          <t>Australia</t>
        </is>
      </c>
      <c r="D12" s="10" t="inlineStr">
        <is>
          <t>2-region</t>
        </is>
      </c>
      <c r="E12" s="17" t="n">
        <v>3</v>
      </c>
      <c r="F12" s="21" t="n">
        <v>5206</v>
      </c>
      <c r="G12" s="21" t="n">
        <v>8436</v>
      </c>
      <c r="H12" s="22">
        <f>F12-G12</f>
        <v/>
      </c>
      <c r="I12" s="21" t="n">
        <v>7810</v>
      </c>
      <c r="J12" s="21" t="n">
        <v>8436</v>
      </c>
      <c r="K12" s="22">
        <f>I12-J12</f>
        <v/>
      </c>
      <c r="L12" s="21" t="n">
        <v>9824</v>
      </c>
      <c r="M12" s="21" t="n">
        <v>17002</v>
      </c>
      <c r="N12" s="21" t="n">
        <v>0</v>
      </c>
      <c r="O12" s="21" t="n">
        <v>14736</v>
      </c>
      <c r="P12" s="21" t="n">
        <v>17002</v>
      </c>
      <c r="Q12" s="22">
        <f>O12-P12</f>
        <v/>
      </c>
      <c r="R12" s="17" t="n">
        <v>2604</v>
      </c>
      <c r="S12" s="17" t="n">
        <v>2214</v>
      </c>
      <c r="T12" s="17" t="n">
        <v>0.6</v>
      </c>
      <c r="U12" s="17" t="n">
        <v>34</v>
      </c>
    </row>
    <row r="13">
      <c r="A13" s="10" t="inlineStr">
        <is>
          <t>australiasoutheast</t>
        </is>
      </c>
      <c r="B13" s="10" t="inlineStr">
        <is>
          <t>Australia Southeast</t>
        </is>
      </c>
      <c r="C13" s="10" t="inlineStr">
        <is>
          <t>Australia</t>
        </is>
      </c>
      <c r="D13" s="10" t="inlineStr">
        <is>
          <t>2-region</t>
        </is>
      </c>
      <c r="E13" s="17" t="n">
        <v>2</v>
      </c>
      <c r="F13" s="21" t="n">
        <v>5206</v>
      </c>
      <c r="G13" s="21" t="n">
        <v>1976</v>
      </c>
      <c r="H13" s="22">
        <f>F13-G13</f>
        <v/>
      </c>
      <c r="I13" s="21" t="n">
        <v>7810</v>
      </c>
      <c r="J13" s="21" t="n">
        <v>1976</v>
      </c>
      <c r="K13" s="22">
        <f>I13-J13</f>
        <v/>
      </c>
      <c r="L13" s="21" t="n">
        <v>9824</v>
      </c>
      <c r="M13" s="21" t="n">
        <v>2644</v>
      </c>
      <c r="N13" s="21" t="n">
        <v>7180</v>
      </c>
      <c r="O13" s="21" t="n">
        <v>14736</v>
      </c>
      <c r="P13" s="21" t="n">
        <v>2644</v>
      </c>
      <c r="Q13" s="22">
        <f>O13-P13</f>
        <v/>
      </c>
      <c r="R13" s="17" t="n">
        <v>2604</v>
      </c>
      <c r="S13" s="17" t="n">
        <v>2214</v>
      </c>
      <c r="T13" s="17" t="n">
        <v>0.6</v>
      </c>
      <c r="U13" s="17" t="n">
        <v>14</v>
      </c>
    </row>
    <row r="14">
      <c r="A14" s="10" t="inlineStr">
        <is>
          <t>southeastasia</t>
        </is>
      </c>
      <c r="B14" s="10" t="inlineStr">
        <is>
          <t>Southeast Asia</t>
        </is>
      </c>
      <c r="C14" s="10" t="inlineStr">
        <is>
          <t>Asia Pacific</t>
        </is>
      </c>
      <c r="D14" s="10" t="inlineStr">
        <is>
          <t>2-region</t>
        </is>
      </c>
      <c r="E14" s="17" t="n">
        <v>3</v>
      </c>
      <c r="F14" s="21" t="n">
        <v>7718</v>
      </c>
      <c r="G14" s="21" t="n">
        <v>19388</v>
      </c>
      <c r="H14" s="22">
        <f>F14-G14</f>
        <v/>
      </c>
      <c r="I14" s="21" t="n">
        <v>11578</v>
      </c>
      <c r="J14" s="21" t="n">
        <v>19388</v>
      </c>
      <c r="K14" s="22">
        <f>I14-J14</f>
        <v/>
      </c>
      <c r="L14" s="21" t="n">
        <v>8622</v>
      </c>
      <c r="M14" s="21" t="n">
        <v>22766</v>
      </c>
      <c r="N14" s="21" t="n">
        <v>0</v>
      </c>
      <c r="O14" s="21" t="n">
        <v>12934</v>
      </c>
      <c r="P14" s="21" t="n">
        <v>22766</v>
      </c>
      <c r="Q14" s="22">
        <f>O14-P14</f>
        <v/>
      </c>
      <c r="R14" s="17" t="n">
        <v>3860</v>
      </c>
      <c r="S14" s="17" t="n">
        <v>3282</v>
      </c>
      <c r="T14" s="17" t="n">
        <v>0.6</v>
      </c>
      <c r="U14" s="17" t="n">
        <v>43</v>
      </c>
    </row>
    <row r="15">
      <c r="A15" s="10" t="inlineStr">
        <is>
          <t>eastasia</t>
        </is>
      </c>
      <c r="B15" s="10" t="inlineStr">
        <is>
          <t>East Asia</t>
        </is>
      </c>
      <c r="C15" s="10" t="inlineStr">
        <is>
          <t>Asia Pacific</t>
        </is>
      </c>
      <c r="D15" s="10" t="inlineStr">
        <is>
          <t>2-region</t>
        </is>
      </c>
      <c r="E15" s="17" t="n">
        <v>3</v>
      </c>
      <c r="F15" s="21" t="n">
        <v>7718</v>
      </c>
      <c r="G15" s="21" t="n">
        <v>3068</v>
      </c>
      <c r="H15" s="22">
        <f>F15-G15</f>
        <v/>
      </c>
      <c r="I15" s="21" t="n">
        <v>11578</v>
      </c>
      <c r="J15" s="21" t="n">
        <v>3068</v>
      </c>
      <c r="K15" s="22">
        <f>I15-J15</f>
        <v/>
      </c>
      <c r="L15" s="21" t="n">
        <v>8622</v>
      </c>
      <c r="M15" s="21" t="n">
        <v>3100</v>
      </c>
      <c r="N15" s="21" t="n">
        <v>5522</v>
      </c>
      <c r="O15" s="21" t="n">
        <v>12934</v>
      </c>
      <c r="P15" s="21" t="n">
        <v>3100</v>
      </c>
      <c r="Q15" s="22">
        <f>O15-P15</f>
        <v/>
      </c>
      <c r="R15" s="17" t="n">
        <v>3860</v>
      </c>
      <c r="S15" s="17" t="n">
        <v>3282</v>
      </c>
      <c r="T15" s="17" t="n">
        <v>0.6</v>
      </c>
      <c r="U15" s="17" t="n">
        <v>21</v>
      </c>
    </row>
    <row r="16">
      <c r="A16" s="10" t="inlineStr">
        <is>
          <t>centralindia</t>
        </is>
      </c>
      <c r="B16" s="10" t="inlineStr">
        <is>
          <t>Central India</t>
        </is>
      </c>
      <c r="C16" s="10" t="inlineStr">
        <is>
          <t>Asia Pacific</t>
        </is>
      </c>
      <c r="D16" s="10" t="inlineStr">
        <is>
          <t>2-region</t>
        </is>
      </c>
      <c r="E16" s="17" t="n">
        <v>2</v>
      </c>
      <c r="F16" s="21" t="n">
        <v>7718</v>
      </c>
      <c r="G16" s="21" t="n">
        <v>698</v>
      </c>
      <c r="H16" s="22">
        <f>F16-G16</f>
        <v/>
      </c>
      <c r="I16" s="21" t="n">
        <v>11578</v>
      </c>
      <c r="J16" s="21" t="n">
        <v>698</v>
      </c>
      <c r="K16" s="22">
        <f>I16-J16</f>
        <v/>
      </c>
      <c r="L16" s="21" t="n">
        <v>8622</v>
      </c>
      <c r="M16" s="21" t="n">
        <v>0</v>
      </c>
      <c r="N16" s="21" t="n">
        <v>8622</v>
      </c>
      <c r="O16" s="21" t="n">
        <v>12934</v>
      </c>
      <c r="P16" s="21" t="n">
        <v>0</v>
      </c>
      <c r="Q16" s="22">
        <f>O16-P16</f>
        <v/>
      </c>
      <c r="R16" s="17" t="n">
        <v>3860</v>
      </c>
      <c r="S16" s="17" t="n">
        <v>3282</v>
      </c>
      <c r="T16" s="17" t="n">
        <v>0.6</v>
      </c>
      <c r="U16" s="17" t="n">
        <v>1</v>
      </c>
    </row>
    <row r="17">
      <c r="A17" s="10" t="inlineStr">
        <is>
          <t>southafricanorth</t>
        </is>
      </c>
      <c r="B17" s="10" t="inlineStr">
        <is>
          <t>South Africa North</t>
        </is>
      </c>
      <c r="C17" s="10" t="inlineStr">
        <is>
          <t>Middle East</t>
        </is>
      </c>
      <c r="D17" s="10" t="inlineStr">
        <is>
          <t>cross-geo</t>
        </is>
      </c>
      <c r="E17" s="17" t="n">
        <v>3</v>
      </c>
      <c r="F17" s="21" t="n">
        <v>1200</v>
      </c>
      <c r="G17" s="21" t="n">
        <v>0</v>
      </c>
      <c r="H17" s="22">
        <f>F17-G17</f>
        <v/>
      </c>
      <c r="I17" s="21" t="n">
        <v>1800</v>
      </c>
      <c r="J17" s="21" t="n">
        <v>0</v>
      </c>
      <c r="K17" s="22">
        <f>I17-J17</f>
        <v/>
      </c>
      <c r="L17" s="21" t="n">
        <v>2568</v>
      </c>
      <c r="M17" s="21" t="n">
        <v>1736</v>
      </c>
      <c r="N17" s="21" t="n">
        <v>832</v>
      </c>
      <c r="O17" s="21" t="n">
        <v>3852</v>
      </c>
      <c r="P17" s="21" t="n">
        <v>1736</v>
      </c>
      <c r="Q17" s="22">
        <f>O17-P17</f>
        <v/>
      </c>
      <c r="R17" s="17" t="n">
        <v>0</v>
      </c>
      <c r="S17" s="17" t="n">
        <v>0</v>
      </c>
      <c r="T17" s="17" t="n">
        <v>0</v>
      </c>
      <c r="U17" s="17" t="n">
        <v>1</v>
      </c>
    </row>
    <row r="18">
      <c r="A18" s="10" t="inlineStr">
        <is>
          <t>uaenorth</t>
        </is>
      </c>
      <c r="B18" s="10" t="inlineStr">
        <is>
          <t>UAE North</t>
        </is>
      </c>
      <c r="C18" s="10" t="inlineStr">
        <is>
          <t>Middle East</t>
        </is>
      </c>
      <c r="D18" s="10" t="inlineStr">
        <is>
          <t>cross-geo</t>
        </is>
      </c>
      <c r="E18" s="12" t="n">
        <v>3</v>
      </c>
      <c r="F18" s="13" t="n">
        <v>1200</v>
      </c>
      <c r="G18" s="13" t="n">
        <v>1200</v>
      </c>
      <c r="H18" s="22">
        <f>F18-G18</f>
        <v/>
      </c>
      <c r="I18" s="13" t="n">
        <v>1800</v>
      </c>
      <c r="J18" s="13" t="n">
        <v>1200</v>
      </c>
      <c r="K18" s="22">
        <f>I18-J18</f>
        <v/>
      </c>
      <c r="L18" s="13" t="n">
        <v>2568</v>
      </c>
      <c r="M18" s="13" t="n">
        <v>1200</v>
      </c>
      <c r="N18" s="13" t="n">
        <v>1368</v>
      </c>
      <c r="O18" s="13" t="n">
        <v>3852</v>
      </c>
      <c r="P18" s="13" t="n">
        <v>1200</v>
      </c>
      <c r="Q18" s="22">
        <f>O18-P18</f>
        <v/>
      </c>
      <c r="R18" s="12" t="n">
        <v>0</v>
      </c>
      <c r="S18" s="12" t="n">
        <v>0</v>
      </c>
      <c r="T18" s="12" t="n">
        <v>0</v>
      </c>
      <c r="U18" s="12" t="n">
        <v>4</v>
      </c>
    </row>
  </sheetData>
  <mergeCells count="2">
    <mergeCell ref="A1:U1"/>
    <mergeCell ref="A2:U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7" t="inlineStr">
        <is>
          <t>HARD CONSTRAINT GATE</t>
        </is>
      </c>
    </row>
    <row r="3">
      <c r="A3" s="9" t="inlineStr">
        <is>
          <t>Region</t>
        </is>
      </c>
      <c r="B3" s="9" t="inlineStr">
        <is>
          <t>Geography</t>
        </is>
      </c>
      <c r="C3" s="9" t="inlineStr">
        <is>
          <t>Req vCPU</t>
        </is>
      </c>
      <c r="D3" s="9" t="inlineStr">
        <is>
          <t>HC-3 Prod</t>
        </is>
      </c>
      <c r="E3" s="9" t="inlineStr">
        <is>
          <t>HC-3 NonProd</t>
        </is>
      </c>
      <c r="F3" s="9" t="inlineStr">
        <is>
          <t>HC-3 DR</t>
        </is>
      </c>
      <c r="G3" s="9" t="inlineStr">
        <is>
          <t>HC-6 DR Floor</t>
        </is>
      </c>
      <c r="H3" s="9" t="inlineStr">
        <is>
          <t>HC-7 DR Integ</t>
        </is>
      </c>
      <c r="I3" s="9" t="inlineStr">
        <is>
          <t>Eligible Prod</t>
        </is>
      </c>
      <c r="J3" s="9" t="inlineStr">
        <is>
          <t>Eligible NonProd</t>
        </is>
      </c>
      <c r="K3" s="9" t="inlineStr">
        <is>
          <t>Eligible DR</t>
        </is>
      </c>
    </row>
    <row r="4">
      <c r="A4" s="10">
        <f>Capacity_Usage!B4</f>
        <v/>
      </c>
      <c r="B4" s="10">
        <f>Capacity_Usage!C4</f>
        <v/>
      </c>
      <c r="C4" s="10">
        <f>Setup!$B$7</f>
        <v/>
      </c>
      <c r="D4" s="10">
        <f>IF(AND(Capacity_Usage!K4&gt;=Setup!$B$7,Capacity_Usage!K4-Setup!$B$7&gt;=Policy!$B$15),"PASS","FAIL")</f>
        <v/>
      </c>
      <c r="E4" s="10">
        <f>IF(AND(Capacity_Usage!N4&gt;=Setup!$B$7,Capacity_Usage!Q4-Setup!$B$7&gt;=Policy!$B$16),"PASS","FAIL")</f>
        <v/>
      </c>
      <c r="F4" s="10">
        <f>IF(Capacity_Usage!S4&gt;=Policy!$B$13,"PASS","FAIL")</f>
        <v/>
      </c>
      <c r="G4" s="10">
        <f>IF(Capacity_Usage!S4+Capacity_Usage!N4&gt;=Policy!$B$13,"PASS","FAIL")</f>
        <v/>
      </c>
      <c r="H4" s="10">
        <f>IF(Capacity_Usage!P4+Setup!$B$7&lt;=Capacity_Usage!O4-Policy!$B$13,"PASS","FAIL")</f>
        <v/>
      </c>
      <c r="I4" s="10">
        <f>IF(D4="PASS","YES","NO")</f>
        <v/>
      </c>
      <c r="J4" s="10">
        <f>IF(AND(E4="PASS",H4="PASS"),"YES","NO")</f>
        <v/>
      </c>
      <c r="K4" s="10">
        <f>IF(AND(F4="PASS",G4="PASS"),"YES","NO")</f>
        <v/>
      </c>
    </row>
    <row r="5">
      <c r="A5" s="10">
        <f>Capacity_Usage!B5</f>
        <v/>
      </c>
      <c r="B5" s="10">
        <f>Capacity_Usage!C5</f>
        <v/>
      </c>
      <c r="C5" s="10">
        <f>Setup!$B$7</f>
        <v/>
      </c>
      <c r="D5" s="10">
        <f>IF(AND(Capacity_Usage!K5&gt;=Setup!$B$7,Capacity_Usage!K5-Setup!$B$7&gt;=Policy!$B$15),"PASS","FAIL")</f>
        <v/>
      </c>
      <c r="E5" s="10">
        <f>IF(AND(Capacity_Usage!N5&gt;=Setup!$B$7,Capacity_Usage!Q5-Setup!$B$7&gt;=Policy!$B$16),"PASS","FAIL")</f>
        <v/>
      </c>
      <c r="F5" s="10">
        <f>IF(Capacity_Usage!S5&gt;=Policy!$B$13,"PASS","FAIL")</f>
        <v/>
      </c>
      <c r="G5" s="10">
        <f>IF(Capacity_Usage!S5+Capacity_Usage!N5&gt;=Policy!$B$13,"PASS","FAIL")</f>
        <v/>
      </c>
      <c r="H5" s="10">
        <f>IF(Capacity_Usage!P5+Setup!$B$7&lt;=Capacity_Usage!O5-Policy!$B$13,"PASS","FAIL")</f>
        <v/>
      </c>
      <c r="I5" s="10">
        <f>IF(D5="PASS","YES","NO")</f>
        <v/>
      </c>
      <c r="J5" s="10">
        <f>IF(AND(E5="PASS",H5="PASS"),"YES","NO")</f>
        <v/>
      </c>
      <c r="K5" s="10">
        <f>IF(AND(F5="PASS",G5="PASS"),"YES","NO")</f>
        <v/>
      </c>
    </row>
    <row r="6">
      <c r="A6" s="10">
        <f>Capacity_Usage!B6</f>
        <v/>
      </c>
      <c r="B6" s="10">
        <f>Capacity_Usage!C6</f>
        <v/>
      </c>
      <c r="C6" s="10">
        <f>Setup!$B$7</f>
        <v/>
      </c>
      <c r="D6" s="10">
        <f>IF(AND(Capacity_Usage!K6&gt;=Setup!$B$7,Capacity_Usage!K6-Setup!$B$7&gt;=Policy!$B$15),"PASS","FAIL")</f>
        <v/>
      </c>
      <c r="E6" s="10">
        <f>IF(AND(Capacity_Usage!N6&gt;=Setup!$B$7,Capacity_Usage!Q6-Setup!$B$7&gt;=Policy!$B$16),"PASS","FAIL")</f>
        <v/>
      </c>
      <c r="F6" s="10">
        <f>IF(Capacity_Usage!S6&gt;=Policy!$B$13,"PASS","FAIL")</f>
        <v/>
      </c>
      <c r="G6" s="10">
        <f>IF(Capacity_Usage!S6+Capacity_Usage!N6&gt;=Policy!$B$13,"PASS","FAIL")</f>
        <v/>
      </c>
      <c r="H6" s="10">
        <f>IF(Capacity_Usage!P6+Setup!$B$7&lt;=Capacity_Usage!O6-Policy!$B$13,"PASS","FAIL")</f>
        <v/>
      </c>
      <c r="I6" s="10">
        <f>IF(D6="PASS","YES","NO")</f>
        <v/>
      </c>
      <c r="J6" s="10">
        <f>IF(AND(E6="PASS",H6="PASS"),"YES","NO")</f>
        <v/>
      </c>
      <c r="K6" s="10">
        <f>IF(AND(F6="PASS",G6="PASS"),"YES","NO")</f>
        <v/>
      </c>
    </row>
    <row r="7">
      <c r="A7" s="10">
        <f>Capacity_Usage!B7</f>
        <v/>
      </c>
      <c r="B7" s="10">
        <f>Capacity_Usage!C7</f>
        <v/>
      </c>
      <c r="C7" s="10">
        <f>Setup!$B$7</f>
        <v/>
      </c>
      <c r="D7" s="10">
        <f>IF(AND(Capacity_Usage!K7&gt;=Setup!$B$7,Capacity_Usage!K7-Setup!$B$7&gt;=Policy!$B$15),"PASS","FAIL")</f>
        <v/>
      </c>
      <c r="E7" s="10">
        <f>IF(AND(Capacity_Usage!N7&gt;=Setup!$B$7,Capacity_Usage!Q7-Setup!$B$7&gt;=Policy!$B$16),"PASS","FAIL")</f>
        <v/>
      </c>
      <c r="F7" s="10">
        <f>IF(Capacity_Usage!S7&gt;=Policy!$B$13,"PASS","FAIL")</f>
        <v/>
      </c>
      <c r="G7" s="10">
        <f>IF(Capacity_Usage!S7+Capacity_Usage!N7&gt;=Policy!$B$13,"PASS","FAIL")</f>
        <v/>
      </c>
      <c r="H7" s="10">
        <f>IF(Capacity_Usage!P7+Setup!$B$7&lt;=Capacity_Usage!O7-Policy!$B$13,"PASS","FAIL")</f>
        <v/>
      </c>
      <c r="I7" s="10">
        <f>IF(D7="PASS","YES","NO")</f>
        <v/>
      </c>
      <c r="J7" s="10">
        <f>IF(AND(E7="PASS",H7="PASS"),"YES","NO")</f>
        <v/>
      </c>
      <c r="K7" s="10">
        <f>IF(AND(F7="PASS",G7="PASS"),"YES","NO")</f>
        <v/>
      </c>
    </row>
    <row r="8">
      <c r="A8" s="10">
        <f>Capacity_Usage!B8</f>
        <v/>
      </c>
      <c r="B8" s="10">
        <f>Capacity_Usage!C8</f>
        <v/>
      </c>
      <c r="C8" s="10">
        <f>Setup!$B$7</f>
        <v/>
      </c>
      <c r="D8" s="10">
        <f>IF(AND(Capacity_Usage!K8&gt;=Setup!$B$7,Capacity_Usage!K8-Setup!$B$7&gt;=Policy!$B$15),"PASS","FAIL")</f>
        <v/>
      </c>
      <c r="E8" s="10">
        <f>IF(AND(Capacity_Usage!N8&gt;=Setup!$B$7,Capacity_Usage!Q8-Setup!$B$7&gt;=Policy!$B$16),"PASS","FAIL")</f>
        <v/>
      </c>
      <c r="F8" s="10">
        <f>IF(Capacity_Usage!S8&gt;=Policy!$B$13,"PASS","FAIL")</f>
        <v/>
      </c>
      <c r="G8" s="10">
        <f>IF(Capacity_Usage!S8+Capacity_Usage!N8&gt;=Policy!$B$13,"PASS","FAIL")</f>
        <v/>
      </c>
      <c r="H8" s="10">
        <f>IF(Capacity_Usage!P8+Setup!$B$7&lt;=Capacity_Usage!O8-Policy!$B$13,"PASS","FAIL")</f>
        <v/>
      </c>
      <c r="I8" s="10">
        <f>IF(D8="PASS","YES","NO")</f>
        <v/>
      </c>
      <c r="J8" s="10">
        <f>IF(AND(E8="PASS",H8="PASS"),"YES","NO")</f>
        <v/>
      </c>
      <c r="K8" s="10">
        <f>IF(AND(F8="PASS",G8="PASS"),"YES","NO")</f>
        <v/>
      </c>
    </row>
    <row r="9">
      <c r="A9" s="10">
        <f>Capacity_Usage!B9</f>
        <v/>
      </c>
      <c r="B9" s="10">
        <f>Capacity_Usage!C9</f>
        <v/>
      </c>
      <c r="C9" s="10">
        <f>Setup!$B$7</f>
        <v/>
      </c>
      <c r="D9" s="10">
        <f>IF(AND(Capacity_Usage!K9&gt;=Setup!$B$7,Capacity_Usage!K9-Setup!$B$7&gt;=Policy!$B$15),"PASS","FAIL")</f>
        <v/>
      </c>
      <c r="E9" s="10">
        <f>IF(AND(Capacity_Usage!N9&gt;=Setup!$B$7,Capacity_Usage!Q9-Setup!$B$7&gt;=Policy!$B$16),"PASS","FAIL")</f>
        <v/>
      </c>
      <c r="F9" s="10">
        <f>IF(Capacity_Usage!S9&gt;=Policy!$B$13,"PASS","FAIL")</f>
        <v/>
      </c>
      <c r="G9" s="10">
        <f>IF(Capacity_Usage!S9+Capacity_Usage!N9&gt;=Policy!$B$13,"PASS","FAIL")</f>
        <v/>
      </c>
      <c r="H9" s="10">
        <f>IF(Capacity_Usage!P9+Setup!$B$7&lt;=Capacity_Usage!O9-Policy!$B$13,"PASS","FAIL")</f>
        <v/>
      </c>
      <c r="I9" s="10">
        <f>IF(D9="PASS","YES","NO")</f>
        <v/>
      </c>
      <c r="J9" s="10">
        <f>IF(AND(E9="PASS",H9="PASS"),"YES","NO")</f>
        <v/>
      </c>
      <c r="K9" s="10">
        <f>IF(AND(F9="PASS",G9="PASS"),"YES","NO")</f>
        <v/>
      </c>
    </row>
    <row r="10">
      <c r="A10" s="10">
        <f>Capacity_Usage!B10</f>
        <v/>
      </c>
      <c r="B10" s="10">
        <f>Capacity_Usage!C10</f>
        <v/>
      </c>
      <c r="C10" s="10">
        <f>Setup!$B$7</f>
        <v/>
      </c>
      <c r="D10" s="10">
        <f>IF(AND(Capacity_Usage!K10&gt;=Setup!$B$7,Capacity_Usage!K10-Setup!$B$7&gt;=Policy!$B$15),"PASS","FAIL")</f>
        <v/>
      </c>
      <c r="E10" s="10">
        <f>IF(AND(Capacity_Usage!N10&gt;=Setup!$B$7,Capacity_Usage!Q10-Setup!$B$7&gt;=Policy!$B$16),"PASS","FAIL")</f>
        <v/>
      </c>
      <c r="F10" s="10">
        <f>IF(Capacity_Usage!S10&gt;=Policy!$B$13,"PASS","FAIL")</f>
        <v/>
      </c>
      <c r="G10" s="10">
        <f>IF(Capacity_Usage!S10+Capacity_Usage!N10&gt;=Policy!$B$13,"PASS","FAIL")</f>
        <v/>
      </c>
      <c r="H10" s="10">
        <f>IF(Capacity_Usage!P10+Setup!$B$7&lt;=Capacity_Usage!O10-Policy!$B$13,"PASS","FAIL")</f>
        <v/>
      </c>
      <c r="I10" s="10">
        <f>IF(D10="PASS","YES","NO")</f>
        <v/>
      </c>
      <c r="J10" s="10">
        <f>IF(AND(E10="PASS",H10="PASS"),"YES","NO")</f>
        <v/>
      </c>
      <c r="K10" s="10">
        <f>IF(AND(F10="PASS",G10="PASS"),"YES","NO")</f>
        <v/>
      </c>
    </row>
    <row r="11">
      <c r="A11" s="10">
        <f>Capacity_Usage!B11</f>
        <v/>
      </c>
      <c r="B11" s="10">
        <f>Capacity_Usage!C11</f>
        <v/>
      </c>
      <c r="C11" s="10">
        <f>Setup!$B$7</f>
        <v/>
      </c>
      <c r="D11" s="10">
        <f>IF(AND(Capacity_Usage!K11&gt;=Setup!$B$7,Capacity_Usage!K11-Setup!$B$7&gt;=Policy!$B$15),"PASS","FAIL")</f>
        <v/>
      </c>
      <c r="E11" s="10">
        <f>IF(AND(Capacity_Usage!N11&gt;=Setup!$B$7,Capacity_Usage!Q11-Setup!$B$7&gt;=Policy!$B$16),"PASS","FAIL")</f>
        <v/>
      </c>
      <c r="F11" s="10">
        <f>IF(Capacity_Usage!S11&gt;=Policy!$B$13,"PASS","FAIL")</f>
        <v/>
      </c>
      <c r="G11" s="10">
        <f>IF(Capacity_Usage!S11+Capacity_Usage!N11&gt;=Policy!$B$13,"PASS","FAIL")</f>
        <v/>
      </c>
      <c r="H11" s="10">
        <f>IF(Capacity_Usage!P11+Setup!$B$7&lt;=Capacity_Usage!O11-Policy!$B$13,"PASS","FAIL")</f>
        <v/>
      </c>
      <c r="I11" s="10">
        <f>IF(D11="PASS","YES","NO")</f>
        <v/>
      </c>
      <c r="J11" s="10">
        <f>IF(AND(E11="PASS",H11="PASS"),"YES","NO")</f>
        <v/>
      </c>
      <c r="K11" s="10">
        <f>IF(AND(F11="PASS",G11="PASS"),"YES","NO")</f>
        <v/>
      </c>
    </row>
    <row r="12">
      <c r="A12" s="10">
        <f>Capacity_Usage!B12</f>
        <v/>
      </c>
      <c r="B12" s="10">
        <f>Capacity_Usage!C12</f>
        <v/>
      </c>
      <c r="C12" s="10">
        <f>Setup!$B$7</f>
        <v/>
      </c>
      <c r="D12" s="10">
        <f>IF(AND(Capacity_Usage!K12&gt;=Setup!$B$7,Capacity_Usage!K12-Setup!$B$7&gt;=Policy!$B$15),"PASS","FAIL")</f>
        <v/>
      </c>
      <c r="E12" s="10">
        <f>IF(AND(Capacity_Usage!N12&gt;=Setup!$B$7,Capacity_Usage!Q12-Setup!$B$7&gt;=Policy!$B$16),"PASS","FAIL")</f>
        <v/>
      </c>
      <c r="F12" s="10">
        <f>IF(Capacity_Usage!S12&gt;=Policy!$B$13,"PASS","FAIL")</f>
        <v/>
      </c>
      <c r="G12" s="10">
        <f>IF(Capacity_Usage!S12+Capacity_Usage!N12&gt;=Policy!$B$13,"PASS","FAIL")</f>
        <v/>
      </c>
      <c r="H12" s="10">
        <f>IF(Capacity_Usage!P12+Setup!$B$7&lt;=Capacity_Usage!O12-Policy!$B$13,"PASS","FAIL")</f>
        <v/>
      </c>
      <c r="I12" s="10">
        <f>IF(D12="PASS","YES","NO")</f>
        <v/>
      </c>
      <c r="J12" s="10">
        <f>IF(AND(E12="PASS",H12="PASS"),"YES","NO")</f>
        <v/>
      </c>
      <c r="K12" s="10">
        <f>IF(AND(F12="PASS",G12="PASS"),"YES","NO")</f>
        <v/>
      </c>
    </row>
    <row r="13">
      <c r="A13" s="10">
        <f>Capacity_Usage!B13</f>
        <v/>
      </c>
      <c r="B13" s="10">
        <f>Capacity_Usage!C13</f>
        <v/>
      </c>
      <c r="C13" s="10">
        <f>Setup!$B$7</f>
        <v/>
      </c>
      <c r="D13" s="10">
        <f>IF(AND(Capacity_Usage!K13&gt;=Setup!$B$7,Capacity_Usage!K13-Setup!$B$7&gt;=Policy!$B$15),"PASS","FAIL")</f>
        <v/>
      </c>
      <c r="E13" s="10">
        <f>IF(AND(Capacity_Usage!N13&gt;=Setup!$B$7,Capacity_Usage!Q13-Setup!$B$7&gt;=Policy!$B$16),"PASS","FAIL")</f>
        <v/>
      </c>
      <c r="F13" s="10">
        <f>IF(Capacity_Usage!S13&gt;=Policy!$B$13,"PASS","FAIL")</f>
        <v/>
      </c>
      <c r="G13" s="10">
        <f>IF(Capacity_Usage!S13+Capacity_Usage!N13&gt;=Policy!$B$13,"PASS","FAIL")</f>
        <v/>
      </c>
      <c r="H13" s="10">
        <f>IF(Capacity_Usage!P13+Setup!$B$7&lt;=Capacity_Usage!O13-Policy!$B$13,"PASS","FAIL")</f>
        <v/>
      </c>
      <c r="I13" s="10">
        <f>IF(D13="PASS","YES","NO")</f>
        <v/>
      </c>
      <c r="J13" s="10">
        <f>IF(AND(E13="PASS",H13="PASS"),"YES","NO")</f>
        <v/>
      </c>
      <c r="K13" s="10">
        <f>IF(AND(F13="PASS",G13="PASS"),"YES","NO")</f>
        <v/>
      </c>
    </row>
    <row r="14">
      <c r="A14" s="10">
        <f>Capacity_Usage!B14</f>
        <v/>
      </c>
      <c r="B14" s="10">
        <f>Capacity_Usage!C14</f>
        <v/>
      </c>
      <c r="C14" s="10">
        <f>Setup!$B$7</f>
        <v/>
      </c>
      <c r="D14" s="10">
        <f>IF(AND(Capacity_Usage!K14&gt;=Setup!$B$7,Capacity_Usage!K14-Setup!$B$7&gt;=Policy!$B$15),"PASS","FAIL")</f>
        <v/>
      </c>
      <c r="E14" s="10">
        <f>IF(AND(Capacity_Usage!N14&gt;=Setup!$B$7,Capacity_Usage!Q14-Setup!$B$7&gt;=Policy!$B$16),"PASS","FAIL")</f>
        <v/>
      </c>
      <c r="F14" s="10">
        <f>IF(Capacity_Usage!S14&gt;=Policy!$B$13,"PASS","FAIL")</f>
        <v/>
      </c>
      <c r="G14" s="10">
        <f>IF(Capacity_Usage!S14+Capacity_Usage!N14&gt;=Policy!$B$13,"PASS","FAIL")</f>
        <v/>
      </c>
      <c r="H14" s="10">
        <f>IF(Capacity_Usage!P14+Setup!$B$7&lt;=Capacity_Usage!O14-Policy!$B$13,"PASS","FAIL")</f>
        <v/>
      </c>
      <c r="I14" s="10">
        <f>IF(D14="PASS","YES","NO")</f>
        <v/>
      </c>
      <c r="J14" s="10">
        <f>IF(AND(E14="PASS",H14="PASS"),"YES","NO")</f>
        <v/>
      </c>
      <c r="K14" s="10">
        <f>IF(AND(F14="PASS",G14="PASS"),"YES","NO")</f>
        <v/>
      </c>
    </row>
    <row r="15">
      <c r="A15" s="10">
        <f>Capacity_Usage!B15</f>
        <v/>
      </c>
      <c r="B15" s="10">
        <f>Capacity_Usage!C15</f>
        <v/>
      </c>
      <c r="C15" s="10">
        <f>Setup!$B$7</f>
        <v/>
      </c>
      <c r="D15" s="10">
        <f>IF(AND(Capacity_Usage!K15&gt;=Setup!$B$7,Capacity_Usage!K15-Setup!$B$7&gt;=Policy!$B$15),"PASS","FAIL")</f>
        <v/>
      </c>
      <c r="E15" s="10">
        <f>IF(AND(Capacity_Usage!N15&gt;=Setup!$B$7,Capacity_Usage!Q15-Setup!$B$7&gt;=Policy!$B$16),"PASS","FAIL")</f>
        <v/>
      </c>
      <c r="F15" s="10">
        <f>IF(Capacity_Usage!S15&gt;=Policy!$B$13,"PASS","FAIL")</f>
        <v/>
      </c>
      <c r="G15" s="10">
        <f>IF(Capacity_Usage!S15+Capacity_Usage!N15&gt;=Policy!$B$13,"PASS","FAIL")</f>
        <v/>
      </c>
      <c r="H15" s="10">
        <f>IF(Capacity_Usage!P15+Setup!$B$7&lt;=Capacity_Usage!O15-Policy!$B$13,"PASS","FAIL")</f>
        <v/>
      </c>
      <c r="I15" s="10">
        <f>IF(D15="PASS","YES","NO")</f>
        <v/>
      </c>
      <c r="J15" s="10">
        <f>IF(AND(E15="PASS",H15="PASS"),"YES","NO")</f>
        <v/>
      </c>
      <c r="K15" s="10">
        <f>IF(AND(F15="PASS",G15="PASS"),"YES","NO")</f>
        <v/>
      </c>
    </row>
    <row r="16">
      <c r="A16" s="10">
        <f>Capacity_Usage!B16</f>
        <v/>
      </c>
      <c r="B16" s="10">
        <f>Capacity_Usage!C16</f>
        <v/>
      </c>
      <c r="C16" s="10">
        <f>Setup!$B$7</f>
        <v/>
      </c>
      <c r="D16" s="10">
        <f>IF(AND(Capacity_Usage!K16&gt;=Setup!$B$7,Capacity_Usage!K16-Setup!$B$7&gt;=Policy!$B$15),"PASS","FAIL")</f>
        <v/>
      </c>
      <c r="E16" s="10">
        <f>IF(AND(Capacity_Usage!N16&gt;=Setup!$B$7,Capacity_Usage!Q16-Setup!$B$7&gt;=Policy!$B$16),"PASS","FAIL")</f>
        <v/>
      </c>
      <c r="F16" s="10">
        <f>IF(Capacity_Usage!S16&gt;=Policy!$B$13,"PASS","FAIL")</f>
        <v/>
      </c>
      <c r="G16" s="10">
        <f>IF(Capacity_Usage!S16+Capacity_Usage!N16&gt;=Policy!$B$13,"PASS","FAIL")</f>
        <v/>
      </c>
      <c r="H16" s="10">
        <f>IF(Capacity_Usage!P16+Setup!$B$7&lt;=Capacity_Usage!O16-Policy!$B$13,"PASS","FAIL")</f>
        <v/>
      </c>
      <c r="I16" s="10">
        <f>IF(D16="PASS","YES","NO")</f>
        <v/>
      </c>
      <c r="J16" s="10">
        <f>IF(AND(E16="PASS",H16="PASS"),"YES","NO")</f>
        <v/>
      </c>
      <c r="K16" s="10">
        <f>IF(AND(F16="PASS",G16="PASS"),"YES","NO")</f>
        <v/>
      </c>
    </row>
    <row r="17">
      <c r="A17" s="10">
        <f>Capacity_Usage!B17</f>
        <v/>
      </c>
      <c r="B17" s="10">
        <f>Capacity_Usage!C17</f>
        <v/>
      </c>
      <c r="C17" s="10">
        <f>Setup!$B$7</f>
        <v/>
      </c>
      <c r="D17" s="10">
        <f>IF(AND(Capacity_Usage!K17&gt;=Setup!$B$7,Capacity_Usage!K17-Setup!$B$7&gt;=Policy!$B$15),"PASS","FAIL")</f>
        <v/>
      </c>
      <c r="E17" s="10">
        <f>IF(AND(Capacity_Usage!N17&gt;=Setup!$B$7,Capacity_Usage!Q17-Setup!$B$7&gt;=Policy!$B$16),"PASS","FAIL")</f>
        <v/>
      </c>
      <c r="F17" s="10">
        <f>IF(Capacity_Usage!S17&gt;=Policy!$B$13,"PASS","FAIL")</f>
        <v/>
      </c>
      <c r="G17" s="10">
        <f>IF(Capacity_Usage!S17+Capacity_Usage!N17&gt;=Policy!$B$13,"PASS","FAIL")</f>
        <v/>
      </c>
      <c r="H17" s="10">
        <f>IF(Capacity_Usage!P17+Setup!$B$7&lt;=Capacity_Usage!O17-Policy!$B$13,"PASS","FAIL")</f>
        <v/>
      </c>
      <c r="I17" s="10">
        <f>IF(D17="PASS","YES","NO")</f>
        <v/>
      </c>
      <c r="J17" s="10">
        <f>IF(AND(E17="PASS",H17="PASS"),"YES","NO")</f>
        <v/>
      </c>
      <c r="K17" s="10">
        <f>IF(AND(F17="PASS",G17="PASS"),"YES","NO")</f>
        <v/>
      </c>
    </row>
    <row r="18">
      <c r="A18" s="10">
        <f>Capacity_Usage!B18</f>
        <v/>
      </c>
      <c r="B18" s="10">
        <f>Capacity_Usage!C18</f>
        <v/>
      </c>
      <c r="C18" s="10">
        <f>Setup!$B$7</f>
        <v/>
      </c>
      <c r="D18" s="10">
        <f>IF(AND(Capacity_Usage!K18&gt;=Setup!$B$7,Capacity_Usage!K18-Setup!$B$7&gt;=Policy!$B$15),"PASS","FAIL")</f>
        <v/>
      </c>
      <c r="E18" s="10">
        <f>IF(AND(Capacity_Usage!N18&gt;=Setup!$B$7,Capacity_Usage!Q18-Setup!$B$7&gt;=Policy!$B$16),"PASS","FAIL")</f>
        <v/>
      </c>
      <c r="F18" s="10">
        <f>IF(Capacity_Usage!S18&gt;=Policy!$B$13,"PASS","FAIL")</f>
        <v/>
      </c>
      <c r="G18" s="10">
        <f>IF(Capacity_Usage!S18+Capacity_Usage!N18&gt;=Policy!$B$13,"PASS","FAIL")</f>
        <v/>
      </c>
      <c r="H18" s="10">
        <f>IF(Capacity_Usage!P18+Setup!$B$7&lt;=Capacity_Usage!O18-Policy!$B$13,"PASS","FAIL")</f>
        <v/>
      </c>
      <c r="I18" s="10">
        <f>IF(D18="PASS","YES","NO")</f>
        <v/>
      </c>
      <c r="J18" s="10">
        <f>IF(AND(E18="PASS",H18="PASS"),"YES","NO")</f>
        <v/>
      </c>
      <c r="K18" s="10">
        <f>IF(AND(F18="PASS",G18="PASS"),"YES","NO")</f>
        <v/>
      </c>
    </row>
  </sheetData>
  <conditionalFormatting sqref="D4:H18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I4:K18">
    <cfRule type="cellIs" priority="3" operator="equal" dxfId="0">
      <formula>"YES"</formula>
    </cfRule>
    <cfRule type="cellIs" priority="4" operator="equal" dxfId="1">
      <formula>"NO"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6" customWidth="1" min="19" max="19"/>
    <col width="18" customWidth="1" min="20" max="20"/>
  </cols>
  <sheetData>
    <row r="1">
      <c r="A1" s="7" t="inlineStr">
        <is>
          <t>PS_Prod — Production Placement Score</t>
        </is>
      </c>
      <c r="S1" s="23" t="inlineStr">
        <is>
          <t>PROD WINNER</t>
        </is>
      </c>
    </row>
    <row r="2">
      <c r="S2" s="14" t="inlineStr">
        <is>
          <t>Selection mode</t>
        </is>
      </c>
      <c r="T2">
        <f>IF(Setup!$B$8="","Engine argmax","Customer-supplied")</f>
        <v/>
      </c>
    </row>
    <row r="3">
      <c r="A3" s="9" t="inlineStr">
        <is>
          <t>Region</t>
        </is>
      </c>
      <c r="B3" s="9" t="inlineStr">
        <is>
          <t>Geography</t>
        </is>
      </c>
      <c r="C3" s="9" t="inlineStr">
        <is>
          <t>InScope</t>
        </is>
      </c>
      <c r="D3" s="9" t="inlineStr">
        <is>
          <t>Eligible</t>
        </is>
      </c>
      <c r="E3" s="9" t="inlineStr">
        <is>
          <t>total_cust</t>
        </is>
      </c>
      <c r="F3" s="9" t="inlineStr">
        <is>
          <t>α_raw</t>
        </is>
      </c>
      <c r="G3" s="9" t="inlineStr">
        <is>
          <t>α_c</t>
        </is>
      </c>
      <c r="H3" s="9" t="inlineStr">
        <is>
          <t>β_raw</t>
        </is>
      </c>
      <c r="I3" s="9" t="inlineStr">
        <is>
          <t>β_c</t>
        </is>
      </c>
      <c r="J3" s="9" t="inlineStr">
        <is>
          <t>γ_raw</t>
        </is>
      </c>
      <c r="K3" s="9" t="inlineStr">
        <is>
          <t>γ_c</t>
        </is>
      </c>
      <c r="L3" s="9" t="inlineStr">
        <is>
          <t>δ_raw</t>
        </is>
      </c>
      <c r="M3" s="9" t="inlineStr">
        <is>
          <t>δ_c</t>
        </is>
      </c>
      <c r="N3" s="9" t="inlineStr">
        <is>
          <t>ε_raw</t>
        </is>
      </c>
      <c r="O3" s="9" t="inlineStr">
        <is>
          <t>ε_c</t>
        </is>
      </c>
      <c r="P3" s="9" t="inlineStr">
        <is>
          <t>PS</t>
        </is>
      </c>
      <c r="Q3" s="9" t="inlineStr">
        <is>
          <t>Candidate</t>
        </is>
      </c>
      <c r="S3" s="14" t="inlineStr">
        <is>
          <t>Region</t>
        </is>
      </c>
      <c r="T3">
        <f>IF(Setup!$B$8&lt;&gt;"",Setup!$B$8,IF(MAX(Q4:Q18)&lt;0,"NONE ELIGIBLE",INDEX(A4:A18,MATCH(MAX(Q4:Q18),Q4:Q18,0))))</f>
        <v/>
      </c>
    </row>
    <row r="4">
      <c r="A4" s="10">
        <f>Capacity_Usage!B4</f>
        <v/>
      </c>
      <c r="B4" s="10">
        <f>Capacity_Usage!C4</f>
        <v/>
      </c>
      <c r="C4" s="10">
        <f>IF(Capacity_Usage!C4=Setup!$B$3,1,0)</f>
        <v/>
      </c>
      <c r="D4" s="10">
        <f>IF(HC_Gate!I4="YES",1,0)</f>
        <v/>
      </c>
      <c r="E4" s="10">
        <f>IF(Policy!$B$10=1,SUMIFS(Capacity_Usage!$U$4:$U$18,Capacity_Usage!$C$4:$C$18,Capacity_Usage!C4),IF(Policy!$B$10=2,VLOOKUP(Capacity_Usage!C4,Policy!$D$11:$E$15,2,FALSE),Policy!$B$11))</f>
        <v/>
      </c>
      <c r="F4" s="24">
        <f>IFERROR(Capacity_Usage!N4/Capacity_Usage!F4,0)</f>
        <v/>
      </c>
      <c r="G4" s="24">
        <f>MIN(MAX(F4,0),1)</f>
        <v/>
      </c>
      <c r="H4" s="24">
        <f>IFERROR(Capacity_Usage!K4/Capacity_Usage!I4,0)</f>
        <v/>
      </c>
      <c r="I4" s="24">
        <f>MIN(MAX(H4,0),1)</f>
        <v/>
      </c>
      <c r="J4" s="24">
        <f>IFERROR(1-Capacity_Usage!U4/E4,0)</f>
        <v/>
      </c>
      <c r="K4" s="24">
        <f>MIN(MAX(J4,0),1)</f>
        <v/>
      </c>
      <c r="L4" s="24">
        <f>IFERROR(Capacity_Usage!T4,0)</f>
        <v/>
      </c>
      <c r="M4" s="24">
        <f>MIN(MAX(L4,0),1)</f>
        <v/>
      </c>
      <c r="N4" s="24">
        <f>Capacity_Usage!E4/3</f>
        <v/>
      </c>
      <c r="O4" s="24">
        <f>MIN(MAX(N4,0),1)</f>
        <v/>
      </c>
      <c r="P4" s="24">
        <f>Policy!$B$2*G4+Policy!$B$3*I4+Policy!$B$4*K4+Policy!$B$5*M4+Policy!$B$6*O4</f>
        <v/>
      </c>
      <c r="Q4" s="10">
        <f>IF(AND(C4=1,D4=1),P4,-1)</f>
        <v/>
      </c>
      <c r="S4" s="14" t="inlineStr">
        <is>
          <t>Score</t>
        </is>
      </c>
      <c r="T4" s="25">
        <f>IF(Setup!$B$8&lt;&gt;"",INDEX(P4:P18,MATCH(Setup!$B$8,A4:A18,0)),IF(MAX(Q4:Q18)&lt;0,"",MAX(Q4:Q18)))</f>
        <v/>
      </c>
    </row>
    <row r="5">
      <c r="A5" s="10">
        <f>Capacity_Usage!B5</f>
        <v/>
      </c>
      <c r="B5" s="10">
        <f>Capacity_Usage!C5</f>
        <v/>
      </c>
      <c r="C5" s="10">
        <f>IF(Capacity_Usage!C5=Setup!$B$3,1,0)</f>
        <v/>
      </c>
      <c r="D5" s="10">
        <f>IF(HC_Gate!I5="YES",1,0)</f>
        <v/>
      </c>
      <c r="E5" s="10">
        <f>IF(Policy!$B$10=1,SUMIFS(Capacity_Usage!$U$4:$U$18,Capacity_Usage!$C$4:$C$18,Capacity_Usage!C5),IF(Policy!$B$10=2,VLOOKUP(Capacity_Usage!C5,Policy!$D$11:$E$15,2,FALSE),Policy!$B$11))</f>
        <v/>
      </c>
      <c r="F5" s="24">
        <f>IFERROR(Capacity_Usage!N5/Capacity_Usage!F5,0)</f>
        <v/>
      </c>
      <c r="G5" s="24">
        <f>MIN(MAX(F5,0),1)</f>
        <v/>
      </c>
      <c r="H5" s="24">
        <f>IFERROR(Capacity_Usage!K5/Capacity_Usage!I5,0)</f>
        <v/>
      </c>
      <c r="I5" s="24">
        <f>MIN(MAX(H5,0),1)</f>
        <v/>
      </c>
      <c r="J5" s="24">
        <f>IFERROR(1-Capacity_Usage!U5/E5,0)</f>
        <v/>
      </c>
      <c r="K5" s="24">
        <f>MIN(MAX(J5,0),1)</f>
        <v/>
      </c>
      <c r="L5" s="24">
        <f>IFERROR(Capacity_Usage!T5,0)</f>
        <v/>
      </c>
      <c r="M5" s="24">
        <f>MIN(MAX(L5,0),1)</f>
        <v/>
      </c>
      <c r="N5" s="24">
        <f>Capacity_Usage!E5/3</f>
        <v/>
      </c>
      <c r="O5" s="24">
        <f>MIN(MAX(N5,0),1)</f>
        <v/>
      </c>
      <c r="P5" s="24">
        <f>Policy!$B$2*G5+Policy!$B$3*I5+Policy!$B$4*K5+Policy!$B$5*M5+Policy!$B$6*O5</f>
        <v/>
      </c>
      <c r="Q5" s="10">
        <f>IF(AND(C5=1,D5=1),P5,-1)</f>
        <v/>
      </c>
    </row>
    <row r="6">
      <c r="A6" s="10">
        <f>Capacity_Usage!B6</f>
        <v/>
      </c>
      <c r="B6" s="10">
        <f>Capacity_Usage!C6</f>
        <v/>
      </c>
      <c r="C6" s="10">
        <f>IF(Capacity_Usage!C6=Setup!$B$3,1,0)</f>
        <v/>
      </c>
      <c r="D6" s="10">
        <f>IF(HC_Gate!I6="YES",1,0)</f>
        <v/>
      </c>
      <c r="E6" s="10">
        <f>IF(Policy!$B$10=1,SUMIFS(Capacity_Usage!$U$4:$U$18,Capacity_Usage!$C$4:$C$18,Capacity_Usage!C6),IF(Policy!$B$10=2,VLOOKUP(Capacity_Usage!C6,Policy!$D$11:$E$15,2,FALSE),Policy!$B$11))</f>
        <v/>
      </c>
      <c r="F6" s="24">
        <f>IFERROR(Capacity_Usage!N6/Capacity_Usage!F6,0)</f>
        <v/>
      </c>
      <c r="G6" s="24">
        <f>MIN(MAX(F6,0),1)</f>
        <v/>
      </c>
      <c r="H6" s="24">
        <f>IFERROR(Capacity_Usage!K6/Capacity_Usage!I6,0)</f>
        <v/>
      </c>
      <c r="I6" s="24">
        <f>MIN(MAX(H6,0),1)</f>
        <v/>
      </c>
      <c r="J6" s="24">
        <f>IFERROR(1-Capacity_Usage!U6/E6,0)</f>
        <v/>
      </c>
      <c r="K6" s="24">
        <f>MIN(MAX(J6,0),1)</f>
        <v/>
      </c>
      <c r="L6" s="24">
        <f>IFERROR(Capacity_Usage!T6,0)</f>
        <v/>
      </c>
      <c r="M6" s="24">
        <f>MIN(MAX(L6,0),1)</f>
        <v/>
      </c>
      <c r="N6" s="24">
        <f>Capacity_Usage!E6/3</f>
        <v/>
      </c>
      <c r="O6" s="24">
        <f>MIN(MAX(N6,0),1)</f>
        <v/>
      </c>
      <c r="P6" s="24">
        <f>Policy!$B$2*G6+Policy!$B$3*I6+Policy!$B$4*K6+Policy!$B$5*M6+Policy!$B$6*O6</f>
        <v/>
      </c>
      <c r="Q6" s="10">
        <f>IF(AND(C6=1,D6=1),P6,-1)</f>
        <v/>
      </c>
    </row>
    <row r="7">
      <c r="A7" s="10">
        <f>Capacity_Usage!B7</f>
        <v/>
      </c>
      <c r="B7" s="10">
        <f>Capacity_Usage!C7</f>
        <v/>
      </c>
      <c r="C7" s="10">
        <f>IF(Capacity_Usage!C7=Setup!$B$3,1,0)</f>
        <v/>
      </c>
      <c r="D7" s="10">
        <f>IF(HC_Gate!I7="YES",1,0)</f>
        <v/>
      </c>
      <c r="E7" s="10">
        <f>IF(Policy!$B$10=1,SUMIFS(Capacity_Usage!$U$4:$U$18,Capacity_Usage!$C$4:$C$18,Capacity_Usage!C7),IF(Policy!$B$10=2,VLOOKUP(Capacity_Usage!C7,Policy!$D$11:$E$15,2,FALSE),Policy!$B$11))</f>
        <v/>
      </c>
      <c r="F7" s="24">
        <f>IFERROR(Capacity_Usage!N7/Capacity_Usage!F7,0)</f>
        <v/>
      </c>
      <c r="G7" s="24">
        <f>MIN(MAX(F7,0),1)</f>
        <v/>
      </c>
      <c r="H7" s="24">
        <f>IFERROR(Capacity_Usage!K7/Capacity_Usage!I7,0)</f>
        <v/>
      </c>
      <c r="I7" s="24">
        <f>MIN(MAX(H7,0),1)</f>
        <v/>
      </c>
      <c r="J7" s="24">
        <f>IFERROR(1-Capacity_Usage!U7/E7,0)</f>
        <v/>
      </c>
      <c r="K7" s="24">
        <f>MIN(MAX(J7,0),1)</f>
        <v/>
      </c>
      <c r="L7" s="24">
        <f>IFERROR(Capacity_Usage!T7,0)</f>
        <v/>
      </c>
      <c r="M7" s="24">
        <f>MIN(MAX(L7,0),1)</f>
        <v/>
      </c>
      <c r="N7" s="24">
        <f>Capacity_Usage!E7/3</f>
        <v/>
      </c>
      <c r="O7" s="24">
        <f>MIN(MAX(N7,0),1)</f>
        <v/>
      </c>
      <c r="P7" s="24">
        <f>Policy!$B$2*G7+Policy!$B$3*I7+Policy!$B$4*K7+Policy!$B$5*M7+Policy!$B$6*O7</f>
        <v/>
      </c>
      <c r="Q7" s="10">
        <f>IF(AND(C7=1,D7=1),P7,-1)</f>
        <v/>
      </c>
    </row>
    <row r="8">
      <c r="A8" s="10">
        <f>Capacity_Usage!B8</f>
        <v/>
      </c>
      <c r="B8" s="10">
        <f>Capacity_Usage!C8</f>
        <v/>
      </c>
      <c r="C8" s="10">
        <f>IF(Capacity_Usage!C8=Setup!$B$3,1,0)</f>
        <v/>
      </c>
      <c r="D8" s="10">
        <f>IF(HC_Gate!I8="YES",1,0)</f>
        <v/>
      </c>
      <c r="E8" s="10">
        <f>IF(Policy!$B$10=1,SUMIFS(Capacity_Usage!$U$4:$U$18,Capacity_Usage!$C$4:$C$18,Capacity_Usage!C8),IF(Policy!$B$10=2,VLOOKUP(Capacity_Usage!C8,Policy!$D$11:$E$15,2,FALSE),Policy!$B$11))</f>
        <v/>
      </c>
      <c r="F8" s="24">
        <f>IFERROR(Capacity_Usage!N8/Capacity_Usage!F8,0)</f>
        <v/>
      </c>
      <c r="G8" s="24">
        <f>MIN(MAX(F8,0),1)</f>
        <v/>
      </c>
      <c r="H8" s="24">
        <f>IFERROR(Capacity_Usage!K8/Capacity_Usage!I8,0)</f>
        <v/>
      </c>
      <c r="I8" s="24">
        <f>MIN(MAX(H8,0),1)</f>
        <v/>
      </c>
      <c r="J8" s="24">
        <f>IFERROR(1-Capacity_Usage!U8/E8,0)</f>
        <v/>
      </c>
      <c r="K8" s="24">
        <f>MIN(MAX(J8,0),1)</f>
        <v/>
      </c>
      <c r="L8" s="24">
        <f>IFERROR(Capacity_Usage!T8,0)</f>
        <v/>
      </c>
      <c r="M8" s="24">
        <f>MIN(MAX(L8,0),1)</f>
        <v/>
      </c>
      <c r="N8" s="24">
        <f>Capacity_Usage!E8/3</f>
        <v/>
      </c>
      <c r="O8" s="24">
        <f>MIN(MAX(N8,0),1)</f>
        <v/>
      </c>
      <c r="P8" s="24">
        <f>Policy!$B$2*G8+Policy!$B$3*I8+Policy!$B$4*K8+Policy!$B$5*M8+Policy!$B$6*O8</f>
        <v/>
      </c>
      <c r="Q8" s="10">
        <f>IF(AND(C8=1,D8=1),P8,-1)</f>
        <v/>
      </c>
    </row>
    <row r="9">
      <c r="A9" s="10">
        <f>Capacity_Usage!B9</f>
        <v/>
      </c>
      <c r="B9" s="10">
        <f>Capacity_Usage!C9</f>
        <v/>
      </c>
      <c r="C9" s="10">
        <f>IF(Capacity_Usage!C9=Setup!$B$3,1,0)</f>
        <v/>
      </c>
      <c r="D9" s="10">
        <f>IF(HC_Gate!I9="YES",1,0)</f>
        <v/>
      </c>
      <c r="E9" s="10">
        <f>IF(Policy!$B$10=1,SUMIFS(Capacity_Usage!$U$4:$U$18,Capacity_Usage!$C$4:$C$18,Capacity_Usage!C9),IF(Policy!$B$10=2,VLOOKUP(Capacity_Usage!C9,Policy!$D$11:$E$15,2,FALSE),Policy!$B$11))</f>
        <v/>
      </c>
      <c r="F9" s="24">
        <f>IFERROR(Capacity_Usage!N9/Capacity_Usage!F9,0)</f>
        <v/>
      </c>
      <c r="G9" s="24">
        <f>MIN(MAX(F9,0),1)</f>
        <v/>
      </c>
      <c r="H9" s="24">
        <f>IFERROR(Capacity_Usage!K9/Capacity_Usage!I9,0)</f>
        <v/>
      </c>
      <c r="I9" s="24">
        <f>MIN(MAX(H9,0),1)</f>
        <v/>
      </c>
      <c r="J9" s="24">
        <f>IFERROR(1-Capacity_Usage!U9/E9,0)</f>
        <v/>
      </c>
      <c r="K9" s="24">
        <f>MIN(MAX(J9,0),1)</f>
        <v/>
      </c>
      <c r="L9" s="24">
        <f>IFERROR(Capacity_Usage!T9,0)</f>
        <v/>
      </c>
      <c r="M9" s="24">
        <f>MIN(MAX(L9,0),1)</f>
        <v/>
      </c>
      <c r="N9" s="24">
        <f>Capacity_Usage!E9/3</f>
        <v/>
      </c>
      <c r="O9" s="24">
        <f>MIN(MAX(N9,0),1)</f>
        <v/>
      </c>
      <c r="P9" s="24">
        <f>Policy!$B$2*G9+Policy!$B$3*I9+Policy!$B$4*K9+Policy!$B$5*M9+Policy!$B$6*O9</f>
        <v/>
      </c>
      <c r="Q9" s="10">
        <f>IF(AND(C9=1,D9=1),P9,-1)</f>
        <v/>
      </c>
    </row>
    <row r="10">
      <c r="A10" s="10">
        <f>Capacity_Usage!B10</f>
        <v/>
      </c>
      <c r="B10" s="10">
        <f>Capacity_Usage!C10</f>
        <v/>
      </c>
      <c r="C10" s="10">
        <f>IF(Capacity_Usage!C10=Setup!$B$3,1,0)</f>
        <v/>
      </c>
      <c r="D10" s="10">
        <f>IF(HC_Gate!I10="YES",1,0)</f>
        <v/>
      </c>
      <c r="E10" s="10">
        <f>IF(Policy!$B$10=1,SUMIFS(Capacity_Usage!$U$4:$U$18,Capacity_Usage!$C$4:$C$18,Capacity_Usage!C10),IF(Policy!$B$10=2,VLOOKUP(Capacity_Usage!C10,Policy!$D$11:$E$15,2,FALSE),Policy!$B$11))</f>
        <v/>
      </c>
      <c r="F10" s="24">
        <f>IFERROR(Capacity_Usage!N10/Capacity_Usage!F10,0)</f>
        <v/>
      </c>
      <c r="G10" s="24">
        <f>MIN(MAX(F10,0),1)</f>
        <v/>
      </c>
      <c r="H10" s="24">
        <f>IFERROR(Capacity_Usage!K10/Capacity_Usage!I10,0)</f>
        <v/>
      </c>
      <c r="I10" s="24">
        <f>MIN(MAX(H10,0),1)</f>
        <v/>
      </c>
      <c r="J10" s="24">
        <f>IFERROR(1-Capacity_Usage!U10/E10,0)</f>
        <v/>
      </c>
      <c r="K10" s="24">
        <f>MIN(MAX(J10,0),1)</f>
        <v/>
      </c>
      <c r="L10" s="24">
        <f>IFERROR(Capacity_Usage!T10,0)</f>
        <v/>
      </c>
      <c r="M10" s="24">
        <f>MIN(MAX(L10,0),1)</f>
        <v/>
      </c>
      <c r="N10" s="24">
        <f>Capacity_Usage!E10/3</f>
        <v/>
      </c>
      <c r="O10" s="24">
        <f>MIN(MAX(N10,0),1)</f>
        <v/>
      </c>
      <c r="P10" s="24">
        <f>Policy!$B$2*G10+Policy!$B$3*I10+Policy!$B$4*K10+Policy!$B$5*M10+Policy!$B$6*O10</f>
        <v/>
      </c>
      <c r="Q10" s="10">
        <f>IF(AND(C10=1,D10=1),P10,-1)</f>
        <v/>
      </c>
    </row>
    <row r="11">
      <c r="A11" s="10">
        <f>Capacity_Usage!B11</f>
        <v/>
      </c>
      <c r="B11" s="10">
        <f>Capacity_Usage!C11</f>
        <v/>
      </c>
      <c r="C11" s="10">
        <f>IF(Capacity_Usage!C11=Setup!$B$3,1,0)</f>
        <v/>
      </c>
      <c r="D11" s="10">
        <f>IF(HC_Gate!I11="YES",1,0)</f>
        <v/>
      </c>
      <c r="E11" s="10">
        <f>IF(Policy!$B$10=1,SUMIFS(Capacity_Usage!$U$4:$U$18,Capacity_Usage!$C$4:$C$18,Capacity_Usage!C11),IF(Policy!$B$10=2,VLOOKUP(Capacity_Usage!C11,Policy!$D$11:$E$15,2,FALSE),Policy!$B$11))</f>
        <v/>
      </c>
      <c r="F11" s="24">
        <f>IFERROR(Capacity_Usage!N11/Capacity_Usage!F11,0)</f>
        <v/>
      </c>
      <c r="G11" s="24">
        <f>MIN(MAX(F11,0),1)</f>
        <v/>
      </c>
      <c r="H11" s="24">
        <f>IFERROR(Capacity_Usage!K11/Capacity_Usage!I11,0)</f>
        <v/>
      </c>
      <c r="I11" s="24">
        <f>MIN(MAX(H11,0),1)</f>
        <v/>
      </c>
      <c r="J11" s="24">
        <f>IFERROR(1-Capacity_Usage!U11/E11,0)</f>
        <v/>
      </c>
      <c r="K11" s="24">
        <f>MIN(MAX(J11,0),1)</f>
        <v/>
      </c>
      <c r="L11" s="24">
        <f>IFERROR(Capacity_Usage!T11,0)</f>
        <v/>
      </c>
      <c r="M11" s="24">
        <f>MIN(MAX(L11,0),1)</f>
        <v/>
      </c>
      <c r="N11" s="24">
        <f>Capacity_Usage!E11/3</f>
        <v/>
      </c>
      <c r="O11" s="24">
        <f>MIN(MAX(N11,0),1)</f>
        <v/>
      </c>
      <c r="P11" s="24">
        <f>Policy!$B$2*G11+Policy!$B$3*I11+Policy!$B$4*K11+Policy!$B$5*M11+Policy!$B$6*O11</f>
        <v/>
      </c>
      <c r="Q11" s="10">
        <f>IF(AND(C11=1,D11=1),P11,-1)</f>
        <v/>
      </c>
    </row>
    <row r="12">
      <c r="A12" s="10">
        <f>Capacity_Usage!B12</f>
        <v/>
      </c>
      <c r="B12" s="10">
        <f>Capacity_Usage!C12</f>
        <v/>
      </c>
      <c r="C12" s="10">
        <f>IF(Capacity_Usage!C12=Setup!$B$3,1,0)</f>
        <v/>
      </c>
      <c r="D12" s="10">
        <f>IF(HC_Gate!I12="YES",1,0)</f>
        <v/>
      </c>
      <c r="E12" s="10">
        <f>IF(Policy!$B$10=1,SUMIFS(Capacity_Usage!$U$4:$U$18,Capacity_Usage!$C$4:$C$18,Capacity_Usage!C12),IF(Policy!$B$10=2,VLOOKUP(Capacity_Usage!C12,Policy!$D$11:$E$15,2,FALSE),Policy!$B$11))</f>
        <v/>
      </c>
      <c r="F12" s="24">
        <f>IFERROR(Capacity_Usage!N12/Capacity_Usage!F12,0)</f>
        <v/>
      </c>
      <c r="G12" s="24">
        <f>MIN(MAX(F12,0),1)</f>
        <v/>
      </c>
      <c r="H12" s="24">
        <f>IFERROR(Capacity_Usage!K12/Capacity_Usage!I12,0)</f>
        <v/>
      </c>
      <c r="I12" s="24">
        <f>MIN(MAX(H12,0),1)</f>
        <v/>
      </c>
      <c r="J12" s="24">
        <f>IFERROR(1-Capacity_Usage!U12/E12,0)</f>
        <v/>
      </c>
      <c r="K12" s="24">
        <f>MIN(MAX(J12,0),1)</f>
        <v/>
      </c>
      <c r="L12" s="24">
        <f>IFERROR(Capacity_Usage!T12,0)</f>
        <v/>
      </c>
      <c r="M12" s="24">
        <f>MIN(MAX(L12,0),1)</f>
        <v/>
      </c>
      <c r="N12" s="24">
        <f>Capacity_Usage!E12/3</f>
        <v/>
      </c>
      <c r="O12" s="24">
        <f>MIN(MAX(N12,0),1)</f>
        <v/>
      </c>
      <c r="P12" s="24">
        <f>Policy!$B$2*G12+Policy!$B$3*I12+Policy!$B$4*K12+Policy!$B$5*M12+Policy!$B$6*O12</f>
        <v/>
      </c>
      <c r="Q12" s="10">
        <f>IF(AND(C12=1,D12=1),P12,-1)</f>
        <v/>
      </c>
    </row>
    <row r="13">
      <c r="A13" s="10">
        <f>Capacity_Usage!B13</f>
        <v/>
      </c>
      <c r="B13" s="10">
        <f>Capacity_Usage!C13</f>
        <v/>
      </c>
      <c r="C13" s="10">
        <f>IF(Capacity_Usage!C13=Setup!$B$3,1,0)</f>
        <v/>
      </c>
      <c r="D13" s="10">
        <f>IF(HC_Gate!I13="YES",1,0)</f>
        <v/>
      </c>
      <c r="E13" s="10">
        <f>IF(Policy!$B$10=1,SUMIFS(Capacity_Usage!$U$4:$U$18,Capacity_Usage!$C$4:$C$18,Capacity_Usage!C13),IF(Policy!$B$10=2,VLOOKUP(Capacity_Usage!C13,Policy!$D$11:$E$15,2,FALSE),Policy!$B$11))</f>
        <v/>
      </c>
      <c r="F13" s="24">
        <f>IFERROR(Capacity_Usage!N13/Capacity_Usage!F13,0)</f>
        <v/>
      </c>
      <c r="G13" s="24">
        <f>MIN(MAX(F13,0),1)</f>
        <v/>
      </c>
      <c r="H13" s="24">
        <f>IFERROR(Capacity_Usage!K13/Capacity_Usage!I13,0)</f>
        <v/>
      </c>
      <c r="I13" s="24">
        <f>MIN(MAX(H13,0),1)</f>
        <v/>
      </c>
      <c r="J13" s="24">
        <f>IFERROR(1-Capacity_Usage!U13/E13,0)</f>
        <v/>
      </c>
      <c r="K13" s="24">
        <f>MIN(MAX(J13,0),1)</f>
        <v/>
      </c>
      <c r="L13" s="24">
        <f>IFERROR(Capacity_Usage!T13,0)</f>
        <v/>
      </c>
      <c r="M13" s="24">
        <f>MIN(MAX(L13,0),1)</f>
        <v/>
      </c>
      <c r="N13" s="24">
        <f>Capacity_Usage!E13/3</f>
        <v/>
      </c>
      <c r="O13" s="24">
        <f>MIN(MAX(N13,0),1)</f>
        <v/>
      </c>
      <c r="P13" s="24">
        <f>Policy!$B$2*G13+Policy!$B$3*I13+Policy!$B$4*K13+Policy!$B$5*M13+Policy!$B$6*O13</f>
        <v/>
      </c>
      <c r="Q13" s="10">
        <f>IF(AND(C13=1,D13=1),P13,-1)</f>
        <v/>
      </c>
    </row>
    <row r="14">
      <c r="A14" s="10">
        <f>Capacity_Usage!B14</f>
        <v/>
      </c>
      <c r="B14" s="10">
        <f>Capacity_Usage!C14</f>
        <v/>
      </c>
      <c r="C14" s="10">
        <f>IF(Capacity_Usage!C14=Setup!$B$3,1,0)</f>
        <v/>
      </c>
      <c r="D14" s="10">
        <f>IF(HC_Gate!I14="YES",1,0)</f>
        <v/>
      </c>
      <c r="E14" s="10">
        <f>IF(Policy!$B$10=1,SUMIFS(Capacity_Usage!$U$4:$U$18,Capacity_Usage!$C$4:$C$18,Capacity_Usage!C14),IF(Policy!$B$10=2,VLOOKUP(Capacity_Usage!C14,Policy!$D$11:$E$15,2,FALSE),Policy!$B$11))</f>
        <v/>
      </c>
      <c r="F14" s="24">
        <f>IFERROR(Capacity_Usage!N14/Capacity_Usage!F14,0)</f>
        <v/>
      </c>
      <c r="G14" s="24">
        <f>MIN(MAX(F14,0),1)</f>
        <v/>
      </c>
      <c r="H14" s="24">
        <f>IFERROR(Capacity_Usage!K14/Capacity_Usage!I14,0)</f>
        <v/>
      </c>
      <c r="I14" s="24">
        <f>MIN(MAX(H14,0),1)</f>
        <v/>
      </c>
      <c r="J14" s="24">
        <f>IFERROR(1-Capacity_Usage!U14/E14,0)</f>
        <v/>
      </c>
      <c r="K14" s="24">
        <f>MIN(MAX(J14,0),1)</f>
        <v/>
      </c>
      <c r="L14" s="24">
        <f>IFERROR(Capacity_Usage!T14,0)</f>
        <v/>
      </c>
      <c r="M14" s="24">
        <f>MIN(MAX(L14,0),1)</f>
        <v/>
      </c>
      <c r="N14" s="24">
        <f>Capacity_Usage!E14/3</f>
        <v/>
      </c>
      <c r="O14" s="24">
        <f>MIN(MAX(N14,0),1)</f>
        <v/>
      </c>
      <c r="P14" s="24">
        <f>Policy!$B$2*G14+Policy!$B$3*I14+Policy!$B$4*K14+Policy!$B$5*M14+Policy!$B$6*O14</f>
        <v/>
      </c>
      <c r="Q14" s="10">
        <f>IF(AND(C14=1,D14=1),P14,-1)</f>
        <v/>
      </c>
    </row>
    <row r="15">
      <c r="A15" s="10">
        <f>Capacity_Usage!B15</f>
        <v/>
      </c>
      <c r="B15" s="10">
        <f>Capacity_Usage!C15</f>
        <v/>
      </c>
      <c r="C15" s="10">
        <f>IF(Capacity_Usage!C15=Setup!$B$3,1,0)</f>
        <v/>
      </c>
      <c r="D15" s="10">
        <f>IF(HC_Gate!I15="YES",1,0)</f>
        <v/>
      </c>
      <c r="E15" s="10">
        <f>IF(Policy!$B$10=1,SUMIFS(Capacity_Usage!$U$4:$U$18,Capacity_Usage!$C$4:$C$18,Capacity_Usage!C15),IF(Policy!$B$10=2,VLOOKUP(Capacity_Usage!C15,Policy!$D$11:$E$15,2,FALSE),Policy!$B$11))</f>
        <v/>
      </c>
      <c r="F15" s="24">
        <f>IFERROR(Capacity_Usage!N15/Capacity_Usage!F15,0)</f>
        <v/>
      </c>
      <c r="G15" s="24">
        <f>MIN(MAX(F15,0),1)</f>
        <v/>
      </c>
      <c r="H15" s="24">
        <f>IFERROR(Capacity_Usage!K15/Capacity_Usage!I15,0)</f>
        <v/>
      </c>
      <c r="I15" s="24">
        <f>MIN(MAX(H15,0),1)</f>
        <v/>
      </c>
      <c r="J15" s="24">
        <f>IFERROR(1-Capacity_Usage!U15/E15,0)</f>
        <v/>
      </c>
      <c r="K15" s="24">
        <f>MIN(MAX(J15,0),1)</f>
        <v/>
      </c>
      <c r="L15" s="24">
        <f>IFERROR(Capacity_Usage!T15,0)</f>
        <v/>
      </c>
      <c r="M15" s="24">
        <f>MIN(MAX(L15,0),1)</f>
        <v/>
      </c>
      <c r="N15" s="24">
        <f>Capacity_Usage!E15/3</f>
        <v/>
      </c>
      <c r="O15" s="24">
        <f>MIN(MAX(N15,0),1)</f>
        <v/>
      </c>
      <c r="P15" s="24">
        <f>Policy!$B$2*G15+Policy!$B$3*I15+Policy!$B$4*K15+Policy!$B$5*M15+Policy!$B$6*O15</f>
        <v/>
      </c>
      <c r="Q15" s="10">
        <f>IF(AND(C15=1,D15=1),P15,-1)</f>
        <v/>
      </c>
    </row>
    <row r="16">
      <c r="A16" s="10">
        <f>Capacity_Usage!B16</f>
        <v/>
      </c>
      <c r="B16" s="10">
        <f>Capacity_Usage!C16</f>
        <v/>
      </c>
      <c r="C16" s="10">
        <f>IF(Capacity_Usage!C16=Setup!$B$3,1,0)</f>
        <v/>
      </c>
      <c r="D16" s="10">
        <f>IF(HC_Gate!I16="YES",1,0)</f>
        <v/>
      </c>
      <c r="E16" s="10">
        <f>IF(Policy!$B$10=1,SUMIFS(Capacity_Usage!$U$4:$U$18,Capacity_Usage!$C$4:$C$18,Capacity_Usage!C16),IF(Policy!$B$10=2,VLOOKUP(Capacity_Usage!C16,Policy!$D$11:$E$15,2,FALSE),Policy!$B$11))</f>
        <v/>
      </c>
      <c r="F16" s="24">
        <f>IFERROR(Capacity_Usage!N16/Capacity_Usage!F16,0)</f>
        <v/>
      </c>
      <c r="G16" s="24">
        <f>MIN(MAX(F16,0),1)</f>
        <v/>
      </c>
      <c r="H16" s="24">
        <f>IFERROR(Capacity_Usage!K16/Capacity_Usage!I16,0)</f>
        <v/>
      </c>
      <c r="I16" s="24">
        <f>MIN(MAX(H16,0),1)</f>
        <v/>
      </c>
      <c r="J16" s="24">
        <f>IFERROR(1-Capacity_Usage!U16/E16,0)</f>
        <v/>
      </c>
      <c r="K16" s="24">
        <f>MIN(MAX(J16,0),1)</f>
        <v/>
      </c>
      <c r="L16" s="24">
        <f>IFERROR(Capacity_Usage!T16,0)</f>
        <v/>
      </c>
      <c r="M16" s="24">
        <f>MIN(MAX(L16,0),1)</f>
        <v/>
      </c>
      <c r="N16" s="24">
        <f>Capacity_Usage!E16/3</f>
        <v/>
      </c>
      <c r="O16" s="24">
        <f>MIN(MAX(N16,0),1)</f>
        <v/>
      </c>
      <c r="P16" s="24">
        <f>Policy!$B$2*G16+Policy!$B$3*I16+Policy!$B$4*K16+Policy!$B$5*M16+Policy!$B$6*O16</f>
        <v/>
      </c>
      <c r="Q16" s="10">
        <f>IF(AND(C16=1,D16=1),P16,-1)</f>
        <v/>
      </c>
    </row>
    <row r="17">
      <c r="A17" s="10">
        <f>Capacity_Usage!B17</f>
        <v/>
      </c>
      <c r="B17" s="10">
        <f>Capacity_Usage!C17</f>
        <v/>
      </c>
      <c r="C17" s="10">
        <f>IF(Capacity_Usage!C17=Setup!$B$3,1,0)</f>
        <v/>
      </c>
      <c r="D17" s="10">
        <f>IF(HC_Gate!I17="YES",1,0)</f>
        <v/>
      </c>
      <c r="E17" s="10">
        <f>IF(Policy!$B$10=1,SUMIFS(Capacity_Usage!$U$4:$U$18,Capacity_Usage!$C$4:$C$18,Capacity_Usage!C17),IF(Policy!$B$10=2,VLOOKUP(Capacity_Usage!C17,Policy!$D$11:$E$15,2,FALSE),Policy!$B$11))</f>
        <v/>
      </c>
      <c r="F17" s="24">
        <f>IFERROR(Capacity_Usage!N17/Capacity_Usage!F17,0)</f>
        <v/>
      </c>
      <c r="G17" s="24">
        <f>MIN(MAX(F17,0),1)</f>
        <v/>
      </c>
      <c r="H17" s="24">
        <f>IFERROR(Capacity_Usage!K17/Capacity_Usage!I17,0)</f>
        <v/>
      </c>
      <c r="I17" s="24">
        <f>MIN(MAX(H17,0),1)</f>
        <v/>
      </c>
      <c r="J17" s="24">
        <f>IFERROR(1-Capacity_Usage!U17/E17,0)</f>
        <v/>
      </c>
      <c r="K17" s="24">
        <f>MIN(MAX(J17,0),1)</f>
        <v/>
      </c>
      <c r="L17" s="24">
        <f>IFERROR(Capacity_Usage!T17,0)</f>
        <v/>
      </c>
      <c r="M17" s="24">
        <f>MIN(MAX(L17,0),1)</f>
        <v/>
      </c>
      <c r="N17" s="24">
        <f>Capacity_Usage!E17/3</f>
        <v/>
      </c>
      <c r="O17" s="24">
        <f>MIN(MAX(N17,0),1)</f>
        <v/>
      </c>
      <c r="P17" s="24">
        <f>Policy!$B$2*G17+Policy!$B$3*I17+Policy!$B$4*K17+Policy!$B$5*M17+Policy!$B$6*O17</f>
        <v/>
      </c>
      <c r="Q17" s="10">
        <f>IF(AND(C17=1,D17=1),P17,-1)</f>
        <v/>
      </c>
    </row>
    <row r="18">
      <c r="A18" s="10">
        <f>Capacity_Usage!B18</f>
        <v/>
      </c>
      <c r="B18" s="10">
        <f>Capacity_Usage!C18</f>
        <v/>
      </c>
      <c r="C18" s="10">
        <f>IF(Capacity_Usage!C18=Setup!$B$3,1,0)</f>
        <v/>
      </c>
      <c r="D18" s="10">
        <f>IF(HC_Gate!I18="YES",1,0)</f>
        <v/>
      </c>
      <c r="E18" s="10">
        <f>IF(Policy!$B$10=1,SUMIFS(Capacity_Usage!$U$4:$U$18,Capacity_Usage!$C$4:$C$18,Capacity_Usage!C18),IF(Policy!$B$10=2,VLOOKUP(Capacity_Usage!C18,Policy!$D$11:$E$15,2,FALSE),Policy!$B$11))</f>
        <v/>
      </c>
      <c r="F18" s="24">
        <f>IFERROR(Capacity_Usage!N18/Capacity_Usage!F18,0)</f>
        <v/>
      </c>
      <c r="G18" s="24">
        <f>MIN(MAX(F18,0),1)</f>
        <v/>
      </c>
      <c r="H18" s="24">
        <f>IFERROR(Capacity_Usage!K18/Capacity_Usage!I18,0)</f>
        <v/>
      </c>
      <c r="I18" s="24">
        <f>MIN(MAX(H18,0),1)</f>
        <v/>
      </c>
      <c r="J18" s="24">
        <f>IFERROR(1-Capacity_Usage!U18/E18,0)</f>
        <v/>
      </c>
      <c r="K18" s="24">
        <f>MIN(MAX(J18,0),1)</f>
        <v/>
      </c>
      <c r="L18" s="24">
        <f>IFERROR(Capacity_Usage!T18,0)</f>
        <v/>
      </c>
      <c r="M18" s="24">
        <f>MIN(MAX(L18,0),1)</f>
        <v/>
      </c>
      <c r="N18" s="24">
        <f>Capacity_Usage!E18/3</f>
        <v/>
      </c>
      <c r="O18" s="24">
        <f>MIN(MAX(N18,0),1)</f>
        <v/>
      </c>
      <c r="P18" s="24">
        <f>Policy!$B$2*G18+Policy!$B$3*I18+Policy!$B$4*K18+Policy!$B$5*M18+Policy!$B$6*O18</f>
        <v/>
      </c>
      <c r="Q18" s="10">
        <f>IF(AND(C18=1,D18=1),P18,-1)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6" customWidth="1" min="19" max="19"/>
    <col width="18" customWidth="1" min="20" max="20"/>
  </cols>
  <sheetData>
    <row r="1">
      <c r="A1" s="7" t="inlineStr">
        <is>
          <t>PS_NonProd — CVAL Placement Score  (δ duplicates α — known design gap)</t>
        </is>
      </c>
      <c r="S1" s="23" t="inlineStr">
        <is>
          <t>CVAL WINNER</t>
        </is>
      </c>
    </row>
    <row r="2">
      <c r="S2" s="14" t="inlineStr">
        <is>
          <t>Region</t>
        </is>
      </c>
      <c r="T2">
        <f>IF(Setup!$B$3="Middle East",Scoring_Prod!$T$3,IF(MAX(Q4:Q18)&lt;0,"NONE ELIGIBLE",INDEX(A4:A18,MATCH(MAX(Q4:Q18),Q4:Q18,0))))</f>
        <v/>
      </c>
    </row>
    <row r="3">
      <c r="A3" s="9" t="inlineStr">
        <is>
          <t>Region</t>
        </is>
      </c>
      <c r="B3" s="9" t="inlineStr">
        <is>
          <t>Geography</t>
        </is>
      </c>
      <c r="C3" s="9" t="inlineStr">
        <is>
          <t>InScope</t>
        </is>
      </c>
      <c r="D3" s="9" t="inlineStr">
        <is>
          <t>Eligible</t>
        </is>
      </c>
      <c r="E3" s="9" t="inlineStr">
        <is>
          <t>total_cust</t>
        </is>
      </c>
      <c r="F3" s="9" t="inlineStr">
        <is>
          <t>α_raw</t>
        </is>
      </c>
      <c r="G3" s="9" t="inlineStr">
        <is>
          <t>α_c</t>
        </is>
      </c>
      <c r="H3" s="9" t="inlineStr">
        <is>
          <t>β_raw</t>
        </is>
      </c>
      <c r="I3" s="9" t="inlineStr">
        <is>
          <t>β_c</t>
        </is>
      </c>
      <c r="J3" s="9" t="inlineStr">
        <is>
          <t>γ_raw</t>
        </is>
      </c>
      <c r="K3" s="9" t="inlineStr">
        <is>
          <t>γ_c</t>
        </is>
      </c>
      <c r="L3" s="9" t="inlineStr">
        <is>
          <t>δ_raw</t>
        </is>
      </c>
      <c r="M3" s="9" t="inlineStr">
        <is>
          <t>δ_c</t>
        </is>
      </c>
      <c r="N3" s="9" t="inlineStr">
        <is>
          <t>ε_raw</t>
        </is>
      </c>
      <c r="O3" s="9" t="inlineStr">
        <is>
          <t>ε_c</t>
        </is>
      </c>
      <c r="P3" s="9" t="inlineStr">
        <is>
          <t>PS</t>
        </is>
      </c>
      <c r="Q3" s="9" t="inlineStr">
        <is>
          <t>Candidate</t>
        </is>
      </c>
      <c r="S3" s="14" t="inlineStr">
        <is>
          <t>Score</t>
        </is>
      </c>
      <c r="T3" s="25">
        <f>IF(Setup!$B$3="Middle East",Scoring_Prod!$T$4,IF(MAX(Q4:Q18)&lt;0,"",MAX(Q4:Q18)))</f>
        <v/>
      </c>
    </row>
    <row r="4">
      <c r="A4" s="10">
        <f>Capacity_Usage!B4</f>
        <v/>
      </c>
      <c r="B4" s="10">
        <f>Capacity_Usage!C4</f>
        <v/>
      </c>
      <c r="C4" s="10">
        <f>IF(Capacity_Usage!C4=Setup!$B$3,1,0)</f>
        <v/>
      </c>
      <c r="D4" s="10">
        <f>IF(HC_Gate!J4="YES",1,0)</f>
        <v/>
      </c>
      <c r="E4" s="10">
        <f>IF(Policy!$B$10=1,SUMIFS(Capacity_Usage!$U$4:$U$18,Capacity_Usage!$C$4:$C$18,Capacity_Usage!C4),IF(Policy!$B$10=2,VLOOKUP(Capacity_Usage!C4,Policy!$D$11:$E$15,2,FALSE),Policy!$B$11))</f>
        <v/>
      </c>
      <c r="F4" s="24">
        <f>IFERROR(Capacity_Usage!N4/Capacity_Usage!L4,0)</f>
        <v/>
      </c>
      <c r="G4" s="24">
        <f>MIN(MAX(F4,0),1)</f>
        <v/>
      </c>
      <c r="H4" s="24">
        <f>IFERROR(Capacity_Usage!Q4/Capacity_Usage!O4,0)</f>
        <v/>
      </c>
      <c r="I4" s="24">
        <f>MIN(MAX(H4,0),1)</f>
        <v/>
      </c>
      <c r="J4" s="24">
        <f>IFERROR(1-Capacity_Usage!U4/E4,0)</f>
        <v/>
      </c>
      <c r="K4" s="24">
        <f>MIN(MAX(J4,0),1)</f>
        <v/>
      </c>
      <c r="L4" s="24">
        <f>IFERROR(Capacity_Usage!N4/Capacity_Usage!L4,0)</f>
        <v/>
      </c>
      <c r="M4" s="24">
        <f>MIN(MAX(L4,0),1)</f>
        <v/>
      </c>
      <c r="N4" s="24">
        <f>Capacity_Usage!E4/3</f>
        <v/>
      </c>
      <c r="O4" s="24">
        <f>MIN(MAX(N4,0),1)</f>
        <v/>
      </c>
      <c r="P4" s="24">
        <f>Policy!$B$2*G4+Policy!$B$3*I4+Policy!$B$4*K4+Policy!$B$5*M4+Policy!$B$6*O4</f>
        <v/>
      </c>
      <c r="Q4" s="10">
        <f>IF(AND(C4=1,D4=1,A4&lt;&gt;Scoring_Prod!$T$3),P4,-1)</f>
        <v/>
      </c>
    </row>
    <row r="5">
      <c r="A5" s="10">
        <f>Capacity_Usage!B5</f>
        <v/>
      </c>
      <c r="B5" s="10">
        <f>Capacity_Usage!C5</f>
        <v/>
      </c>
      <c r="C5" s="10">
        <f>IF(Capacity_Usage!C5=Setup!$B$3,1,0)</f>
        <v/>
      </c>
      <c r="D5" s="10">
        <f>IF(HC_Gate!J5="YES",1,0)</f>
        <v/>
      </c>
      <c r="E5" s="10">
        <f>IF(Policy!$B$10=1,SUMIFS(Capacity_Usage!$U$4:$U$18,Capacity_Usage!$C$4:$C$18,Capacity_Usage!C5),IF(Policy!$B$10=2,VLOOKUP(Capacity_Usage!C5,Policy!$D$11:$E$15,2,FALSE),Policy!$B$11))</f>
        <v/>
      </c>
      <c r="F5" s="24">
        <f>IFERROR(Capacity_Usage!N5/Capacity_Usage!L5,0)</f>
        <v/>
      </c>
      <c r="G5" s="24">
        <f>MIN(MAX(F5,0),1)</f>
        <v/>
      </c>
      <c r="H5" s="24">
        <f>IFERROR(Capacity_Usage!Q5/Capacity_Usage!O5,0)</f>
        <v/>
      </c>
      <c r="I5" s="24">
        <f>MIN(MAX(H5,0),1)</f>
        <v/>
      </c>
      <c r="J5" s="24">
        <f>IFERROR(1-Capacity_Usage!U5/E5,0)</f>
        <v/>
      </c>
      <c r="K5" s="24">
        <f>MIN(MAX(J5,0),1)</f>
        <v/>
      </c>
      <c r="L5" s="24">
        <f>IFERROR(Capacity_Usage!N5/Capacity_Usage!L5,0)</f>
        <v/>
      </c>
      <c r="M5" s="24">
        <f>MIN(MAX(L5,0),1)</f>
        <v/>
      </c>
      <c r="N5" s="24">
        <f>Capacity_Usage!E5/3</f>
        <v/>
      </c>
      <c r="O5" s="24">
        <f>MIN(MAX(N5,0),1)</f>
        <v/>
      </c>
      <c r="P5" s="24">
        <f>Policy!$B$2*G5+Policy!$B$3*I5+Policy!$B$4*K5+Policy!$B$5*M5+Policy!$B$6*O5</f>
        <v/>
      </c>
      <c r="Q5" s="10">
        <f>IF(AND(C5=1,D5=1,A5&lt;&gt;Scoring_Prod!$T$3),P5,-1)</f>
        <v/>
      </c>
    </row>
    <row r="6">
      <c r="A6" s="10">
        <f>Capacity_Usage!B6</f>
        <v/>
      </c>
      <c r="B6" s="10">
        <f>Capacity_Usage!C6</f>
        <v/>
      </c>
      <c r="C6" s="10">
        <f>IF(Capacity_Usage!C6=Setup!$B$3,1,0)</f>
        <v/>
      </c>
      <c r="D6" s="10">
        <f>IF(HC_Gate!J6="YES",1,0)</f>
        <v/>
      </c>
      <c r="E6" s="10">
        <f>IF(Policy!$B$10=1,SUMIFS(Capacity_Usage!$U$4:$U$18,Capacity_Usage!$C$4:$C$18,Capacity_Usage!C6),IF(Policy!$B$10=2,VLOOKUP(Capacity_Usage!C6,Policy!$D$11:$E$15,2,FALSE),Policy!$B$11))</f>
        <v/>
      </c>
      <c r="F6" s="24">
        <f>IFERROR(Capacity_Usage!N6/Capacity_Usage!L6,0)</f>
        <v/>
      </c>
      <c r="G6" s="24">
        <f>MIN(MAX(F6,0),1)</f>
        <v/>
      </c>
      <c r="H6" s="24">
        <f>IFERROR(Capacity_Usage!Q6/Capacity_Usage!O6,0)</f>
        <v/>
      </c>
      <c r="I6" s="24">
        <f>MIN(MAX(H6,0),1)</f>
        <v/>
      </c>
      <c r="J6" s="24">
        <f>IFERROR(1-Capacity_Usage!U6/E6,0)</f>
        <v/>
      </c>
      <c r="K6" s="24">
        <f>MIN(MAX(J6,0),1)</f>
        <v/>
      </c>
      <c r="L6" s="24">
        <f>IFERROR(Capacity_Usage!N6/Capacity_Usage!L6,0)</f>
        <v/>
      </c>
      <c r="M6" s="24">
        <f>MIN(MAX(L6,0),1)</f>
        <v/>
      </c>
      <c r="N6" s="24">
        <f>Capacity_Usage!E6/3</f>
        <v/>
      </c>
      <c r="O6" s="24">
        <f>MIN(MAX(N6,0),1)</f>
        <v/>
      </c>
      <c r="P6" s="24">
        <f>Policy!$B$2*G6+Policy!$B$3*I6+Policy!$B$4*K6+Policy!$B$5*M6+Policy!$B$6*O6</f>
        <v/>
      </c>
      <c r="Q6" s="10">
        <f>IF(AND(C6=1,D6=1,A6&lt;&gt;Scoring_Prod!$T$3),P6,-1)</f>
        <v/>
      </c>
    </row>
    <row r="7">
      <c r="A7" s="10">
        <f>Capacity_Usage!B7</f>
        <v/>
      </c>
      <c r="B7" s="10">
        <f>Capacity_Usage!C7</f>
        <v/>
      </c>
      <c r="C7" s="10">
        <f>IF(Capacity_Usage!C7=Setup!$B$3,1,0)</f>
        <v/>
      </c>
      <c r="D7" s="10">
        <f>IF(HC_Gate!J7="YES",1,0)</f>
        <v/>
      </c>
      <c r="E7" s="10">
        <f>IF(Policy!$B$10=1,SUMIFS(Capacity_Usage!$U$4:$U$18,Capacity_Usage!$C$4:$C$18,Capacity_Usage!C7),IF(Policy!$B$10=2,VLOOKUP(Capacity_Usage!C7,Policy!$D$11:$E$15,2,FALSE),Policy!$B$11))</f>
        <v/>
      </c>
      <c r="F7" s="24">
        <f>IFERROR(Capacity_Usage!N7/Capacity_Usage!L7,0)</f>
        <v/>
      </c>
      <c r="G7" s="24">
        <f>MIN(MAX(F7,0),1)</f>
        <v/>
      </c>
      <c r="H7" s="24">
        <f>IFERROR(Capacity_Usage!Q7/Capacity_Usage!O7,0)</f>
        <v/>
      </c>
      <c r="I7" s="24">
        <f>MIN(MAX(H7,0),1)</f>
        <v/>
      </c>
      <c r="J7" s="24">
        <f>IFERROR(1-Capacity_Usage!U7/E7,0)</f>
        <v/>
      </c>
      <c r="K7" s="24">
        <f>MIN(MAX(J7,0),1)</f>
        <v/>
      </c>
      <c r="L7" s="24">
        <f>IFERROR(Capacity_Usage!N7/Capacity_Usage!L7,0)</f>
        <v/>
      </c>
      <c r="M7" s="24">
        <f>MIN(MAX(L7,0),1)</f>
        <v/>
      </c>
      <c r="N7" s="24">
        <f>Capacity_Usage!E7/3</f>
        <v/>
      </c>
      <c r="O7" s="24">
        <f>MIN(MAX(N7,0),1)</f>
        <v/>
      </c>
      <c r="P7" s="24">
        <f>Policy!$B$2*G7+Policy!$B$3*I7+Policy!$B$4*K7+Policy!$B$5*M7+Policy!$B$6*O7</f>
        <v/>
      </c>
      <c r="Q7" s="10">
        <f>IF(AND(C7=1,D7=1,A7&lt;&gt;Scoring_Prod!$T$3),P7,-1)</f>
        <v/>
      </c>
    </row>
    <row r="8">
      <c r="A8" s="10">
        <f>Capacity_Usage!B8</f>
        <v/>
      </c>
      <c r="B8" s="10">
        <f>Capacity_Usage!C8</f>
        <v/>
      </c>
      <c r="C8" s="10">
        <f>IF(Capacity_Usage!C8=Setup!$B$3,1,0)</f>
        <v/>
      </c>
      <c r="D8" s="10">
        <f>IF(HC_Gate!J8="YES",1,0)</f>
        <v/>
      </c>
      <c r="E8" s="10">
        <f>IF(Policy!$B$10=1,SUMIFS(Capacity_Usage!$U$4:$U$18,Capacity_Usage!$C$4:$C$18,Capacity_Usage!C8),IF(Policy!$B$10=2,VLOOKUP(Capacity_Usage!C8,Policy!$D$11:$E$15,2,FALSE),Policy!$B$11))</f>
        <v/>
      </c>
      <c r="F8" s="24">
        <f>IFERROR(Capacity_Usage!N8/Capacity_Usage!L8,0)</f>
        <v/>
      </c>
      <c r="G8" s="24">
        <f>MIN(MAX(F8,0),1)</f>
        <v/>
      </c>
      <c r="H8" s="24">
        <f>IFERROR(Capacity_Usage!Q8/Capacity_Usage!O8,0)</f>
        <v/>
      </c>
      <c r="I8" s="24">
        <f>MIN(MAX(H8,0),1)</f>
        <v/>
      </c>
      <c r="J8" s="24">
        <f>IFERROR(1-Capacity_Usage!U8/E8,0)</f>
        <v/>
      </c>
      <c r="K8" s="24">
        <f>MIN(MAX(J8,0),1)</f>
        <v/>
      </c>
      <c r="L8" s="24">
        <f>IFERROR(Capacity_Usage!N8/Capacity_Usage!L8,0)</f>
        <v/>
      </c>
      <c r="M8" s="24">
        <f>MIN(MAX(L8,0),1)</f>
        <v/>
      </c>
      <c r="N8" s="24">
        <f>Capacity_Usage!E8/3</f>
        <v/>
      </c>
      <c r="O8" s="24">
        <f>MIN(MAX(N8,0),1)</f>
        <v/>
      </c>
      <c r="P8" s="24">
        <f>Policy!$B$2*G8+Policy!$B$3*I8+Policy!$B$4*K8+Policy!$B$5*M8+Policy!$B$6*O8</f>
        <v/>
      </c>
      <c r="Q8" s="10">
        <f>IF(AND(C8=1,D8=1,A8&lt;&gt;Scoring_Prod!$T$3),P8,-1)</f>
        <v/>
      </c>
    </row>
    <row r="9">
      <c r="A9" s="10">
        <f>Capacity_Usage!B9</f>
        <v/>
      </c>
      <c r="B9" s="10">
        <f>Capacity_Usage!C9</f>
        <v/>
      </c>
      <c r="C9" s="10">
        <f>IF(Capacity_Usage!C9=Setup!$B$3,1,0)</f>
        <v/>
      </c>
      <c r="D9" s="10">
        <f>IF(HC_Gate!J9="YES",1,0)</f>
        <v/>
      </c>
      <c r="E9" s="10">
        <f>IF(Policy!$B$10=1,SUMIFS(Capacity_Usage!$U$4:$U$18,Capacity_Usage!$C$4:$C$18,Capacity_Usage!C9),IF(Policy!$B$10=2,VLOOKUP(Capacity_Usage!C9,Policy!$D$11:$E$15,2,FALSE),Policy!$B$11))</f>
        <v/>
      </c>
      <c r="F9" s="24">
        <f>IFERROR(Capacity_Usage!N9/Capacity_Usage!L9,0)</f>
        <v/>
      </c>
      <c r="G9" s="24">
        <f>MIN(MAX(F9,0),1)</f>
        <v/>
      </c>
      <c r="H9" s="24">
        <f>IFERROR(Capacity_Usage!Q9/Capacity_Usage!O9,0)</f>
        <v/>
      </c>
      <c r="I9" s="24">
        <f>MIN(MAX(H9,0),1)</f>
        <v/>
      </c>
      <c r="J9" s="24">
        <f>IFERROR(1-Capacity_Usage!U9/E9,0)</f>
        <v/>
      </c>
      <c r="K9" s="24">
        <f>MIN(MAX(J9,0),1)</f>
        <v/>
      </c>
      <c r="L9" s="24">
        <f>IFERROR(Capacity_Usage!N9/Capacity_Usage!L9,0)</f>
        <v/>
      </c>
      <c r="M9" s="24">
        <f>MIN(MAX(L9,0),1)</f>
        <v/>
      </c>
      <c r="N9" s="24">
        <f>Capacity_Usage!E9/3</f>
        <v/>
      </c>
      <c r="O9" s="24">
        <f>MIN(MAX(N9,0),1)</f>
        <v/>
      </c>
      <c r="P9" s="24">
        <f>Policy!$B$2*G9+Policy!$B$3*I9+Policy!$B$4*K9+Policy!$B$5*M9+Policy!$B$6*O9</f>
        <v/>
      </c>
      <c r="Q9" s="10">
        <f>IF(AND(C9=1,D9=1,A9&lt;&gt;Scoring_Prod!$T$3),P9,-1)</f>
        <v/>
      </c>
    </row>
    <row r="10">
      <c r="A10" s="10">
        <f>Capacity_Usage!B10</f>
        <v/>
      </c>
      <c r="B10" s="10">
        <f>Capacity_Usage!C10</f>
        <v/>
      </c>
      <c r="C10" s="10">
        <f>IF(Capacity_Usage!C10=Setup!$B$3,1,0)</f>
        <v/>
      </c>
      <c r="D10" s="10">
        <f>IF(HC_Gate!J10="YES",1,0)</f>
        <v/>
      </c>
      <c r="E10" s="10">
        <f>IF(Policy!$B$10=1,SUMIFS(Capacity_Usage!$U$4:$U$18,Capacity_Usage!$C$4:$C$18,Capacity_Usage!C10),IF(Policy!$B$10=2,VLOOKUP(Capacity_Usage!C10,Policy!$D$11:$E$15,2,FALSE),Policy!$B$11))</f>
        <v/>
      </c>
      <c r="F10" s="24">
        <f>IFERROR(Capacity_Usage!N10/Capacity_Usage!L10,0)</f>
        <v/>
      </c>
      <c r="G10" s="24">
        <f>MIN(MAX(F10,0),1)</f>
        <v/>
      </c>
      <c r="H10" s="24">
        <f>IFERROR(Capacity_Usage!Q10/Capacity_Usage!O10,0)</f>
        <v/>
      </c>
      <c r="I10" s="24">
        <f>MIN(MAX(H10,0),1)</f>
        <v/>
      </c>
      <c r="J10" s="24">
        <f>IFERROR(1-Capacity_Usage!U10/E10,0)</f>
        <v/>
      </c>
      <c r="K10" s="24">
        <f>MIN(MAX(J10,0),1)</f>
        <v/>
      </c>
      <c r="L10" s="24">
        <f>IFERROR(Capacity_Usage!N10/Capacity_Usage!L10,0)</f>
        <v/>
      </c>
      <c r="M10" s="24">
        <f>MIN(MAX(L10,0),1)</f>
        <v/>
      </c>
      <c r="N10" s="24">
        <f>Capacity_Usage!E10/3</f>
        <v/>
      </c>
      <c r="O10" s="24">
        <f>MIN(MAX(N10,0),1)</f>
        <v/>
      </c>
      <c r="P10" s="24">
        <f>Policy!$B$2*G10+Policy!$B$3*I10+Policy!$B$4*K10+Policy!$B$5*M10+Policy!$B$6*O10</f>
        <v/>
      </c>
      <c r="Q10" s="10">
        <f>IF(AND(C10=1,D10=1,A10&lt;&gt;Scoring_Prod!$T$3),P10,-1)</f>
        <v/>
      </c>
    </row>
    <row r="11">
      <c r="A11" s="10">
        <f>Capacity_Usage!B11</f>
        <v/>
      </c>
      <c r="B11" s="10">
        <f>Capacity_Usage!C11</f>
        <v/>
      </c>
      <c r="C11" s="10">
        <f>IF(Capacity_Usage!C11=Setup!$B$3,1,0)</f>
        <v/>
      </c>
      <c r="D11" s="10">
        <f>IF(HC_Gate!J11="YES",1,0)</f>
        <v/>
      </c>
      <c r="E11" s="10">
        <f>IF(Policy!$B$10=1,SUMIFS(Capacity_Usage!$U$4:$U$18,Capacity_Usage!$C$4:$C$18,Capacity_Usage!C11),IF(Policy!$B$10=2,VLOOKUP(Capacity_Usage!C11,Policy!$D$11:$E$15,2,FALSE),Policy!$B$11))</f>
        <v/>
      </c>
      <c r="F11" s="24">
        <f>IFERROR(Capacity_Usage!N11/Capacity_Usage!L11,0)</f>
        <v/>
      </c>
      <c r="G11" s="24">
        <f>MIN(MAX(F11,0),1)</f>
        <v/>
      </c>
      <c r="H11" s="24">
        <f>IFERROR(Capacity_Usage!Q11/Capacity_Usage!O11,0)</f>
        <v/>
      </c>
      <c r="I11" s="24">
        <f>MIN(MAX(H11,0),1)</f>
        <v/>
      </c>
      <c r="J11" s="24">
        <f>IFERROR(1-Capacity_Usage!U11/E11,0)</f>
        <v/>
      </c>
      <c r="K11" s="24">
        <f>MIN(MAX(J11,0),1)</f>
        <v/>
      </c>
      <c r="L11" s="24">
        <f>IFERROR(Capacity_Usage!N11/Capacity_Usage!L11,0)</f>
        <v/>
      </c>
      <c r="M11" s="24">
        <f>MIN(MAX(L11,0),1)</f>
        <v/>
      </c>
      <c r="N11" s="24">
        <f>Capacity_Usage!E11/3</f>
        <v/>
      </c>
      <c r="O11" s="24">
        <f>MIN(MAX(N11,0),1)</f>
        <v/>
      </c>
      <c r="P11" s="24">
        <f>Policy!$B$2*G11+Policy!$B$3*I11+Policy!$B$4*K11+Policy!$B$5*M11+Policy!$B$6*O11</f>
        <v/>
      </c>
      <c r="Q11" s="10">
        <f>IF(AND(C11=1,D11=1,A11&lt;&gt;Scoring_Prod!$T$3),P11,-1)</f>
        <v/>
      </c>
    </row>
    <row r="12">
      <c r="A12" s="10">
        <f>Capacity_Usage!B12</f>
        <v/>
      </c>
      <c r="B12" s="10">
        <f>Capacity_Usage!C12</f>
        <v/>
      </c>
      <c r="C12" s="10">
        <f>IF(Capacity_Usage!C12=Setup!$B$3,1,0)</f>
        <v/>
      </c>
      <c r="D12" s="10">
        <f>IF(HC_Gate!J12="YES",1,0)</f>
        <v/>
      </c>
      <c r="E12" s="10">
        <f>IF(Policy!$B$10=1,SUMIFS(Capacity_Usage!$U$4:$U$18,Capacity_Usage!$C$4:$C$18,Capacity_Usage!C12),IF(Policy!$B$10=2,VLOOKUP(Capacity_Usage!C12,Policy!$D$11:$E$15,2,FALSE),Policy!$B$11))</f>
        <v/>
      </c>
      <c r="F12" s="24">
        <f>IFERROR(Capacity_Usage!N12/Capacity_Usage!L12,0)</f>
        <v/>
      </c>
      <c r="G12" s="24">
        <f>MIN(MAX(F12,0),1)</f>
        <v/>
      </c>
      <c r="H12" s="24">
        <f>IFERROR(Capacity_Usage!Q12/Capacity_Usage!O12,0)</f>
        <v/>
      </c>
      <c r="I12" s="24">
        <f>MIN(MAX(H12,0),1)</f>
        <v/>
      </c>
      <c r="J12" s="24">
        <f>IFERROR(1-Capacity_Usage!U12/E12,0)</f>
        <v/>
      </c>
      <c r="K12" s="24">
        <f>MIN(MAX(J12,0),1)</f>
        <v/>
      </c>
      <c r="L12" s="24">
        <f>IFERROR(Capacity_Usage!N12/Capacity_Usage!L12,0)</f>
        <v/>
      </c>
      <c r="M12" s="24">
        <f>MIN(MAX(L12,0),1)</f>
        <v/>
      </c>
      <c r="N12" s="24">
        <f>Capacity_Usage!E12/3</f>
        <v/>
      </c>
      <c r="O12" s="24">
        <f>MIN(MAX(N12,0),1)</f>
        <v/>
      </c>
      <c r="P12" s="24">
        <f>Policy!$B$2*G12+Policy!$B$3*I12+Policy!$B$4*K12+Policy!$B$5*M12+Policy!$B$6*O12</f>
        <v/>
      </c>
      <c r="Q12" s="10">
        <f>IF(AND(C12=1,D12=1,A12&lt;&gt;Scoring_Prod!$T$3),P12,-1)</f>
        <v/>
      </c>
    </row>
    <row r="13">
      <c r="A13" s="10">
        <f>Capacity_Usage!B13</f>
        <v/>
      </c>
      <c r="B13" s="10">
        <f>Capacity_Usage!C13</f>
        <v/>
      </c>
      <c r="C13" s="10">
        <f>IF(Capacity_Usage!C13=Setup!$B$3,1,0)</f>
        <v/>
      </c>
      <c r="D13" s="10">
        <f>IF(HC_Gate!J13="YES",1,0)</f>
        <v/>
      </c>
      <c r="E13" s="10">
        <f>IF(Policy!$B$10=1,SUMIFS(Capacity_Usage!$U$4:$U$18,Capacity_Usage!$C$4:$C$18,Capacity_Usage!C13),IF(Policy!$B$10=2,VLOOKUP(Capacity_Usage!C13,Policy!$D$11:$E$15,2,FALSE),Policy!$B$11))</f>
        <v/>
      </c>
      <c r="F13" s="24">
        <f>IFERROR(Capacity_Usage!N13/Capacity_Usage!L13,0)</f>
        <v/>
      </c>
      <c r="G13" s="24">
        <f>MIN(MAX(F13,0),1)</f>
        <v/>
      </c>
      <c r="H13" s="24">
        <f>IFERROR(Capacity_Usage!Q13/Capacity_Usage!O13,0)</f>
        <v/>
      </c>
      <c r="I13" s="24">
        <f>MIN(MAX(H13,0),1)</f>
        <v/>
      </c>
      <c r="J13" s="24">
        <f>IFERROR(1-Capacity_Usage!U13/E13,0)</f>
        <v/>
      </c>
      <c r="K13" s="24">
        <f>MIN(MAX(J13,0),1)</f>
        <v/>
      </c>
      <c r="L13" s="24">
        <f>IFERROR(Capacity_Usage!N13/Capacity_Usage!L13,0)</f>
        <v/>
      </c>
      <c r="M13" s="24">
        <f>MIN(MAX(L13,0),1)</f>
        <v/>
      </c>
      <c r="N13" s="24">
        <f>Capacity_Usage!E13/3</f>
        <v/>
      </c>
      <c r="O13" s="24">
        <f>MIN(MAX(N13,0),1)</f>
        <v/>
      </c>
      <c r="P13" s="24">
        <f>Policy!$B$2*G13+Policy!$B$3*I13+Policy!$B$4*K13+Policy!$B$5*M13+Policy!$B$6*O13</f>
        <v/>
      </c>
      <c r="Q13" s="10">
        <f>IF(AND(C13=1,D13=1,A13&lt;&gt;Scoring_Prod!$T$3),P13,-1)</f>
        <v/>
      </c>
    </row>
    <row r="14">
      <c r="A14" s="10">
        <f>Capacity_Usage!B14</f>
        <v/>
      </c>
      <c r="B14" s="10">
        <f>Capacity_Usage!C14</f>
        <v/>
      </c>
      <c r="C14" s="10">
        <f>IF(Capacity_Usage!C14=Setup!$B$3,1,0)</f>
        <v/>
      </c>
      <c r="D14" s="10">
        <f>IF(HC_Gate!J14="YES",1,0)</f>
        <v/>
      </c>
      <c r="E14" s="10">
        <f>IF(Policy!$B$10=1,SUMIFS(Capacity_Usage!$U$4:$U$18,Capacity_Usage!$C$4:$C$18,Capacity_Usage!C14),IF(Policy!$B$10=2,VLOOKUP(Capacity_Usage!C14,Policy!$D$11:$E$15,2,FALSE),Policy!$B$11))</f>
        <v/>
      </c>
      <c r="F14" s="24">
        <f>IFERROR(Capacity_Usage!N14/Capacity_Usage!L14,0)</f>
        <v/>
      </c>
      <c r="G14" s="24">
        <f>MIN(MAX(F14,0),1)</f>
        <v/>
      </c>
      <c r="H14" s="24">
        <f>IFERROR(Capacity_Usage!Q14/Capacity_Usage!O14,0)</f>
        <v/>
      </c>
      <c r="I14" s="24">
        <f>MIN(MAX(H14,0),1)</f>
        <v/>
      </c>
      <c r="J14" s="24">
        <f>IFERROR(1-Capacity_Usage!U14/E14,0)</f>
        <v/>
      </c>
      <c r="K14" s="24">
        <f>MIN(MAX(J14,0),1)</f>
        <v/>
      </c>
      <c r="L14" s="24">
        <f>IFERROR(Capacity_Usage!N14/Capacity_Usage!L14,0)</f>
        <v/>
      </c>
      <c r="M14" s="24">
        <f>MIN(MAX(L14,0),1)</f>
        <v/>
      </c>
      <c r="N14" s="24">
        <f>Capacity_Usage!E14/3</f>
        <v/>
      </c>
      <c r="O14" s="24">
        <f>MIN(MAX(N14,0),1)</f>
        <v/>
      </c>
      <c r="P14" s="24">
        <f>Policy!$B$2*G14+Policy!$B$3*I14+Policy!$B$4*K14+Policy!$B$5*M14+Policy!$B$6*O14</f>
        <v/>
      </c>
      <c r="Q14" s="10">
        <f>IF(AND(C14=1,D14=1,A14&lt;&gt;Scoring_Prod!$T$3),P14,-1)</f>
        <v/>
      </c>
    </row>
    <row r="15">
      <c r="A15" s="10">
        <f>Capacity_Usage!B15</f>
        <v/>
      </c>
      <c r="B15" s="10">
        <f>Capacity_Usage!C15</f>
        <v/>
      </c>
      <c r="C15" s="10">
        <f>IF(Capacity_Usage!C15=Setup!$B$3,1,0)</f>
        <v/>
      </c>
      <c r="D15" s="10">
        <f>IF(HC_Gate!J15="YES",1,0)</f>
        <v/>
      </c>
      <c r="E15" s="10">
        <f>IF(Policy!$B$10=1,SUMIFS(Capacity_Usage!$U$4:$U$18,Capacity_Usage!$C$4:$C$18,Capacity_Usage!C15),IF(Policy!$B$10=2,VLOOKUP(Capacity_Usage!C15,Policy!$D$11:$E$15,2,FALSE),Policy!$B$11))</f>
        <v/>
      </c>
      <c r="F15" s="24">
        <f>IFERROR(Capacity_Usage!N15/Capacity_Usage!L15,0)</f>
        <v/>
      </c>
      <c r="G15" s="24">
        <f>MIN(MAX(F15,0),1)</f>
        <v/>
      </c>
      <c r="H15" s="24">
        <f>IFERROR(Capacity_Usage!Q15/Capacity_Usage!O15,0)</f>
        <v/>
      </c>
      <c r="I15" s="24">
        <f>MIN(MAX(H15,0),1)</f>
        <v/>
      </c>
      <c r="J15" s="24">
        <f>IFERROR(1-Capacity_Usage!U15/E15,0)</f>
        <v/>
      </c>
      <c r="K15" s="24">
        <f>MIN(MAX(J15,0),1)</f>
        <v/>
      </c>
      <c r="L15" s="24">
        <f>IFERROR(Capacity_Usage!N15/Capacity_Usage!L15,0)</f>
        <v/>
      </c>
      <c r="M15" s="24">
        <f>MIN(MAX(L15,0),1)</f>
        <v/>
      </c>
      <c r="N15" s="24">
        <f>Capacity_Usage!E15/3</f>
        <v/>
      </c>
      <c r="O15" s="24">
        <f>MIN(MAX(N15,0),1)</f>
        <v/>
      </c>
      <c r="P15" s="24">
        <f>Policy!$B$2*G15+Policy!$B$3*I15+Policy!$B$4*K15+Policy!$B$5*M15+Policy!$B$6*O15</f>
        <v/>
      </c>
      <c r="Q15" s="10">
        <f>IF(AND(C15=1,D15=1,A15&lt;&gt;Scoring_Prod!$T$3),P15,-1)</f>
        <v/>
      </c>
    </row>
    <row r="16">
      <c r="A16" s="10">
        <f>Capacity_Usage!B16</f>
        <v/>
      </c>
      <c r="B16" s="10">
        <f>Capacity_Usage!C16</f>
        <v/>
      </c>
      <c r="C16" s="10">
        <f>IF(Capacity_Usage!C16=Setup!$B$3,1,0)</f>
        <v/>
      </c>
      <c r="D16" s="10">
        <f>IF(HC_Gate!J16="YES",1,0)</f>
        <v/>
      </c>
      <c r="E16" s="10">
        <f>IF(Policy!$B$10=1,SUMIFS(Capacity_Usage!$U$4:$U$18,Capacity_Usage!$C$4:$C$18,Capacity_Usage!C16),IF(Policy!$B$10=2,VLOOKUP(Capacity_Usage!C16,Policy!$D$11:$E$15,2,FALSE),Policy!$B$11))</f>
        <v/>
      </c>
      <c r="F16" s="24">
        <f>IFERROR(Capacity_Usage!N16/Capacity_Usage!L16,0)</f>
        <v/>
      </c>
      <c r="G16" s="24">
        <f>MIN(MAX(F16,0),1)</f>
        <v/>
      </c>
      <c r="H16" s="24">
        <f>IFERROR(Capacity_Usage!Q16/Capacity_Usage!O16,0)</f>
        <v/>
      </c>
      <c r="I16" s="24">
        <f>MIN(MAX(H16,0),1)</f>
        <v/>
      </c>
      <c r="J16" s="24">
        <f>IFERROR(1-Capacity_Usage!U16/E16,0)</f>
        <v/>
      </c>
      <c r="K16" s="24">
        <f>MIN(MAX(J16,0),1)</f>
        <v/>
      </c>
      <c r="L16" s="24">
        <f>IFERROR(Capacity_Usage!N16/Capacity_Usage!L16,0)</f>
        <v/>
      </c>
      <c r="M16" s="24">
        <f>MIN(MAX(L16,0),1)</f>
        <v/>
      </c>
      <c r="N16" s="24">
        <f>Capacity_Usage!E16/3</f>
        <v/>
      </c>
      <c r="O16" s="24">
        <f>MIN(MAX(N16,0),1)</f>
        <v/>
      </c>
      <c r="P16" s="24">
        <f>Policy!$B$2*G16+Policy!$B$3*I16+Policy!$B$4*K16+Policy!$B$5*M16+Policy!$B$6*O16</f>
        <v/>
      </c>
      <c r="Q16" s="10">
        <f>IF(AND(C16=1,D16=1,A16&lt;&gt;Scoring_Prod!$T$3),P16,-1)</f>
        <v/>
      </c>
    </row>
    <row r="17">
      <c r="A17" s="10">
        <f>Capacity_Usage!B17</f>
        <v/>
      </c>
      <c r="B17" s="10">
        <f>Capacity_Usage!C17</f>
        <v/>
      </c>
      <c r="C17" s="10">
        <f>IF(Capacity_Usage!C17=Setup!$B$3,1,0)</f>
        <v/>
      </c>
      <c r="D17" s="10">
        <f>IF(HC_Gate!J17="YES",1,0)</f>
        <v/>
      </c>
      <c r="E17" s="10">
        <f>IF(Policy!$B$10=1,SUMIFS(Capacity_Usage!$U$4:$U$18,Capacity_Usage!$C$4:$C$18,Capacity_Usage!C17),IF(Policy!$B$10=2,VLOOKUP(Capacity_Usage!C17,Policy!$D$11:$E$15,2,FALSE),Policy!$B$11))</f>
        <v/>
      </c>
      <c r="F17" s="24">
        <f>IFERROR(Capacity_Usage!N17/Capacity_Usage!L17,0)</f>
        <v/>
      </c>
      <c r="G17" s="24">
        <f>MIN(MAX(F17,0),1)</f>
        <v/>
      </c>
      <c r="H17" s="24">
        <f>IFERROR(Capacity_Usage!Q17/Capacity_Usage!O17,0)</f>
        <v/>
      </c>
      <c r="I17" s="24">
        <f>MIN(MAX(H17,0),1)</f>
        <v/>
      </c>
      <c r="J17" s="24">
        <f>IFERROR(1-Capacity_Usage!U17/E17,0)</f>
        <v/>
      </c>
      <c r="K17" s="24">
        <f>MIN(MAX(J17,0),1)</f>
        <v/>
      </c>
      <c r="L17" s="24">
        <f>IFERROR(Capacity_Usage!N17/Capacity_Usage!L17,0)</f>
        <v/>
      </c>
      <c r="M17" s="24">
        <f>MIN(MAX(L17,0),1)</f>
        <v/>
      </c>
      <c r="N17" s="24">
        <f>Capacity_Usage!E17/3</f>
        <v/>
      </c>
      <c r="O17" s="24">
        <f>MIN(MAX(N17,0),1)</f>
        <v/>
      </c>
      <c r="P17" s="24">
        <f>Policy!$B$2*G17+Policy!$B$3*I17+Policy!$B$4*K17+Policy!$B$5*M17+Policy!$B$6*O17</f>
        <v/>
      </c>
      <c r="Q17" s="10">
        <f>IF(AND(C17=1,D17=1,A17&lt;&gt;Scoring_Prod!$T$3),P17,-1)</f>
        <v/>
      </c>
    </row>
    <row r="18">
      <c r="A18" s="10">
        <f>Capacity_Usage!B18</f>
        <v/>
      </c>
      <c r="B18" s="10">
        <f>Capacity_Usage!C18</f>
        <v/>
      </c>
      <c r="C18" s="10">
        <f>IF(Capacity_Usage!C18=Setup!$B$3,1,0)</f>
        <v/>
      </c>
      <c r="D18" s="10">
        <f>IF(HC_Gate!J18="YES",1,0)</f>
        <v/>
      </c>
      <c r="E18" s="10">
        <f>IF(Policy!$B$10=1,SUMIFS(Capacity_Usage!$U$4:$U$18,Capacity_Usage!$C$4:$C$18,Capacity_Usage!C18),IF(Policy!$B$10=2,VLOOKUP(Capacity_Usage!C18,Policy!$D$11:$E$15,2,FALSE),Policy!$B$11))</f>
        <v/>
      </c>
      <c r="F18" s="24">
        <f>IFERROR(Capacity_Usage!N18/Capacity_Usage!L18,0)</f>
        <v/>
      </c>
      <c r="G18" s="24">
        <f>MIN(MAX(F18,0),1)</f>
        <v/>
      </c>
      <c r="H18" s="24">
        <f>IFERROR(Capacity_Usage!Q18/Capacity_Usage!O18,0)</f>
        <v/>
      </c>
      <c r="I18" s="24">
        <f>MIN(MAX(H18,0),1)</f>
        <v/>
      </c>
      <c r="J18" s="24">
        <f>IFERROR(1-Capacity_Usage!U18/E18,0)</f>
        <v/>
      </c>
      <c r="K18" s="24">
        <f>MIN(MAX(J18,0),1)</f>
        <v/>
      </c>
      <c r="L18" s="24">
        <f>IFERROR(Capacity_Usage!N18/Capacity_Usage!L18,0)</f>
        <v/>
      </c>
      <c r="M18" s="24">
        <f>MIN(MAX(L18,0),1)</f>
        <v/>
      </c>
      <c r="N18" s="24">
        <f>Capacity_Usage!E18/3</f>
        <v/>
      </c>
      <c r="O18" s="24">
        <f>MIN(MAX(N18,0),1)</f>
        <v/>
      </c>
      <c r="P18" s="24">
        <f>Policy!$B$2*G18+Policy!$B$3*I18+Policy!$B$4*K18+Policy!$B$5*M18+Policy!$B$6*O18</f>
        <v/>
      </c>
      <c r="Q18" s="10">
        <f>IF(AND(C18=1,D18=1,A18&lt;&gt;Scoring_Prod!$T$3),P18,-1)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6" customWidth="1" min="19" max="19"/>
    <col width="18" customWidth="1" min="20" max="20"/>
  </cols>
  <sheetData>
    <row r="1">
      <c r="A1" s="7" t="inlineStr">
        <is>
          <t>PS_DR — DR Placement Score  (Middle East scores EU regions cross-geo)</t>
        </is>
      </c>
      <c r="S1" s="23" t="inlineStr">
        <is>
          <t>DR WINNER</t>
        </is>
      </c>
    </row>
    <row r="2">
      <c r="S2" s="14" t="inlineStr">
        <is>
          <t>Region</t>
        </is>
      </c>
      <c r="T2">
        <f>IF(Setup!$B$10="2-region",Scoring_CVAL!$T$2,IF(MAX(Q4:Q18)&lt;0,"NONE ELIGIBLE",INDEX(A4:A18,MATCH(MAX(Q4:Q18),Q4:Q18,0))))</f>
        <v/>
      </c>
    </row>
    <row r="3">
      <c r="A3" s="9" t="inlineStr">
        <is>
          <t>Region</t>
        </is>
      </c>
      <c r="B3" s="9" t="inlineStr">
        <is>
          <t>Geography</t>
        </is>
      </c>
      <c r="C3" s="9" t="inlineStr">
        <is>
          <t>InScope</t>
        </is>
      </c>
      <c r="D3" s="9" t="inlineStr">
        <is>
          <t>Eligible</t>
        </is>
      </c>
      <c r="E3" s="9" t="inlineStr">
        <is>
          <t>total_cust</t>
        </is>
      </c>
      <c r="F3" s="9" t="inlineStr">
        <is>
          <t>α_raw</t>
        </is>
      </c>
      <c r="G3" s="9" t="inlineStr">
        <is>
          <t>α_c</t>
        </is>
      </c>
      <c r="H3" s="9" t="inlineStr">
        <is>
          <t>β_raw</t>
        </is>
      </c>
      <c r="I3" s="9" t="inlineStr">
        <is>
          <t>β_c</t>
        </is>
      </c>
      <c r="J3" s="9" t="inlineStr">
        <is>
          <t>γ_raw</t>
        </is>
      </c>
      <c r="K3" s="9" t="inlineStr">
        <is>
          <t>γ_c</t>
        </is>
      </c>
      <c r="L3" s="9" t="inlineStr">
        <is>
          <t>δ_raw</t>
        </is>
      </c>
      <c r="M3" s="9" t="inlineStr">
        <is>
          <t>δ_c</t>
        </is>
      </c>
      <c r="N3" s="9" t="inlineStr">
        <is>
          <t>ε_raw</t>
        </is>
      </c>
      <c r="O3" s="9" t="inlineStr">
        <is>
          <t>ε_c</t>
        </is>
      </c>
      <c r="P3" s="9" t="inlineStr">
        <is>
          <t>PS</t>
        </is>
      </c>
      <c r="Q3" s="9" t="inlineStr">
        <is>
          <t>Candidate</t>
        </is>
      </c>
      <c r="S3" s="14" t="inlineStr">
        <is>
          <t>Score</t>
        </is>
      </c>
      <c r="T3" s="25">
        <f>IF(Setup!$B$10="2-region",Scoring_CVAL!$T$3,IF(MAX(Q4:Q18)&lt;0,"",MAX(Q4:Q18)))</f>
        <v/>
      </c>
    </row>
    <row r="4">
      <c r="A4" s="10">
        <f>Capacity_Usage!B4</f>
        <v/>
      </c>
      <c r="B4" s="10">
        <f>Capacity_Usage!C4</f>
        <v/>
      </c>
      <c r="C4" s="10">
        <f>IF(Capacity_Usage!C4=Setup!$B$11,1,0)</f>
        <v/>
      </c>
      <c r="D4" s="10">
        <f>IF(HC_Gate!K4="YES",1,0)</f>
        <v/>
      </c>
      <c r="E4" s="10">
        <f>IF(Policy!$B$10=1,SUMIFS(Capacity_Usage!$U$4:$U$18,Capacity_Usage!$C$4:$C$18,Capacity_Usage!C4),IF(Policy!$B$10=2,VLOOKUP(Capacity_Usage!C4,Policy!$D$11:$E$15,2,FALSE),Policy!$B$11))</f>
        <v/>
      </c>
      <c r="F4" s="24">
        <f>IFERROR(Capacity_Usage!S4/Capacity_Usage!R4,0)</f>
        <v/>
      </c>
      <c r="G4" s="24">
        <f>MIN(MAX(F4,0),1)</f>
        <v/>
      </c>
      <c r="H4" s="24">
        <f>IFERROR(Capacity_Usage!Q4/Capacity_Usage!O4,0)</f>
        <v/>
      </c>
      <c r="I4" s="24">
        <f>MIN(MAX(H4,0),1)</f>
        <v/>
      </c>
      <c r="J4" s="24">
        <f>IFERROR(1-Capacity_Usage!U4/E4,0)</f>
        <v/>
      </c>
      <c r="K4" s="24">
        <f>MIN(MAX(J4,0),1)</f>
        <v/>
      </c>
      <c r="L4" s="24">
        <f>IFERROR(Capacity_Usage!T4/Policy!$B$14,0)</f>
        <v/>
      </c>
      <c r="M4" s="24">
        <f>MIN(MAX(L4,0),1)</f>
        <v/>
      </c>
      <c r="N4" s="24">
        <f>Capacity_Usage!E4/3</f>
        <v/>
      </c>
      <c r="O4" s="24">
        <f>MIN(MAX(N4,0),1)</f>
        <v/>
      </c>
      <c r="P4" s="24">
        <f>Policy!$B$2*G4+Policy!$B$3*I4+Policy!$B$4*K4+Policy!$B$5*M4+Policy!$B$6*O4</f>
        <v/>
      </c>
      <c r="Q4" s="10">
        <f>IF(AND(C4=1,D4=1,A4&lt;&gt;Scoring_Prod!$T$3),P4,-1)</f>
        <v/>
      </c>
    </row>
    <row r="5">
      <c r="A5" s="10">
        <f>Capacity_Usage!B5</f>
        <v/>
      </c>
      <c r="B5" s="10">
        <f>Capacity_Usage!C5</f>
        <v/>
      </c>
      <c r="C5" s="10">
        <f>IF(Capacity_Usage!C5=Setup!$B$11,1,0)</f>
        <v/>
      </c>
      <c r="D5" s="10">
        <f>IF(HC_Gate!K5="YES",1,0)</f>
        <v/>
      </c>
      <c r="E5" s="10">
        <f>IF(Policy!$B$10=1,SUMIFS(Capacity_Usage!$U$4:$U$18,Capacity_Usage!$C$4:$C$18,Capacity_Usage!C5),IF(Policy!$B$10=2,VLOOKUP(Capacity_Usage!C5,Policy!$D$11:$E$15,2,FALSE),Policy!$B$11))</f>
        <v/>
      </c>
      <c r="F5" s="24">
        <f>IFERROR(Capacity_Usage!S5/Capacity_Usage!R5,0)</f>
        <v/>
      </c>
      <c r="G5" s="24">
        <f>MIN(MAX(F5,0),1)</f>
        <v/>
      </c>
      <c r="H5" s="24">
        <f>IFERROR(Capacity_Usage!Q5/Capacity_Usage!O5,0)</f>
        <v/>
      </c>
      <c r="I5" s="24">
        <f>MIN(MAX(H5,0),1)</f>
        <v/>
      </c>
      <c r="J5" s="24">
        <f>IFERROR(1-Capacity_Usage!U5/E5,0)</f>
        <v/>
      </c>
      <c r="K5" s="24">
        <f>MIN(MAX(J5,0),1)</f>
        <v/>
      </c>
      <c r="L5" s="24">
        <f>IFERROR(Capacity_Usage!T5/Policy!$B$14,0)</f>
        <v/>
      </c>
      <c r="M5" s="24">
        <f>MIN(MAX(L5,0),1)</f>
        <v/>
      </c>
      <c r="N5" s="24">
        <f>Capacity_Usage!E5/3</f>
        <v/>
      </c>
      <c r="O5" s="24">
        <f>MIN(MAX(N5,0),1)</f>
        <v/>
      </c>
      <c r="P5" s="24">
        <f>Policy!$B$2*G5+Policy!$B$3*I5+Policy!$B$4*K5+Policy!$B$5*M5+Policy!$B$6*O5</f>
        <v/>
      </c>
      <c r="Q5" s="10">
        <f>IF(AND(C5=1,D5=1,A5&lt;&gt;Scoring_Prod!$T$3),P5,-1)</f>
        <v/>
      </c>
    </row>
    <row r="6">
      <c r="A6" s="10">
        <f>Capacity_Usage!B6</f>
        <v/>
      </c>
      <c r="B6" s="10">
        <f>Capacity_Usage!C6</f>
        <v/>
      </c>
      <c r="C6" s="10">
        <f>IF(Capacity_Usage!C6=Setup!$B$11,1,0)</f>
        <v/>
      </c>
      <c r="D6" s="10">
        <f>IF(HC_Gate!K6="YES",1,0)</f>
        <v/>
      </c>
      <c r="E6" s="10">
        <f>IF(Policy!$B$10=1,SUMIFS(Capacity_Usage!$U$4:$U$18,Capacity_Usage!$C$4:$C$18,Capacity_Usage!C6),IF(Policy!$B$10=2,VLOOKUP(Capacity_Usage!C6,Policy!$D$11:$E$15,2,FALSE),Policy!$B$11))</f>
        <v/>
      </c>
      <c r="F6" s="24">
        <f>IFERROR(Capacity_Usage!S6/Capacity_Usage!R6,0)</f>
        <v/>
      </c>
      <c r="G6" s="24">
        <f>MIN(MAX(F6,0),1)</f>
        <v/>
      </c>
      <c r="H6" s="24">
        <f>IFERROR(Capacity_Usage!Q6/Capacity_Usage!O6,0)</f>
        <v/>
      </c>
      <c r="I6" s="24">
        <f>MIN(MAX(H6,0),1)</f>
        <v/>
      </c>
      <c r="J6" s="24">
        <f>IFERROR(1-Capacity_Usage!U6/E6,0)</f>
        <v/>
      </c>
      <c r="K6" s="24">
        <f>MIN(MAX(J6,0),1)</f>
        <v/>
      </c>
      <c r="L6" s="24">
        <f>IFERROR(Capacity_Usage!T6/Policy!$B$14,0)</f>
        <v/>
      </c>
      <c r="M6" s="24">
        <f>MIN(MAX(L6,0),1)</f>
        <v/>
      </c>
      <c r="N6" s="24">
        <f>Capacity_Usage!E6/3</f>
        <v/>
      </c>
      <c r="O6" s="24">
        <f>MIN(MAX(N6,0),1)</f>
        <v/>
      </c>
      <c r="P6" s="24">
        <f>Policy!$B$2*G6+Policy!$B$3*I6+Policy!$B$4*K6+Policy!$B$5*M6+Policy!$B$6*O6</f>
        <v/>
      </c>
      <c r="Q6" s="10">
        <f>IF(AND(C6=1,D6=1,A6&lt;&gt;Scoring_Prod!$T$3),P6,-1)</f>
        <v/>
      </c>
    </row>
    <row r="7">
      <c r="A7" s="10">
        <f>Capacity_Usage!B7</f>
        <v/>
      </c>
      <c r="B7" s="10">
        <f>Capacity_Usage!C7</f>
        <v/>
      </c>
      <c r="C7" s="10">
        <f>IF(Capacity_Usage!C7=Setup!$B$11,1,0)</f>
        <v/>
      </c>
      <c r="D7" s="10">
        <f>IF(HC_Gate!K7="YES",1,0)</f>
        <v/>
      </c>
      <c r="E7" s="10">
        <f>IF(Policy!$B$10=1,SUMIFS(Capacity_Usage!$U$4:$U$18,Capacity_Usage!$C$4:$C$18,Capacity_Usage!C7),IF(Policy!$B$10=2,VLOOKUP(Capacity_Usage!C7,Policy!$D$11:$E$15,2,FALSE),Policy!$B$11))</f>
        <v/>
      </c>
      <c r="F7" s="24">
        <f>IFERROR(Capacity_Usage!S7/Capacity_Usage!R7,0)</f>
        <v/>
      </c>
      <c r="G7" s="24">
        <f>MIN(MAX(F7,0),1)</f>
        <v/>
      </c>
      <c r="H7" s="24">
        <f>IFERROR(Capacity_Usage!Q7/Capacity_Usage!O7,0)</f>
        <v/>
      </c>
      <c r="I7" s="24">
        <f>MIN(MAX(H7,0),1)</f>
        <v/>
      </c>
      <c r="J7" s="24">
        <f>IFERROR(1-Capacity_Usage!U7/E7,0)</f>
        <v/>
      </c>
      <c r="K7" s="24">
        <f>MIN(MAX(J7,0),1)</f>
        <v/>
      </c>
      <c r="L7" s="24">
        <f>IFERROR(Capacity_Usage!T7/Policy!$B$14,0)</f>
        <v/>
      </c>
      <c r="M7" s="24">
        <f>MIN(MAX(L7,0),1)</f>
        <v/>
      </c>
      <c r="N7" s="24">
        <f>Capacity_Usage!E7/3</f>
        <v/>
      </c>
      <c r="O7" s="24">
        <f>MIN(MAX(N7,0),1)</f>
        <v/>
      </c>
      <c r="P7" s="24">
        <f>Policy!$B$2*G7+Policy!$B$3*I7+Policy!$B$4*K7+Policy!$B$5*M7+Policy!$B$6*O7</f>
        <v/>
      </c>
      <c r="Q7" s="10">
        <f>IF(AND(C7=1,D7=1,A7&lt;&gt;Scoring_Prod!$T$3),P7,-1)</f>
        <v/>
      </c>
    </row>
    <row r="8">
      <c r="A8" s="10">
        <f>Capacity_Usage!B8</f>
        <v/>
      </c>
      <c r="B8" s="10">
        <f>Capacity_Usage!C8</f>
        <v/>
      </c>
      <c r="C8" s="10">
        <f>IF(Capacity_Usage!C8=Setup!$B$11,1,0)</f>
        <v/>
      </c>
      <c r="D8" s="10">
        <f>IF(HC_Gate!K8="YES",1,0)</f>
        <v/>
      </c>
      <c r="E8" s="10">
        <f>IF(Policy!$B$10=1,SUMIFS(Capacity_Usage!$U$4:$U$18,Capacity_Usage!$C$4:$C$18,Capacity_Usage!C8),IF(Policy!$B$10=2,VLOOKUP(Capacity_Usage!C8,Policy!$D$11:$E$15,2,FALSE),Policy!$B$11))</f>
        <v/>
      </c>
      <c r="F8" s="24">
        <f>IFERROR(Capacity_Usage!S8/Capacity_Usage!R8,0)</f>
        <v/>
      </c>
      <c r="G8" s="24">
        <f>MIN(MAX(F8,0),1)</f>
        <v/>
      </c>
      <c r="H8" s="24">
        <f>IFERROR(Capacity_Usage!Q8/Capacity_Usage!O8,0)</f>
        <v/>
      </c>
      <c r="I8" s="24">
        <f>MIN(MAX(H8,0),1)</f>
        <v/>
      </c>
      <c r="J8" s="24">
        <f>IFERROR(1-Capacity_Usage!U8/E8,0)</f>
        <v/>
      </c>
      <c r="K8" s="24">
        <f>MIN(MAX(J8,0),1)</f>
        <v/>
      </c>
      <c r="L8" s="24">
        <f>IFERROR(Capacity_Usage!T8/Policy!$B$14,0)</f>
        <v/>
      </c>
      <c r="M8" s="24">
        <f>MIN(MAX(L8,0),1)</f>
        <v/>
      </c>
      <c r="N8" s="24">
        <f>Capacity_Usage!E8/3</f>
        <v/>
      </c>
      <c r="O8" s="24">
        <f>MIN(MAX(N8,0),1)</f>
        <v/>
      </c>
      <c r="P8" s="24">
        <f>Policy!$B$2*G8+Policy!$B$3*I8+Policy!$B$4*K8+Policy!$B$5*M8+Policy!$B$6*O8</f>
        <v/>
      </c>
      <c r="Q8" s="10">
        <f>IF(AND(C8=1,D8=1,A8&lt;&gt;Scoring_Prod!$T$3),P8,-1)</f>
        <v/>
      </c>
    </row>
    <row r="9">
      <c r="A9" s="10">
        <f>Capacity_Usage!B9</f>
        <v/>
      </c>
      <c r="B9" s="10">
        <f>Capacity_Usage!C9</f>
        <v/>
      </c>
      <c r="C9" s="10">
        <f>IF(Capacity_Usage!C9=Setup!$B$11,1,0)</f>
        <v/>
      </c>
      <c r="D9" s="10">
        <f>IF(HC_Gate!K9="YES",1,0)</f>
        <v/>
      </c>
      <c r="E9" s="10">
        <f>IF(Policy!$B$10=1,SUMIFS(Capacity_Usage!$U$4:$U$18,Capacity_Usage!$C$4:$C$18,Capacity_Usage!C9),IF(Policy!$B$10=2,VLOOKUP(Capacity_Usage!C9,Policy!$D$11:$E$15,2,FALSE),Policy!$B$11))</f>
        <v/>
      </c>
      <c r="F9" s="24">
        <f>IFERROR(Capacity_Usage!S9/Capacity_Usage!R9,0)</f>
        <v/>
      </c>
      <c r="G9" s="24">
        <f>MIN(MAX(F9,0),1)</f>
        <v/>
      </c>
      <c r="H9" s="24">
        <f>IFERROR(Capacity_Usage!Q9/Capacity_Usage!O9,0)</f>
        <v/>
      </c>
      <c r="I9" s="24">
        <f>MIN(MAX(H9,0),1)</f>
        <v/>
      </c>
      <c r="J9" s="24">
        <f>IFERROR(1-Capacity_Usage!U9/E9,0)</f>
        <v/>
      </c>
      <c r="K9" s="24">
        <f>MIN(MAX(J9,0),1)</f>
        <v/>
      </c>
      <c r="L9" s="24">
        <f>IFERROR(Capacity_Usage!T9/Policy!$B$14,0)</f>
        <v/>
      </c>
      <c r="M9" s="24">
        <f>MIN(MAX(L9,0),1)</f>
        <v/>
      </c>
      <c r="N9" s="24">
        <f>Capacity_Usage!E9/3</f>
        <v/>
      </c>
      <c r="O9" s="24">
        <f>MIN(MAX(N9,0),1)</f>
        <v/>
      </c>
      <c r="P9" s="24">
        <f>Policy!$B$2*G9+Policy!$B$3*I9+Policy!$B$4*K9+Policy!$B$5*M9+Policy!$B$6*O9</f>
        <v/>
      </c>
      <c r="Q9" s="10">
        <f>IF(AND(C9=1,D9=1,A9&lt;&gt;Scoring_Prod!$T$3),P9,-1)</f>
        <v/>
      </c>
    </row>
    <row r="10">
      <c r="A10" s="10">
        <f>Capacity_Usage!B10</f>
        <v/>
      </c>
      <c r="B10" s="10">
        <f>Capacity_Usage!C10</f>
        <v/>
      </c>
      <c r="C10" s="10">
        <f>IF(Capacity_Usage!C10=Setup!$B$11,1,0)</f>
        <v/>
      </c>
      <c r="D10" s="10">
        <f>IF(HC_Gate!K10="YES",1,0)</f>
        <v/>
      </c>
      <c r="E10" s="10">
        <f>IF(Policy!$B$10=1,SUMIFS(Capacity_Usage!$U$4:$U$18,Capacity_Usage!$C$4:$C$18,Capacity_Usage!C10),IF(Policy!$B$10=2,VLOOKUP(Capacity_Usage!C10,Policy!$D$11:$E$15,2,FALSE),Policy!$B$11))</f>
        <v/>
      </c>
      <c r="F10" s="24">
        <f>IFERROR(Capacity_Usage!S10/Capacity_Usage!R10,0)</f>
        <v/>
      </c>
      <c r="G10" s="24">
        <f>MIN(MAX(F10,0),1)</f>
        <v/>
      </c>
      <c r="H10" s="24">
        <f>IFERROR(Capacity_Usage!Q10/Capacity_Usage!O10,0)</f>
        <v/>
      </c>
      <c r="I10" s="24">
        <f>MIN(MAX(H10,0),1)</f>
        <v/>
      </c>
      <c r="J10" s="24">
        <f>IFERROR(1-Capacity_Usage!U10/E10,0)</f>
        <v/>
      </c>
      <c r="K10" s="24">
        <f>MIN(MAX(J10,0),1)</f>
        <v/>
      </c>
      <c r="L10" s="24">
        <f>IFERROR(Capacity_Usage!T10/Policy!$B$14,0)</f>
        <v/>
      </c>
      <c r="M10" s="24">
        <f>MIN(MAX(L10,0),1)</f>
        <v/>
      </c>
      <c r="N10" s="24">
        <f>Capacity_Usage!E10/3</f>
        <v/>
      </c>
      <c r="O10" s="24">
        <f>MIN(MAX(N10,0),1)</f>
        <v/>
      </c>
      <c r="P10" s="24">
        <f>Policy!$B$2*G10+Policy!$B$3*I10+Policy!$B$4*K10+Policy!$B$5*M10+Policy!$B$6*O10</f>
        <v/>
      </c>
      <c r="Q10" s="10">
        <f>IF(AND(C10=1,D10=1,A10&lt;&gt;Scoring_Prod!$T$3),P10,-1)</f>
        <v/>
      </c>
    </row>
    <row r="11">
      <c r="A11" s="10">
        <f>Capacity_Usage!B11</f>
        <v/>
      </c>
      <c r="B11" s="10">
        <f>Capacity_Usage!C11</f>
        <v/>
      </c>
      <c r="C11" s="10">
        <f>IF(Capacity_Usage!C11=Setup!$B$11,1,0)</f>
        <v/>
      </c>
      <c r="D11" s="10">
        <f>IF(HC_Gate!K11="YES",1,0)</f>
        <v/>
      </c>
      <c r="E11" s="10">
        <f>IF(Policy!$B$10=1,SUMIFS(Capacity_Usage!$U$4:$U$18,Capacity_Usage!$C$4:$C$18,Capacity_Usage!C11),IF(Policy!$B$10=2,VLOOKUP(Capacity_Usage!C11,Policy!$D$11:$E$15,2,FALSE),Policy!$B$11))</f>
        <v/>
      </c>
      <c r="F11" s="24">
        <f>IFERROR(Capacity_Usage!S11/Capacity_Usage!R11,0)</f>
        <v/>
      </c>
      <c r="G11" s="24">
        <f>MIN(MAX(F11,0),1)</f>
        <v/>
      </c>
      <c r="H11" s="24">
        <f>IFERROR(Capacity_Usage!Q11/Capacity_Usage!O11,0)</f>
        <v/>
      </c>
      <c r="I11" s="24">
        <f>MIN(MAX(H11,0),1)</f>
        <v/>
      </c>
      <c r="J11" s="24">
        <f>IFERROR(1-Capacity_Usage!U11/E11,0)</f>
        <v/>
      </c>
      <c r="K11" s="24">
        <f>MIN(MAX(J11,0),1)</f>
        <v/>
      </c>
      <c r="L11" s="24">
        <f>IFERROR(Capacity_Usage!T11/Policy!$B$14,0)</f>
        <v/>
      </c>
      <c r="M11" s="24">
        <f>MIN(MAX(L11,0),1)</f>
        <v/>
      </c>
      <c r="N11" s="24">
        <f>Capacity_Usage!E11/3</f>
        <v/>
      </c>
      <c r="O11" s="24">
        <f>MIN(MAX(N11,0),1)</f>
        <v/>
      </c>
      <c r="P11" s="24">
        <f>Policy!$B$2*G11+Policy!$B$3*I11+Policy!$B$4*K11+Policy!$B$5*M11+Policy!$B$6*O11</f>
        <v/>
      </c>
      <c r="Q11" s="10">
        <f>IF(AND(C11=1,D11=1,A11&lt;&gt;Scoring_Prod!$T$3),P11,-1)</f>
        <v/>
      </c>
    </row>
    <row r="12">
      <c r="A12" s="10">
        <f>Capacity_Usage!B12</f>
        <v/>
      </c>
      <c r="B12" s="10">
        <f>Capacity_Usage!C12</f>
        <v/>
      </c>
      <c r="C12" s="10">
        <f>IF(Capacity_Usage!C12=Setup!$B$11,1,0)</f>
        <v/>
      </c>
      <c r="D12" s="10">
        <f>IF(HC_Gate!K12="YES",1,0)</f>
        <v/>
      </c>
      <c r="E12" s="10">
        <f>IF(Policy!$B$10=1,SUMIFS(Capacity_Usage!$U$4:$U$18,Capacity_Usage!$C$4:$C$18,Capacity_Usage!C12),IF(Policy!$B$10=2,VLOOKUP(Capacity_Usage!C12,Policy!$D$11:$E$15,2,FALSE),Policy!$B$11))</f>
        <v/>
      </c>
      <c r="F12" s="24">
        <f>IFERROR(Capacity_Usage!S12/Capacity_Usage!R12,0)</f>
        <v/>
      </c>
      <c r="G12" s="24">
        <f>MIN(MAX(F12,0),1)</f>
        <v/>
      </c>
      <c r="H12" s="24">
        <f>IFERROR(Capacity_Usage!Q12/Capacity_Usage!O12,0)</f>
        <v/>
      </c>
      <c r="I12" s="24">
        <f>MIN(MAX(H12,0),1)</f>
        <v/>
      </c>
      <c r="J12" s="24">
        <f>IFERROR(1-Capacity_Usage!U12/E12,0)</f>
        <v/>
      </c>
      <c r="K12" s="24">
        <f>MIN(MAX(J12,0),1)</f>
        <v/>
      </c>
      <c r="L12" s="24">
        <f>IFERROR(Capacity_Usage!T12/Policy!$B$14,0)</f>
        <v/>
      </c>
      <c r="M12" s="24">
        <f>MIN(MAX(L12,0),1)</f>
        <v/>
      </c>
      <c r="N12" s="24">
        <f>Capacity_Usage!E12/3</f>
        <v/>
      </c>
      <c r="O12" s="24">
        <f>MIN(MAX(N12,0),1)</f>
        <v/>
      </c>
      <c r="P12" s="24">
        <f>Policy!$B$2*G12+Policy!$B$3*I12+Policy!$B$4*K12+Policy!$B$5*M12+Policy!$B$6*O12</f>
        <v/>
      </c>
      <c r="Q12" s="10">
        <f>IF(AND(C12=1,D12=1,A12&lt;&gt;Scoring_Prod!$T$3),P12,-1)</f>
        <v/>
      </c>
    </row>
    <row r="13">
      <c r="A13" s="10">
        <f>Capacity_Usage!B13</f>
        <v/>
      </c>
      <c r="B13" s="10">
        <f>Capacity_Usage!C13</f>
        <v/>
      </c>
      <c r="C13" s="10">
        <f>IF(Capacity_Usage!C13=Setup!$B$11,1,0)</f>
        <v/>
      </c>
      <c r="D13" s="10">
        <f>IF(HC_Gate!K13="YES",1,0)</f>
        <v/>
      </c>
      <c r="E13" s="10">
        <f>IF(Policy!$B$10=1,SUMIFS(Capacity_Usage!$U$4:$U$18,Capacity_Usage!$C$4:$C$18,Capacity_Usage!C13),IF(Policy!$B$10=2,VLOOKUP(Capacity_Usage!C13,Policy!$D$11:$E$15,2,FALSE),Policy!$B$11))</f>
        <v/>
      </c>
      <c r="F13" s="24">
        <f>IFERROR(Capacity_Usage!S13/Capacity_Usage!R13,0)</f>
        <v/>
      </c>
      <c r="G13" s="24">
        <f>MIN(MAX(F13,0),1)</f>
        <v/>
      </c>
      <c r="H13" s="24">
        <f>IFERROR(Capacity_Usage!Q13/Capacity_Usage!O13,0)</f>
        <v/>
      </c>
      <c r="I13" s="24">
        <f>MIN(MAX(H13,0),1)</f>
        <v/>
      </c>
      <c r="J13" s="24">
        <f>IFERROR(1-Capacity_Usage!U13/E13,0)</f>
        <v/>
      </c>
      <c r="K13" s="24">
        <f>MIN(MAX(J13,0),1)</f>
        <v/>
      </c>
      <c r="L13" s="24">
        <f>IFERROR(Capacity_Usage!T13/Policy!$B$14,0)</f>
        <v/>
      </c>
      <c r="M13" s="24">
        <f>MIN(MAX(L13,0),1)</f>
        <v/>
      </c>
      <c r="N13" s="24">
        <f>Capacity_Usage!E13/3</f>
        <v/>
      </c>
      <c r="O13" s="24">
        <f>MIN(MAX(N13,0),1)</f>
        <v/>
      </c>
      <c r="P13" s="24">
        <f>Policy!$B$2*G13+Policy!$B$3*I13+Policy!$B$4*K13+Policy!$B$5*M13+Policy!$B$6*O13</f>
        <v/>
      </c>
      <c r="Q13" s="10">
        <f>IF(AND(C13=1,D13=1,A13&lt;&gt;Scoring_Prod!$T$3),P13,-1)</f>
        <v/>
      </c>
    </row>
    <row r="14">
      <c r="A14" s="10">
        <f>Capacity_Usage!B14</f>
        <v/>
      </c>
      <c r="B14" s="10">
        <f>Capacity_Usage!C14</f>
        <v/>
      </c>
      <c r="C14" s="10">
        <f>IF(Capacity_Usage!C14=Setup!$B$11,1,0)</f>
        <v/>
      </c>
      <c r="D14" s="10">
        <f>IF(HC_Gate!K14="YES",1,0)</f>
        <v/>
      </c>
      <c r="E14" s="10">
        <f>IF(Policy!$B$10=1,SUMIFS(Capacity_Usage!$U$4:$U$18,Capacity_Usage!$C$4:$C$18,Capacity_Usage!C14),IF(Policy!$B$10=2,VLOOKUP(Capacity_Usage!C14,Policy!$D$11:$E$15,2,FALSE),Policy!$B$11))</f>
        <v/>
      </c>
      <c r="F14" s="24">
        <f>IFERROR(Capacity_Usage!S14/Capacity_Usage!R14,0)</f>
        <v/>
      </c>
      <c r="G14" s="24">
        <f>MIN(MAX(F14,0),1)</f>
        <v/>
      </c>
      <c r="H14" s="24">
        <f>IFERROR(Capacity_Usage!Q14/Capacity_Usage!O14,0)</f>
        <v/>
      </c>
      <c r="I14" s="24">
        <f>MIN(MAX(H14,0),1)</f>
        <v/>
      </c>
      <c r="J14" s="24">
        <f>IFERROR(1-Capacity_Usage!U14/E14,0)</f>
        <v/>
      </c>
      <c r="K14" s="24">
        <f>MIN(MAX(J14,0),1)</f>
        <v/>
      </c>
      <c r="L14" s="24">
        <f>IFERROR(Capacity_Usage!T14/Policy!$B$14,0)</f>
        <v/>
      </c>
      <c r="M14" s="24">
        <f>MIN(MAX(L14,0),1)</f>
        <v/>
      </c>
      <c r="N14" s="24">
        <f>Capacity_Usage!E14/3</f>
        <v/>
      </c>
      <c r="O14" s="24">
        <f>MIN(MAX(N14,0),1)</f>
        <v/>
      </c>
      <c r="P14" s="24">
        <f>Policy!$B$2*G14+Policy!$B$3*I14+Policy!$B$4*K14+Policy!$B$5*M14+Policy!$B$6*O14</f>
        <v/>
      </c>
      <c r="Q14" s="10">
        <f>IF(AND(C14=1,D14=1,A14&lt;&gt;Scoring_Prod!$T$3),P14,-1)</f>
        <v/>
      </c>
    </row>
    <row r="15">
      <c r="A15" s="10">
        <f>Capacity_Usage!B15</f>
        <v/>
      </c>
      <c r="B15" s="10">
        <f>Capacity_Usage!C15</f>
        <v/>
      </c>
      <c r="C15" s="10">
        <f>IF(Capacity_Usage!C15=Setup!$B$11,1,0)</f>
        <v/>
      </c>
      <c r="D15" s="10">
        <f>IF(HC_Gate!K15="YES",1,0)</f>
        <v/>
      </c>
      <c r="E15" s="10">
        <f>IF(Policy!$B$10=1,SUMIFS(Capacity_Usage!$U$4:$U$18,Capacity_Usage!$C$4:$C$18,Capacity_Usage!C15),IF(Policy!$B$10=2,VLOOKUP(Capacity_Usage!C15,Policy!$D$11:$E$15,2,FALSE),Policy!$B$11))</f>
        <v/>
      </c>
      <c r="F15" s="24">
        <f>IFERROR(Capacity_Usage!S15/Capacity_Usage!R15,0)</f>
        <v/>
      </c>
      <c r="G15" s="24">
        <f>MIN(MAX(F15,0),1)</f>
        <v/>
      </c>
      <c r="H15" s="24">
        <f>IFERROR(Capacity_Usage!Q15/Capacity_Usage!O15,0)</f>
        <v/>
      </c>
      <c r="I15" s="24">
        <f>MIN(MAX(H15,0),1)</f>
        <v/>
      </c>
      <c r="J15" s="24">
        <f>IFERROR(1-Capacity_Usage!U15/E15,0)</f>
        <v/>
      </c>
      <c r="K15" s="24">
        <f>MIN(MAX(J15,0),1)</f>
        <v/>
      </c>
      <c r="L15" s="24">
        <f>IFERROR(Capacity_Usage!T15/Policy!$B$14,0)</f>
        <v/>
      </c>
      <c r="M15" s="24">
        <f>MIN(MAX(L15,0),1)</f>
        <v/>
      </c>
      <c r="N15" s="24">
        <f>Capacity_Usage!E15/3</f>
        <v/>
      </c>
      <c r="O15" s="24">
        <f>MIN(MAX(N15,0),1)</f>
        <v/>
      </c>
      <c r="P15" s="24">
        <f>Policy!$B$2*G15+Policy!$B$3*I15+Policy!$B$4*K15+Policy!$B$5*M15+Policy!$B$6*O15</f>
        <v/>
      </c>
      <c r="Q15" s="10">
        <f>IF(AND(C15=1,D15=1,A15&lt;&gt;Scoring_Prod!$T$3),P15,-1)</f>
        <v/>
      </c>
    </row>
    <row r="16">
      <c r="A16" s="10">
        <f>Capacity_Usage!B16</f>
        <v/>
      </c>
      <c r="B16" s="10">
        <f>Capacity_Usage!C16</f>
        <v/>
      </c>
      <c r="C16" s="10">
        <f>IF(Capacity_Usage!C16=Setup!$B$11,1,0)</f>
        <v/>
      </c>
      <c r="D16" s="10">
        <f>IF(HC_Gate!K16="YES",1,0)</f>
        <v/>
      </c>
      <c r="E16" s="10">
        <f>IF(Policy!$B$10=1,SUMIFS(Capacity_Usage!$U$4:$U$18,Capacity_Usage!$C$4:$C$18,Capacity_Usage!C16),IF(Policy!$B$10=2,VLOOKUP(Capacity_Usage!C16,Policy!$D$11:$E$15,2,FALSE),Policy!$B$11))</f>
        <v/>
      </c>
      <c r="F16" s="24">
        <f>IFERROR(Capacity_Usage!S16/Capacity_Usage!R16,0)</f>
        <v/>
      </c>
      <c r="G16" s="24">
        <f>MIN(MAX(F16,0),1)</f>
        <v/>
      </c>
      <c r="H16" s="24">
        <f>IFERROR(Capacity_Usage!Q16/Capacity_Usage!O16,0)</f>
        <v/>
      </c>
      <c r="I16" s="24">
        <f>MIN(MAX(H16,0),1)</f>
        <v/>
      </c>
      <c r="J16" s="24">
        <f>IFERROR(1-Capacity_Usage!U16/E16,0)</f>
        <v/>
      </c>
      <c r="K16" s="24">
        <f>MIN(MAX(J16,0),1)</f>
        <v/>
      </c>
      <c r="L16" s="24">
        <f>IFERROR(Capacity_Usage!T16/Policy!$B$14,0)</f>
        <v/>
      </c>
      <c r="M16" s="24">
        <f>MIN(MAX(L16,0),1)</f>
        <v/>
      </c>
      <c r="N16" s="24">
        <f>Capacity_Usage!E16/3</f>
        <v/>
      </c>
      <c r="O16" s="24">
        <f>MIN(MAX(N16,0),1)</f>
        <v/>
      </c>
      <c r="P16" s="24">
        <f>Policy!$B$2*G16+Policy!$B$3*I16+Policy!$B$4*K16+Policy!$B$5*M16+Policy!$B$6*O16</f>
        <v/>
      </c>
      <c r="Q16" s="10">
        <f>IF(AND(C16=1,D16=1,A16&lt;&gt;Scoring_Prod!$T$3),P16,-1)</f>
        <v/>
      </c>
    </row>
    <row r="17">
      <c r="A17" s="10">
        <f>Capacity_Usage!B17</f>
        <v/>
      </c>
      <c r="B17" s="10">
        <f>Capacity_Usage!C17</f>
        <v/>
      </c>
      <c r="C17" s="10">
        <f>IF(Capacity_Usage!C17=Setup!$B$11,1,0)</f>
        <v/>
      </c>
      <c r="D17" s="10">
        <f>IF(HC_Gate!K17="YES",1,0)</f>
        <v/>
      </c>
      <c r="E17" s="10">
        <f>IF(Policy!$B$10=1,SUMIFS(Capacity_Usage!$U$4:$U$18,Capacity_Usage!$C$4:$C$18,Capacity_Usage!C17),IF(Policy!$B$10=2,VLOOKUP(Capacity_Usage!C17,Policy!$D$11:$E$15,2,FALSE),Policy!$B$11))</f>
        <v/>
      </c>
      <c r="F17" s="24">
        <f>IFERROR(Capacity_Usage!S17/Capacity_Usage!R17,0)</f>
        <v/>
      </c>
      <c r="G17" s="24">
        <f>MIN(MAX(F17,0),1)</f>
        <v/>
      </c>
      <c r="H17" s="24">
        <f>IFERROR(Capacity_Usage!Q17/Capacity_Usage!O17,0)</f>
        <v/>
      </c>
      <c r="I17" s="24">
        <f>MIN(MAX(H17,0),1)</f>
        <v/>
      </c>
      <c r="J17" s="24">
        <f>IFERROR(1-Capacity_Usage!U17/E17,0)</f>
        <v/>
      </c>
      <c r="K17" s="24">
        <f>MIN(MAX(J17,0),1)</f>
        <v/>
      </c>
      <c r="L17" s="24">
        <f>IFERROR(Capacity_Usage!T17/Policy!$B$14,0)</f>
        <v/>
      </c>
      <c r="M17" s="24">
        <f>MIN(MAX(L17,0),1)</f>
        <v/>
      </c>
      <c r="N17" s="24">
        <f>Capacity_Usage!E17/3</f>
        <v/>
      </c>
      <c r="O17" s="24">
        <f>MIN(MAX(N17,0),1)</f>
        <v/>
      </c>
      <c r="P17" s="24">
        <f>Policy!$B$2*G17+Policy!$B$3*I17+Policy!$B$4*K17+Policy!$B$5*M17+Policy!$B$6*O17</f>
        <v/>
      </c>
      <c r="Q17" s="10">
        <f>IF(AND(C17=1,D17=1,A17&lt;&gt;Scoring_Prod!$T$3),P17,-1)</f>
        <v/>
      </c>
    </row>
    <row r="18">
      <c r="A18" s="10">
        <f>Capacity_Usage!B18</f>
        <v/>
      </c>
      <c r="B18" s="10">
        <f>Capacity_Usage!C18</f>
        <v/>
      </c>
      <c r="C18" s="10">
        <f>IF(Capacity_Usage!C18=Setup!$B$11,1,0)</f>
        <v/>
      </c>
      <c r="D18" s="10">
        <f>IF(HC_Gate!K18="YES",1,0)</f>
        <v/>
      </c>
      <c r="E18" s="10">
        <f>IF(Policy!$B$10=1,SUMIFS(Capacity_Usage!$U$4:$U$18,Capacity_Usage!$C$4:$C$18,Capacity_Usage!C18),IF(Policy!$B$10=2,VLOOKUP(Capacity_Usage!C18,Policy!$D$11:$E$15,2,FALSE),Policy!$B$11))</f>
        <v/>
      </c>
      <c r="F18" s="24">
        <f>IFERROR(Capacity_Usage!S18/Capacity_Usage!R18,0)</f>
        <v/>
      </c>
      <c r="G18" s="24">
        <f>MIN(MAX(F18,0),1)</f>
        <v/>
      </c>
      <c r="H18" s="24">
        <f>IFERROR(Capacity_Usage!Q18/Capacity_Usage!O18,0)</f>
        <v/>
      </c>
      <c r="I18" s="24">
        <f>MIN(MAX(H18,0),1)</f>
        <v/>
      </c>
      <c r="J18" s="24">
        <f>IFERROR(1-Capacity_Usage!U18/E18,0)</f>
        <v/>
      </c>
      <c r="K18" s="24">
        <f>MIN(MAX(J18,0),1)</f>
        <v/>
      </c>
      <c r="L18" s="24">
        <f>IFERROR(Capacity_Usage!T18/Policy!$B$14,0)</f>
        <v/>
      </c>
      <c r="M18" s="24">
        <f>MIN(MAX(L18,0),1)</f>
        <v/>
      </c>
      <c r="N18" s="24">
        <f>Capacity_Usage!E18/3</f>
        <v/>
      </c>
      <c r="O18" s="24">
        <f>MIN(MAX(N18,0),1)</f>
        <v/>
      </c>
      <c r="P18" s="24">
        <f>Policy!$B$2*G18+Policy!$B$3*I18+Policy!$B$4*K18+Policy!$B$5*M18+Policy!$B$6*O18</f>
        <v/>
      </c>
      <c r="Q18" s="10">
        <f>IF(AND(C18=1,D18=1,A18&lt;&gt;Scoring_Prod!$T$3),P18,-1)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4" customWidth="1" min="4" max="4"/>
    <col width="28" customWidth="1" min="5" max="5"/>
    <col width="16" customWidth="1" min="6" max="6"/>
  </cols>
  <sheetData>
    <row r="1">
      <c r="A1" s="7" t="inlineStr">
        <is>
          <t>RESULT — Region Selection (What-If)</t>
        </is>
      </c>
    </row>
    <row r="3">
      <c r="A3" s="14" t="inlineStr">
        <is>
          <t>Customer ID</t>
        </is>
      </c>
      <c r="B3" s="10">
        <f>Setup!B9</f>
        <v/>
      </c>
      <c r="E3" s="23" t="inlineStr">
        <is>
          <t>DR SIZING (max-not-sum, A.6 / DR-017)</t>
        </is>
      </c>
    </row>
    <row r="4">
      <c r="A4" s="14" t="inlineStr">
        <is>
          <t>Geography</t>
        </is>
      </c>
      <c r="B4" s="10">
        <f>Setup!B3</f>
        <v/>
      </c>
    </row>
    <row r="5">
      <c r="A5" s="14" t="inlineStr">
        <is>
          <t>SKU</t>
        </is>
      </c>
      <c r="B5" s="10">
        <f>Setup!B4</f>
        <v/>
      </c>
      <c r="E5" s="14" t="inlineStr">
        <is>
          <t>DR region</t>
        </is>
      </c>
      <c r="F5" s="10">
        <f>B11</f>
        <v/>
      </c>
    </row>
    <row r="6">
      <c r="A6" s="14" t="inlineStr">
        <is>
          <t>Requested vCPU</t>
        </is>
      </c>
      <c r="B6" s="10">
        <f>Setup!B7</f>
        <v/>
      </c>
      <c r="E6" s="14" t="inlineStr">
        <is>
          <t>Max source customers</t>
        </is>
      </c>
      <c r="F6" s="10">
        <f>SUMPRODUCT(MAX((Capacity_Usage!$C$4:$C$18=Setup!$B$11)*Capacity_Usage!$U$4:$U$18))</f>
        <v/>
      </c>
    </row>
    <row r="7">
      <c r="E7" s="14" t="inlineStr">
        <is>
          <t>× Requested vCPU</t>
        </is>
      </c>
      <c r="F7" s="10">
        <f>Setup!B7</f>
        <v/>
      </c>
    </row>
    <row r="8">
      <c r="A8" s="9" t="inlineStr">
        <is>
          <t>Environment</t>
        </is>
      </c>
      <c r="B8" s="9" t="inlineStr">
        <is>
          <t>Region</t>
        </is>
      </c>
      <c r="C8" s="9" t="inlineStr">
        <is>
          <t>Score</t>
        </is>
      </c>
      <c r="E8" s="14" t="inlineStr">
        <is>
          <t>DR Requirement (max-not-sum)</t>
        </is>
      </c>
      <c r="F8" s="26">
        <f>F6*F7</f>
        <v/>
      </c>
    </row>
    <row r="9">
      <c r="A9" s="14" t="inlineStr">
        <is>
          <t>Prod</t>
        </is>
      </c>
      <c r="B9" s="10">
        <f>Scoring_Prod!T3</f>
        <v/>
      </c>
      <c r="C9" s="24">
        <f>Scoring_Prod!T4</f>
        <v/>
      </c>
      <c r="E9" s="14" t="inlineStr">
        <is>
          <t>DR Reserved (region)</t>
        </is>
      </c>
      <c r="F9" s="10">
        <f>IFERROR(INDEX(Capacity_Usage!$R$4:$R$18,MATCH(B11,Capacity_Usage!$B$4:$B$18,0)),0)</f>
        <v/>
      </c>
    </row>
    <row r="10">
      <c r="A10" s="14" t="inlineStr">
        <is>
          <t>CVAL</t>
        </is>
      </c>
      <c r="B10" s="10">
        <f>Scoring_CVAL!T2</f>
        <v/>
      </c>
      <c r="C10" s="24">
        <f>Scoring_CVAL!T3</f>
        <v/>
      </c>
      <c r="E10" s="14" t="inlineStr">
        <is>
          <t>DR Gap</t>
        </is>
      </c>
      <c r="F10" s="10">
        <f>MAX(0,F8-F9)</f>
        <v/>
      </c>
    </row>
    <row r="11">
      <c r="A11" s="14" t="inlineStr">
        <is>
          <t>DR</t>
        </is>
      </c>
      <c r="B11" s="10">
        <f>Scoring_DR!T2</f>
        <v/>
      </c>
      <c r="C11" s="24">
        <f>Scoring_DR!T3</f>
        <v/>
      </c>
      <c r="E11" s="27" t="inlineStr">
        <is>
          <t>Note: illustrative — sources = regions in DR scope geography.</t>
        </is>
      </c>
    </row>
    <row r="13">
      <c r="A13" s="14" t="inlineStr">
        <is>
          <t>Readiness State</t>
        </is>
      </c>
      <c r="B13" s="26">
        <f>IF(B9="NONE ELIGIBLE","QUOTA_DEFICIT / CAPACITY_UNAVAILABLE (Prod)",IF(B10="NONE ELIGIBLE","CAPACITY_UNAVAILABLE (CVAL)",IF(B11="NONE ELIGIBLE","READY_WITH_RISK (no DR region)","READY")))</f>
        <v/>
      </c>
    </row>
    <row r="15">
      <c r="A15" s="14" t="inlineStr">
        <is>
          <t>Policy version</t>
        </is>
      </c>
      <c r="B15" s="10">
        <f>"whatif-v1  (weights "&amp;TEXT(Policy!B7,"0.00")&amp;" — "&amp;Policy!B8&amp;")"</f>
        <v/>
      </c>
    </row>
  </sheetData>
  <mergeCells count="2">
    <mergeCell ref="E3:F3"/>
    <mergeCell ref="E11:F11"/>
  </mergeCells>
  <conditionalFormatting sqref="B13">
    <cfRule type="cellIs" priority="1" operator="equal" dxfId="0">
      <formula>"READY"</formula>
    </cfRule>
    <cfRule type="expression" priority="2" dxfId="1">
      <formula>ISNUMBER(SEARCH("DEFICIT",B13))</formula>
    </cfRule>
    <cfRule type="expression" priority="3" dxfId="1">
      <formula>ISNUMBER(SEARCH("UNAVAILABLE",B13))</formula>
    </cfRule>
    <cfRule type="expression" priority="4" dxfId="2">
      <formula>ISNUMBER(SEARCH("RISK",B13))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2026-09-21T16:43:37Z</dcterms:created>
  <dcterms:modified xmlns:dcterms="http://purl.org/dc/terms/" xmlns:xsi="http://www.w3.org/2001/XMLSchema-instance" xsi:type="dcterms:W3CDTF">2026-09-21T16:43:37Z</dcterms:modified>
</cp:coreProperties>
</file>