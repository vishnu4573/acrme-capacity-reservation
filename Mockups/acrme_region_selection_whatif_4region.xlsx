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_To_Use" sheetId="1" state="visible" r:id="rId1"/>
    <sheet xmlns:r="http://schemas.openxmlformats.org/officeDocument/2006/relationships" name="Usage_Source" sheetId="2" state="visible" r:id="rId2"/>
    <sheet xmlns:r="http://schemas.openxmlformats.org/officeDocument/2006/relationships" name="Setup" sheetId="3" state="visible" r:id="rId3"/>
    <sheet xmlns:r="http://schemas.openxmlformats.org/officeDocument/2006/relationships" name="Policy" sheetId="4" state="visible" r:id="rId4"/>
    <sheet xmlns:r="http://schemas.openxmlformats.org/officeDocument/2006/relationships" name="Capacity_Usage" sheetId="5" state="visible" r:id="rId5"/>
    <sheet xmlns:r="http://schemas.openxmlformats.org/officeDocument/2006/relationships" name="HC_Gate" sheetId="6" state="visible" r:id="rId6"/>
    <sheet xmlns:r="http://schemas.openxmlformats.org/officeDocument/2006/relationships" name="Scoring_Prod" sheetId="7" state="visible" r:id="rId7"/>
    <sheet xmlns:r="http://schemas.openxmlformats.org/officeDocument/2006/relationships" name="Scoring_CVAL" sheetId="8" state="visible" r:id="rId8"/>
    <sheet xmlns:r="http://schemas.openxmlformats.org/officeDocument/2006/relationships" name="Scoring_DR" sheetId="9" state="visible" r:id="rId9"/>
    <sheet xmlns:r="http://schemas.openxmlformats.org/officeDocument/2006/relationships" name="Result" sheetId="10" state="visible" r:id="rId10"/>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1F3864"/>
      <sz val="16"/>
    </font>
    <font>
      <i val="1"/>
      <color rgb="00808080"/>
    </font>
    <font>
      <b val="1"/>
      <color rgb="001F3864"/>
      <sz val="12"/>
    </font>
    <font>
      <b val="1"/>
      <color rgb="00FFFFFF"/>
    </font>
    <font>
      <b val="1"/>
    </font>
    <font>
      <b val="1"/>
      <color rgb="00C00000"/>
    </font>
    <font>
      <i val="1"/>
      <color rgb="00C00000"/>
    </font>
    <font>
      <i val="1"/>
      <color rgb="00808080"/>
      <sz val="9"/>
    </font>
  </fonts>
  <fills count="10">
    <fill>
      <patternFill/>
    </fill>
    <fill>
      <patternFill patternType="gray125"/>
    </fill>
    <fill>
      <patternFill patternType="solid">
        <fgColor rgb="00D9E1F2"/>
      </patternFill>
    </fill>
    <fill>
      <patternFill patternType="solid">
        <fgColor rgb="00E7E6E6"/>
      </patternFill>
    </fill>
    <fill>
      <patternFill patternType="solid">
        <fgColor rgb="00FCE4D6"/>
      </patternFill>
    </fill>
    <fill>
      <patternFill patternType="solid">
        <fgColor rgb="00E2EFDA"/>
      </patternFill>
    </fill>
    <fill>
      <patternFill patternType="solid">
        <fgColor rgb="00FDE9D9"/>
      </patternFill>
    </fill>
    <fill>
      <patternFill patternType="solid">
        <fgColor rgb="001F3864"/>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1" fillId="0" borderId="0" pivotButton="0" quotePrefix="0" xfId="0"/>
    <xf numFmtId="0" fontId="2" fillId="0" borderId="0" pivotButton="0" quotePrefix="0" xfId="0"/>
    <xf numFmtId="0" fontId="4" fillId="7" borderId="1" applyAlignment="1" pivotButton="0" quotePrefix="0" xfId="0">
      <alignment horizontal="center" vertical="center"/>
    </xf>
    <xf numFmtId="0" fontId="0" fillId="0" borderId="1" applyAlignment="1" pivotButton="0" quotePrefix="0" xfId="0">
      <alignment horizontal="center" vertical="center"/>
    </xf>
    <xf numFmtId="3" fontId="0" fillId="0" borderId="1" applyAlignment="1" pivotButton="0" quotePrefix="0" xfId="0">
      <alignment horizontal="center" vertical="center"/>
    </xf>
    <xf numFmtId="0" fontId="0" fillId="4" borderId="1" applyAlignment="1" pivotButton="0" quotePrefix="0" xfId="0">
      <alignment horizontal="center" vertical="center"/>
    </xf>
    <xf numFmtId="0" fontId="5" fillId="0" borderId="0" pivotButton="0" quotePrefix="0" xfId="0"/>
    <xf numFmtId="3" fontId="5" fillId="0" borderId="0" pivotButton="0" quotePrefix="0" xfId="0"/>
    <xf numFmtId="0" fontId="6" fillId="0" borderId="0" pivotButton="0" quotePrefix="0" xfId="0"/>
    <xf numFmtId="0" fontId="5" fillId="0" borderId="1" pivotButton="0" quotePrefix="0" xfId="0"/>
    <xf numFmtId="0" fontId="0" fillId="6" borderId="1" applyAlignment="1" pivotButton="0" quotePrefix="0" xfId="0">
      <alignment horizontal="center" vertical="center"/>
    </xf>
    <xf numFmtId="0" fontId="7" fillId="0" borderId="1" applyAlignment="1" pivotButton="0" quotePrefix="0" xfId="0">
      <alignment vertical="top" wrapText="1"/>
    </xf>
    <xf numFmtId="0" fontId="0" fillId="0" borderId="1" pivotButton="0" quotePrefix="0" xfId="0"/>
    <xf numFmtId="0" fontId="0" fillId="5" borderId="1" applyAlignment="1" pivotButton="0" quotePrefix="0" xfId="0">
      <alignment horizontal="center" vertical="center"/>
    </xf>
    <xf numFmtId="0" fontId="4" fillId="7" borderId="0" applyAlignment="1" pivotButton="0" quotePrefix="0" xfId="0">
      <alignment horizontal="center" vertical="center"/>
    </xf>
    <xf numFmtId="0" fontId="0" fillId="8" borderId="1" applyAlignment="1" pivotButton="0" quotePrefix="0" xfId="0">
      <alignment horizontal="center" vertical="center"/>
    </xf>
    <xf numFmtId="0" fontId="0" fillId="0" borderId="0" applyAlignment="1" pivotButton="0" quotePrefix="0" xfId="0">
      <alignment horizontal="center" vertical="center"/>
    </xf>
    <xf numFmtId="0" fontId="5" fillId="0" borderId="0" applyAlignment="1" pivotButton="0" quotePrefix="0" xfId="0">
      <alignment horizontal="center" vertical="center"/>
    </xf>
    <xf numFmtId="0" fontId="8" fillId="0" borderId="0" applyAlignment="1" pivotButton="0" quotePrefix="0" xfId="0">
      <alignment vertical="top" wrapText="1"/>
    </xf>
    <xf numFmtId="3" fontId="0" fillId="8" borderId="1" applyAlignment="1" pivotButton="0" quotePrefix="0" xfId="0">
      <alignment horizontal="center" vertical="center"/>
    </xf>
    <xf numFmtId="0" fontId="0" fillId="9" borderId="1" applyAlignment="1" pivotButton="0" quotePrefix="0" xfId="0">
      <alignment horizontal="center" vertical="center"/>
    </xf>
    <xf numFmtId="3" fontId="0" fillId="6" borderId="1" applyAlignment="1" pivotButton="0" quotePrefix="0" xfId="0">
      <alignment horizontal="center" vertical="center"/>
    </xf>
    <xf numFmtId="0" fontId="3" fillId="2" borderId="0" pivotButton="0" quotePrefix="0" xfId="0"/>
    <xf numFmtId="164" fontId="0" fillId="0" borderId="1" applyAlignment="1" pivotButton="0" quotePrefix="0" xfId="0">
      <alignment horizontal="center" vertical="center"/>
    </xf>
    <xf numFmtId="164" fontId="0" fillId="0" borderId="0" pivotButton="0" quotePrefix="0" xfId="0"/>
    <xf numFmtId="0" fontId="3" fillId="2" borderId="0" applyAlignment="1" pivotButton="0" quotePrefix="0" xfId="0">
      <alignment horizontal="left" vertical="center"/>
    </xf>
    <xf numFmtId="0" fontId="5" fillId="0" borderId="1" applyAlignment="1" pivotButton="0" quotePrefix="0" xfId="0">
      <alignment horizontal="center" vertical="center"/>
    </xf>
    <xf numFmtId="0" fontId="8" fillId="0" borderId="0" pivotButton="0" quotePrefix="0" xfId="0"/>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E2EFDA"/>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Current Total Cores by Region (real)</a:t>
            </a:r>
          </a:p>
        </rich>
      </tx>
    </title>
    <plotArea>
      <barChart>
        <barDir val="bar"/>
        <grouping val="clustered"/>
        <ser>
          <idx val="0"/>
          <order val="0"/>
          <tx>
            <strRef>
              <f>'Usage_Source'!F3</f>
            </strRef>
          </tx>
          <spPr>
            <a:ln xmlns:a="http://schemas.openxmlformats.org/drawingml/2006/main">
              <a:prstDash val="solid"/>
            </a:ln>
          </spPr>
          <cat>
            <numRef>
              <f>'Usage_Source'!$A$4:$A$16</f>
            </numRef>
          </cat>
          <val>
            <numRef>
              <f>'Usage_Source'!$F$4:$F$16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PS_Prod by ACRME Region</a:t>
            </a:r>
          </a:p>
        </rich>
      </tx>
    </title>
    <plotArea>
      <barChart>
        <barDir val="col"/>
        <grouping val="clustered"/>
        <ser>
          <idx val="0"/>
          <order val="0"/>
          <tx>
            <strRef>
              <f>'Scoring_Prod'!Q3</f>
            </strRef>
          </tx>
          <spPr>
            <a:ln xmlns:a="http://schemas.openxmlformats.org/drawingml/2006/main">
              <a:prstDash val="solid"/>
            </a:ln>
          </spPr>
          <cat>
            <numRef>
              <f>'Scoring_Prod'!$A$4:$A$17</f>
            </numRef>
          </cat>
          <val>
            <numRef>
              <f>'Scoring_Prod'!$Q$4:$Q$17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Chosen Placement Scores</a:t>
            </a:r>
          </a:p>
        </rich>
      </tx>
    </title>
    <plotArea>
      <barChart>
        <barDir val="col"/>
        <grouping val="clustered"/>
        <ser>
          <idx val="0"/>
          <order val="0"/>
          <spPr>
            <a:ln xmlns:a="http://schemas.openxmlformats.org/drawingml/2006/main">
              <a:prstDash val="solid"/>
            </a:ln>
          </spPr>
          <cat>
            <numRef>
              <f>'Result'!$A$9:$A$11</f>
            </numRef>
          </cat>
          <val>
            <numRef>
              <f>'Result'!$C$9:$C$11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10</col>
      <colOff>0</colOff>
      <row>2</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19</col>
      <colOff>0</colOff>
      <row>5</row>
      <rowOff>0</rowOff>
    </from>
    <ext cx="64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17</row>
      <rowOff>0</rowOff>
    </from>
    <ext cx="36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10.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B42"/>
  <sheetViews>
    <sheetView showGridLines="0" workbookViewId="0">
      <selection activeCell="A1" sqref="A1"/>
    </sheetView>
  </sheetViews>
  <sheetFormatPr baseColWidth="8" defaultRowHeight="15"/>
  <cols>
    <col width="3" customWidth="1" min="1" max="1"/>
    <col width="112" customWidth="1" min="2" max="2"/>
  </cols>
  <sheetData>
    <row r="1">
      <c r="B1" s="1" t="inlineStr">
        <is>
          <t>ACRME Region Selection — WHAT-IF on the ACRME Region Catalogue (Formula-Only)</t>
        </is>
      </c>
    </row>
    <row r="2">
      <c r="B2" s="2" t="inlineStr">
        <is>
          <t>Candidate regions = authoritative ACRME catalogue (baseline v2.4 Section 6). Usage distributed from the real SKU-usage files.</t>
        </is>
      </c>
    </row>
    <row r="3">
      <c r="B3" s="3" t="inlineStr"/>
    </row>
    <row r="4">
      <c r="B4" s="4" t="inlineStr">
        <is>
          <t>WHAT THIS WORKBOOK DOES</t>
        </is>
      </c>
    </row>
    <row r="5">
      <c r="B5" s="3" t="inlineStr">
        <is>
          <t>This what-if runs the ACRME weightage model over the ACTUAL ACRME in-scope regions (not the regions that happen to appear in the usage export). Your real usage is DISTRIBUTED onto those catalogue regions, and the engine scores every region so you can see where new workload should land. All results are live formulas — change any input and everything recalculates. No macros.</t>
        </is>
      </c>
    </row>
    <row r="6">
      <c r="B6" s="3" t="inlineStr"/>
    </row>
    <row r="7">
      <c r="B7" s="4" t="inlineStr">
        <is>
          <t>4-REGION MODEL SCENARIO — WHAT-IF EXPLORATION</t>
        </is>
      </c>
    </row>
    <row r="8">
      <c r="B8" s="5" t="inlineStr">
        <is>
          <t>• **US**: upgraded from 3-region (baseline) → **4-region model**. All 4 US Standard regions (West US 3, Central US, Canada Central, East US 2) now compete for placement. **PLC-010a co-location NO LONGER APPLIES** — Prod / CVAL / DR can each occupy separate regions.</t>
        </is>
      </c>
    </row>
    <row r="9">
      <c r="B9" s="5" t="inlineStr">
        <is>
          <t>• **EU**: upgraded from 2-region (baseline) → **4-region model**. All 4 EU Standard regions (Switzerland North, Sweden Central, North Europe, West Europe) now compete. **CVAL and DR no longer co-locate** — they occupy distinct regions, improving blast-radius isolation.</t>
        </is>
      </c>
    </row>
    <row r="10">
      <c r="B10" s="3" t="inlineStr">
        <is>
          <t>• **Australia, Asia Pacific**: remain 2-region (unchanged from baseline). CVAL/DR co-location still applies.</t>
        </is>
      </c>
    </row>
    <row r="11">
      <c r="B11" s="3" t="inlineStr">
        <is>
          <t>• **Middle East**: remains cross-geo DR (unchanged). Prod+CVAL local in Middle East; DR in Europe.</t>
        </is>
      </c>
    </row>
    <row r="12">
      <c r="B12" s="6" t="inlineStr">
        <is>
          <t>• **Impact on HC gates**: HC-6/HC-7 (CVAL/DR co-location checks) disabled for US and EU 4-region geographies. HC-3 (individual environment checks) still applies to all regions.</t>
        </is>
      </c>
    </row>
    <row r="13">
      <c r="B13" s="7" t="inlineStr">
        <is>
          <t>• **Middle East** regions (Saudi Arabia East, UAE North) remain RESTRICTED — production-only; explicit Prod region required on Setup (cell B8). DR still auto-selects cross-geo in a Standard Europe region.</t>
        </is>
      </c>
    </row>
    <row r="14">
      <c r="B14" s="3" t="inlineStr"/>
    </row>
    <row r="15">
      <c r="B15" s="4" t="inlineStr">
        <is>
          <t>HOW THE DISTRIBUTION WORKS</t>
        </is>
      </c>
    </row>
    <row r="16">
      <c r="B16" s="3" t="inlineStr">
        <is>
          <t>• Each geography's REAL total usage (Prod / Non-Prod cores) is preserved and spread across that geography's ACRME catalogue regions. Weight ∝ real usage where a catalogue region exists in the data; catalogue regions absent from the data (e.g. Canada Central) get a small floor share. Data regions that are NOT ACRME regions (East US, Central India, South Africa North) fold into their geography total.</t>
        </is>
      </c>
    </row>
    <row r="17">
      <c r="B17" s="3" t="inlineStr">
        <is>
          <t>• Current Alloc / Q-Used = this distributed real usage. Reserved / Quota = the LARGER of the geography's even 'balanced target' share and the region's own distributed allocation, plus an 8% headroom margin. This keeps every region's headroom positive but VARYING: an under-used region (e.g. West US 3, Canada Central) shows large free capacity and scores high; a heavily-used region (e.g. East US 2) shows only the thin 8% margin and scores low — so the weightage model selects by SCORE rather than by gate elimination.</t>
        </is>
      </c>
    </row>
    <row r="18">
      <c r="B18" s="3" t="inlineStr"/>
    </row>
    <row r="19">
      <c r="B19" s="4" t="inlineStr">
        <is>
          <t>SHEET MAP</t>
        </is>
      </c>
    </row>
    <row r="20">
      <c r="B20" s="3" t="inlineStr">
        <is>
          <t>1. How_To_Use — this guide.</t>
        </is>
      </c>
    </row>
    <row r="21">
      <c r="B21" s="3" t="inlineStr">
        <is>
          <t>2. Usage_Source — the REAL aggregated usage by region from the uploaded files (read-only provenance), with the geography roll-up and which regions fold in.</t>
        </is>
      </c>
    </row>
    <row r="22">
      <c r="B22" s="3" t="inlineStr">
        <is>
          <t>3. Setup — pick Geography, SKU, VM count, optional customer-supplied Prod region (required for Middle East), Customer ID.</t>
        </is>
      </c>
    </row>
    <row r="23">
      <c r="B23" s="3" t="inlineStr">
        <is>
          <t>4. Policy — the five weights (sum=1.0), total_customers source (live, PLC-012), DR bootstrap / target, min headroom floors.</t>
        </is>
      </c>
    </row>
    <row r="24">
      <c r="B24" s="3" t="inlineStr">
        <is>
          <t>5. Capacity_Usage — the ACRME catalogue regions with distributed usage + a Class column (Standard / Restricted). Yellow = editable; grey = computed; green Class cell = Restricted (Middle East).</t>
        </is>
      </c>
    </row>
    <row r="25">
      <c r="B25" s="3" t="inlineStr">
        <is>
          <t>6. HC_Gate — HC-3 / HC-6 / HC-7 pass/fail and eligibility per region.</t>
        </is>
      </c>
    </row>
    <row r="26">
      <c r="B26" s="3" t="inlineStr">
        <is>
          <t>7. Scoring_Prod / 8. Scoring_CVAL / 9. Scoring_DR — PS component breakdown (α/β/γ/δ/ε raw + clamped), AutoSelect flag, Candidate (PS if eligible, −1 if not), and Rank (1 = best candidate, blank = not a candidate for that mode). Winner summary in cols T–U.</t>
        </is>
      </c>
    </row>
    <row r="27">
      <c r="B27" s="3" t="inlineStr">
        <is>
          <t>10. Result — final placement (Prod / CVAL / DR), readiness, DR sizing (max-not-sum), and a Ranked Candidate Regions table (cols H–P) showing all candidate regions ordered by PS for each mode.</t>
        </is>
      </c>
    </row>
    <row r="28">
      <c r="B28" s="3" t="inlineStr"/>
    </row>
    <row r="29">
      <c r="B29" s="4" t="inlineStr">
        <is>
          <t>THE FORMULAS (from the baseline)</t>
        </is>
      </c>
    </row>
    <row r="30">
      <c r="B30" s="3" t="inlineStr">
        <is>
          <t>Clamp(x)=MIN(MAX(x,0),1). PS_Prod=α·(npEffFree/prodRes)+β·(prodQHeadroom/prodQLimit)+γ·(1−cust/total)+δ·drCov+ε·(az/3).</t>
        </is>
      </c>
    </row>
    <row r="31">
      <c r="B31" s="3" t="inlineStr">
        <is>
          <t>PS_NonProd=α·(npEffFree/npRes)+β·(npQHeadroom/npQLimit)+γ·(1−cust/total)+δ·(npEffFree/npRes)+ε·(az/3).</t>
        </is>
      </c>
    </row>
    <row r="32">
      <c r="B32" s="3" t="inlineStr">
        <is>
          <t>PS_DR=α·(drFree/drRes)+β·(npQHeadroom/npQLimit)+γ·(1−cust/total)+δ·(drCov/target)+ε·(az/3).</t>
        </is>
      </c>
    </row>
    <row r="33">
      <c r="B33" s="3" t="inlineStr">
        <is>
          <t>Auto-select rule: a region is an engine candidate only if InScope AND Eligible AND (Class=Standard OR it is the customer-supplied Prod region). Restricted (Middle East) regions therefore need an explicit Prod region.</t>
        </is>
      </c>
    </row>
    <row r="34">
      <c r="B34" s="3" t="inlineStr">
        <is>
          <t>Rank formula (Scoring sheets, col S): Rank=COUNTIF(Candidate_range,"&gt;"&amp;this_candidate)+1. Non-candidates (Candidate=-1) are blank. Rank 1 = region with the highest PS score among eligible candidates. Because PS is a continuous float, ties are effectively impossible.</t>
        </is>
      </c>
    </row>
    <row r="35">
      <c r="B35" s="3" t="inlineStr">
        <is>
          <t>DR sizing = MAX-NOT-SUM (A.6 / DR-017): DR req = MAX over source regions of (customers × vCPU).</t>
        </is>
      </c>
    </row>
    <row r="36">
      <c r="B36" s="3" t="inlineStr"/>
    </row>
    <row r="37">
      <c r="B37" s="4" t="inlineStr">
        <is>
          <t>KNOWN GAPS / ASSUMPTIONS (surfaced, not hidden)</t>
        </is>
      </c>
    </row>
    <row r="38">
      <c r="B38" s="6" t="inlineStr">
        <is>
          <t>• Metric = Total Cores. Prod = environment tag 'Prod'; everything else = Non-Prod.</t>
        </is>
      </c>
    </row>
    <row r="39">
      <c r="B39" s="6" t="inlineStr">
        <is>
          <t>• Reserved &amp; Quota are DERIVED planning figures (max of even-share and actual alloc, +8% margin), not billed reservations — edit to model reality.</t>
        </is>
      </c>
    </row>
    <row r="40">
      <c r="B40" s="8" t="inlineStr">
        <is>
          <t>• Middle East has ~no real usage in the data — its two regions use a flagged SYNTHETIC pool so the geography can be exercised. Saudi Arabia East is a FUTURE REGION (not yet GA; Microsoft target Q4 2026, Eastern Province; no real usage data will exist until launch). UAE North is GA but absent from ACRME source data. Japan East (Asia Pacific) is 'pending' in the catalogue and is excluded.</t>
        </is>
      </c>
    </row>
    <row r="41">
      <c r="B41" s="3" t="inlineStr">
        <is>
          <t>• total_customers(g) = live count of customers in the geography (PLC-012, A.10); γ = 1 when it is zero. Cust Count values are illustrative.</t>
        </is>
      </c>
    </row>
    <row r="42">
      <c r="B42" s="6" t="inlineStr">
        <is>
          <t>• PS_NonProd δ duplicates its α (baseline design-of-record). DR bootstrap / target are configurable placeholders.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showGridLines="0" workbookViewId="0">
      <pane ySplit="3" topLeftCell="A4" activePane="bottomLeft" state="frozen"/>
      <selection pane="bottomLeft" activeCell="A1" sqref="A1"/>
    </sheetView>
  </sheetViews>
  <sheetFormatPr baseColWidth="8" defaultRowHeight="15"/>
  <cols>
    <col width="20" customWidth="1" min="1" max="1"/>
    <col width="14" customWidth="1" min="2" max="2"/>
    <col width="18" customWidth="1" min="3" max="3"/>
    <col width="11" customWidth="1" min="4" max="4"/>
    <col width="14" customWidth="1" min="5" max="5"/>
    <col width="12" customWidth="1" min="6" max="6"/>
    <col width="11" customWidth="1" min="7" max="7"/>
    <col width="11" customWidth="1" min="8" max="8"/>
    <col width="34" customWidth="1" min="9" max="9"/>
  </cols>
  <sheetData>
    <row r="1">
      <c r="A1" s="9" t="inlineStr">
        <is>
          <t>CURRENT USAGE — SOURCE SNAPSHOT (real, from uploaded files)</t>
        </is>
      </c>
    </row>
    <row r="2">
      <c r="A2" s="10" t="inlineStr">
        <is>
          <t>Real aggregation from SKU_USage (1).xlsx (Total Cores). Prod = tag 'Prod'; all other tags = Non-Prod. This is provenance; the engine reads the distributed Capacity_Usage sheet. ACRME catalogue regions absent from source data use SYNTHETIC capacity — see the footer section below. NOTE: Saudi Arabia East is a FUTURE REGION (not yet GA; Microsoft target Q4 2026, Eastern Province) — no real usage data exists; capacity figures are entirely SYNTHETIC.</t>
        </is>
      </c>
    </row>
    <row r="3">
      <c r="A3" s="11" t="inlineStr">
        <is>
          <t>Region (as in data)</t>
        </is>
      </c>
      <c r="B3" s="11" t="inlineStr">
        <is>
          <t>Geography</t>
        </is>
      </c>
      <c r="C3" s="11" t="inlineStr">
        <is>
          <t>Class in this mockup</t>
        </is>
      </c>
      <c r="D3" s="11" t="inlineStr">
        <is>
          <t>Prod Cores</t>
        </is>
      </c>
      <c r="E3" s="11" t="inlineStr">
        <is>
          <t>Non-Prod Cores</t>
        </is>
      </c>
      <c r="F3" s="11" t="inlineStr">
        <is>
          <t>Total Cores</t>
        </is>
      </c>
      <c r="G3" s="11" t="inlineStr">
        <is>
          <t>AKS Cores</t>
        </is>
      </c>
      <c r="H3" s="11" t="inlineStr">
        <is>
          <t>Unique Subs</t>
        </is>
      </c>
      <c r="I3" s="11" t="inlineStr">
        <is>
          <t>ACRME catalogue region?</t>
        </is>
      </c>
    </row>
    <row r="4">
      <c r="A4" s="12" t="inlineStr">
        <is>
          <t>East US 2</t>
        </is>
      </c>
      <c r="B4" s="12" t="inlineStr">
        <is>
          <t>US</t>
        </is>
      </c>
      <c r="C4" s="12" t="inlineStr">
        <is>
          <t>Standard</t>
        </is>
      </c>
      <c r="D4" s="13" t="n">
        <v>139410</v>
      </c>
      <c r="E4" s="13" t="n">
        <v>328418</v>
      </c>
      <c r="F4" s="13" t="n">
        <v>467828</v>
      </c>
      <c r="G4" s="13" t="n">
        <v>155696</v>
      </c>
      <c r="H4" s="12" t="n">
        <v>150</v>
      </c>
      <c r="I4" s="12" t="inlineStr">
        <is>
          <t>ACRME region</t>
        </is>
      </c>
    </row>
    <row r="5">
      <c r="A5" s="12" t="inlineStr">
        <is>
          <t>West Europe</t>
        </is>
      </c>
      <c r="B5" s="12" t="inlineStr">
        <is>
          <t>EU</t>
        </is>
      </c>
      <c r="C5" s="12" t="inlineStr">
        <is>
          <t>Standard</t>
        </is>
      </c>
      <c r="D5" s="13" t="n">
        <v>41088</v>
      </c>
      <c r="E5" s="13" t="n">
        <v>139820</v>
      </c>
      <c r="F5" s="13" t="n">
        <v>180908</v>
      </c>
      <c r="G5" s="13" t="n">
        <v>58982</v>
      </c>
      <c r="H5" s="12" t="n">
        <v>69</v>
      </c>
      <c r="I5" s="12" t="inlineStr">
        <is>
          <t>ACRME region</t>
        </is>
      </c>
    </row>
    <row r="6">
      <c r="A6" s="12" t="inlineStr">
        <is>
          <t>Southeast Asia</t>
        </is>
      </c>
      <c r="B6" s="12" t="inlineStr">
        <is>
          <t>Asia Pacific</t>
        </is>
      </c>
      <c r="C6" s="12" t="inlineStr">
        <is>
          <t>Standard</t>
        </is>
      </c>
      <c r="D6" s="13" t="n">
        <v>19388</v>
      </c>
      <c r="E6" s="13" t="n">
        <v>22766</v>
      </c>
      <c r="F6" s="13" t="n">
        <v>42154</v>
      </c>
      <c r="G6" s="13" t="n">
        <v>12338</v>
      </c>
      <c r="H6" s="12" t="n">
        <v>43</v>
      </c>
      <c r="I6" s="12" t="inlineStr">
        <is>
          <t>ACRME region</t>
        </is>
      </c>
    </row>
    <row r="7">
      <c r="A7" s="12" t="inlineStr">
        <is>
          <t>Central US</t>
        </is>
      </c>
      <c r="B7" s="12" t="inlineStr">
        <is>
          <t>US</t>
        </is>
      </c>
      <c r="C7" s="12" t="inlineStr">
        <is>
          <t>Standard</t>
        </is>
      </c>
      <c r="D7" s="13" t="n">
        <v>17964</v>
      </c>
      <c r="E7" s="13" t="n">
        <v>22318</v>
      </c>
      <c r="F7" s="13" t="n">
        <v>40282</v>
      </c>
      <c r="G7" s="13" t="n">
        <v>19626</v>
      </c>
      <c r="H7" s="12" t="n">
        <v>65</v>
      </c>
      <c r="I7" s="12" t="inlineStr">
        <is>
          <t>ACRME region</t>
        </is>
      </c>
    </row>
    <row r="8">
      <c r="A8" s="12" t="inlineStr">
        <is>
          <t>Australia East</t>
        </is>
      </c>
      <c r="B8" s="12" t="inlineStr">
        <is>
          <t>Australia</t>
        </is>
      </c>
      <c r="C8" s="12" t="inlineStr">
        <is>
          <t>Standard</t>
        </is>
      </c>
      <c r="D8" s="13" t="n">
        <v>8436</v>
      </c>
      <c r="E8" s="13" t="n">
        <v>17002</v>
      </c>
      <c r="F8" s="13" t="n">
        <v>25438</v>
      </c>
      <c r="G8" s="13" t="n">
        <v>8616</v>
      </c>
      <c r="H8" s="12" t="n">
        <v>34</v>
      </c>
      <c r="I8" s="12" t="inlineStr">
        <is>
          <t>ACRME region</t>
        </is>
      </c>
    </row>
    <row r="9">
      <c r="A9" s="12" t="inlineStr">
        <is>
          <t>North Europe</t>
        </is>
      </c>
      <c r="B9" s="12" t="inlineStr">
        <is>
          <t>EU</t>
        </is>
      </c>
      <c r="C9" s="12" t="inlineStr">
        <is>
          <t>Standard</t>
        </is>
      </c>
      <c r="D9" s="13" t="n">
        <v>5448</v>
      </c>
      <c r="E9" s="13" t="n">
        <v>6944</v>
      </c>
      <c r="F9" s="13" t="n">
        <v>12392</v>
      </c>
      <c r="G9" s="13" t="n">
        <v>6000</v>
      </c>
      <c r="H9" s="12" t="n">
        <v>30</v>
      </c>
      <c r="I9" s="12" t="inlineStr">
        <is>
          <t>ACRME region</t>
        </is>
      </c>
    </row>
    <row r="10">
      <c r="A10" s="12" t="inlineStr">
        <is>
          <t>East Asia</t>
        </is>
      </c>
      <c r="B10" s="12" t="inlineStr">
        <is>
          <t>Asia Pacific</t>
        </is>
      </c>
      <c r="C10" s="12" t="inlineStr">
        <is>
          <t>Standard</t>
        </is>
      </c>
      <c r="D10" s="13" t="n">
        <v>3068</v>
      </c>
      <c r="E10" s="13" t="n">
        <v>3100</v>
      </c>
      <c r="F10" s="13" t="n">
        <v>6168</v>
      </c>
      <c r="G10" s="13" t="n">
        <v>2824</v>
      </c>
      <c r="H10" s="12" t="n">
        <v>21</v>
      </c>
      <c r="I10" s="12" t="inlineStr">
        <is>
          <t>ACRME region</t>
        </is>
      </c>
    </row>
    <row r="11">
      <c r="A11" s="12" t="inlineStr">
        <is>
          <t>Australia Southeast</t>
        </is>
      </c>
      <c r="B11" s="12" t="inlineStr">
        <is>
          <t>Australia</t>
        </is>
      </c>
      <c r="C11" s="12" t="inlineStr">
        <is>
          <t>Standard</t>
        </is>
      </c>
      <c r="D11" s="13" t="n">
        <v>1976</v>
      </c>
      <c r="E11" s="13" t="n">
        <v>2644</v>
      </c>
      <c r="F11" s="13" t="n">
        <v>4620</v>
      </c>
      <c r="G11" s="13" t="n">
        <v>2096</v>
      </c>
      <c r="H11" s="12" t="n">
        <v>14</v>
      </c>
      <c r="I11" s="12" t="inlineStr">
        <is>
          <t>ACRME region</t>
        </is>
      </c>
    </row>
    <row r="12">
      <c r="A12" s="12" t="inlineStr">
        <is>
          <t>Sweden Central</t>
        </is>
      </c>
      <c r="B12" s="12" t="inlineStr">
        <is>
          <t>EU</t>
        </is>
      </c>
      <c r="C12" s="12" t="inlineStr">
        <is>
          <t>Standard</t>
        </is>
      </c>
      <c r="D12" s="13" t="n">
        <v>1632</v>
      </c>
      <c r="E12" s="13" t="n">
        <v>1760</v>
      </c>
      <c r="F12" s="13" t="n">
        <v>3392</v>
      </c>
      <c r="G12" s="13" t="n">
        <v>1696</v>
      </c>
      <c r="H12" s="12" t="n">
        <v>13</v>
      </c>
      <c r="I12" s="12" t="inlineStr">
        <is>
          <t>ACRME region</t>
        </is>
      </c>
    </row>
    <row r="13">
      <c r="A13" s="12" t="inlineStr">
        <is>
          <t>Switzerland North</t>
        </is>
      </c>
      <c r="B13" s="12" t="inlineStr">
        <is>
          <t>EU</t>
        </is>
      </c>
      <c r="C13" s="12" t="inlineStr">
        <is>
          <t>Standard</t>
        </is>
      </c>
      <c r="D13" s="13" t="n">
        <v>1216</v>
      </c>
      <c r="E13" s="13" t="n">
        <v>1312</v>
      </c>
      <c r="F13" s="13" t="n">
        <v>2528</v>
      </c>
      <c r="G13" s="13" t="n">
        <v>1264</v>
      </c>
      <c r="H13" s="12" t="n">
        <v>11</v>
      </c>
      <c r="I13" s="12" t="inlineStr">
        <is>
          <t>ACRME region</t>
        </is>
      </c>
    </row>
    <row r="14">
      <c r="A14" s="12" t="inlineStr">
        <is>
          <t>South Africa North</t>
        </is>
      </c>
      <c r="B14" s="12" t="inlineStr">
        <is>
          <t>Middle East</t>
        </is>
      </c>
      <c r="C14" s="12" t="inlineStr">
        <is>
          <t>Restricted</t>
        </is>
      </c>
      <c r="D14" s="13" t="n">
        <v>0</v>
      </c>
      <c r="E14" s="13" t="n">
        <v>1736</v>
      </c>
      <c r="F14" s="13" t="n">
        <v>1736</v>
      </c>
      <c r="G14" s="13" t="n">
        <v>868</v>
      </c>
      <c r="H14" s="12" t="n">
        <v>1</v>
      </c>
      <c r="I14" s="14" t="inlineStr">
        <is>
          <t>folds into geography (not an ACRME region)</t>
        </is>
      </c>
    </row>
    <row r="15">
      <c r="A15" s="12" t="inlineStr">
        <is>
          <t>Central India</t>
        </is>
      </c>
      <c r="B15" s="12" t="inlineStr">
        <is>
          <t>Asia Pacific</t>
        </is>
      </c>
      <c r="C15" s="12" t="inlineStr">
        <is>
          <t>—</t>
        </is>
      </c>
      <c r="D15" s="13" t="n">
        <v>698</v>
      </c>
      <c r="E15" s="13" t="n">
        <v>0</v>
      </c>
      <c r="F15" s="13" t="n">
        <v>698</v>
      </c>
      <c r="G15" s="13" t="n">
        <v>0</v>
      </c>
      <c r="H15" s="12" t="n">
        <v>1</v>
      </c>
      <c r="I15" s="14" t="inlineStr">
        <is>
          <t>folds into geography (not an ACRME region)</t>
        </is>
      </c>
    </row>
    <row r="16">
      <c r="A16" s="12" t="inlineStr">
        <is>
          <t>East US</t>
        </is>
      </c>
      <c r="B16" s="12" t="inlineStr">
        <is>
          <t>US</t>
        </is>
      </c>
      <c r="C16" s="12" t="inlineStr">
        <is>
          <t>—</t>
        </is>
      </c>
      <c r="D16" s="13" t="n">
        <v>0</v>
      </c>
      <c r="E16" s="13" t="n">
        <v>34</v>
      </c>
      <c r="F16" s="13" t="n">
        <v>34</v>
      </c>
      <c r="G16" s="13" t="n">
        <v>12</v>
      </c>
      <c r="H16" s="12" t="n">
        <v>4</v>
      </c>
      <c r="I16" s="14" t="inlineStr">
        <is>
          <t>folds into geography (not an ACRME region)</t>
        </is>
      </c>
    </row>
    <row r="17">
      <c r="A17" s="12" t="inlineStr">
        <is>
          <t>West US 3</t>
        </is>
      </c>
      <c r="B17" s="12" t="inlineStr">
        <is>
          <t>US</t>
        </is>
      </c>
      <c r="C17" s="12" t="inlineStr">
        <is>
          <t>Standard</t>
        </is>
      </c>
      <c r="D17" s="13" t="n">
        <v>0</v>
      </c>
      <c r="E17" s="13" t="n">
        <v>2</v>
      </c>
      <c r="F17" s="13" t="n">
        <v>2</v>
      </c>
      <c r="G17" s="13" t="n">
        <v>0</v>
      </c>
      <c r="H17" s="12" t="n">
        <v>1</v>
      </c>
      <c r="I17" s="12" t="inlineStr">
        <is>
          <t>ACRME region</t>
        </is>
      </c>
    </row>
    <row r="18">
      <c r="A18" s="15" t="inlineStr">
        <is>
          <t>TOTAL</t>
        </is>
      </c>
      <c r="B18" s="15" t="n"/>
      <c r="C18" s="15" t="n"/>
      <c r="D18" s="16">
        <f>SUM(D4:D17)</f>
        <v/>
      </c>
      <c r="E18" s="16">
        <f>SUM(E4:E17)</f>
        <v/>
      </c>
      <c r="F18" s="16">
        <f>SUM(F4:F17)</f>
        <v/>
      </c>
      <c r="G18" s="16">
        <f>SUM(G4:G17)</f>
        <v/>
      </c>
      <c r="H18" s="15" t="n"/>
      <c r="I18" s="15" t="n"/>
    </row>
    <row r="20">
      <c r="A20" s="17" t="inlineStr">
        <is>
          <t>ACRME CATALOGUE REGIONS — ABSENT FROM SOURCE DATA (capacity figures are SYNTHETIC)</t>
        </is>
      </c>
    </row>
    <row r="21" ht="30" customHeight="1">
      <c r="A21" s="18" t="inlineStr">
        <is>
          <t>Canada Central</t>
        </is>
      </c>
      <c r="B21" s="12" t="inlineStr">
        <is>
          <t>US</t>
        </is>
      </c>
      <c r="C21" s="19" t="inlineStr">
        <is>
          <t>Standard</t>
        </is>
      </c>
      <c r="D21" s="20" t="inlineStr">
        <is>
          <t>absent from source data; mock subscription count used; capacity figures SYNTHETIC</t>
        </is>
      </c>
      <c r="E21" s="21" t="n"/>
      <c r="F21" s="21" t="n"/>
      <c r="G21" s="21" t="n"/>
      <c r="H21" s="21" t="n"/>
      <c r="I21" s="21" t="n"/>
    </row>
    <row r="22" ht="30" customHeight="1">
      <c r="A22" s="18" t="inlineStr">
        <is>
          <t>Saudi Arabia East</t>
        </is>
      </c>
      <c r="B22" s="12" t="inlineStr">
        <is>
          <t>Middle East</t>
        </is>
      </c>
      <c r="C22" s="22" t="inlineStr">
        <is>
          <t>Restricted</t>
        </is>
      </c>
      <c r="D22" s="20" t="inlineStr">
        <is>
          <t>FUTURE REGION — not yet GA (Microsoft target Q4 2026, Eastern Province); no real usage data; capacity figures SYNTHETIC</t>
        </is>
      </c>
      <c r="E22" s="21" t="n"/>
      <c r="F22" s="21" t="n"/>
      <c r="G22" s="21" t="n"/>
      <c r="H22" s="21" t="n"/>
      <c r="I22" s="21" t="n"/>
    </row>
    <row r="23" ht="30" customHeight="1">
      <c r="A23" s="18" t="inlineStr">
        <is>
          <t>UAE North</t>
        </is>
      </c>
      <c r="B23" s="12" t="inlineStr">
        <is>
          <t>Middle East</t>
        </is>
      </c>
      <c r="C23" s="22" t="inlineStr">
        <is>
          <t>Restricted</t>
        </is>
      </c>
      <c r="D23" s="20" t="inlineStr">
        <is>
          <t>GA region — absent from ACRME source data; capacity figures SYNTHETIC</t>
        </is>
      </c>
      <c r="E23" s="21" t="n"/>
      <c r="F23" s="21" t="n"/>
      <c r="G23" s="21" t="n"/>
      <c r="H23" s="21" t="n"/>
      <c r="I23" s="21" t="n"/>
    </row>
  </sheetData>
  <mergeCells count="6">
    <mergeCell ref="A2:I2"/>
    <mergeCell ref="D22:I22"/>
    <mergeCell ref="D23:I23"/>
    <mergeCell ref="A1:I1"/>
    <mergeCell ref="D21:I21"/>
    <mergeCell ref="A20:I2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26" customWidth="1" min="1" max="1"/>
    <col width="24" customWidth="1" min="2" max="2"/>
    <col width="3" customWidth="1" min="3" max="3"/>
    <col width="3" customWidth="1" min="4" max="4"/>
    <col width="20" customWidth="1" min="5" max="5"/>
    <col width="10" customWidth="1" min="6" max="6"/>
    <col width="16" customWidth="1" min="7" max="7"/>
  </cols>
  <sheetData>
    <row r="1">
      <c r="A1" s="9" t="inlineStr">
        <is>
          <t>SETUP — Customer &amp; Workload</t>
        </is>
      </c>
      <c r="E1" s="10" t="inlineStr">
        <is>
          <t>Lookup tables (do not edit)</t>
        </is>
      </c>
    </row>
    <row r="2">
      <c r="E2" s="23" t="inlineStr">
        <is>
          <t>SKU</t>
        </is>
      </c>
      <c r="F2" s="23" t="inlineStr">
        <is>
          <t>vCPU/VM</t>
        </is>
      </c>
    </row>
    <row r="3">
      <c r="A3" s="15" t="inlineStr">
        <is>
          <t>Geography</t>
        </is>
      </c>
      <c r="B3" s="24" t="inlineStr">
        <is>
          <t>US</t>
        </is>
      </c>
      <c r="E3" s="21" t="inlineStr">
        <is>
          <t>E16ads_v5</t>
        </is>
      </c>
      <c r="F3" s="21" t="n">
        <v>16</v>
      </c>
    </row>
    <row r="4">
      <c r="A4" s="15" t="inlineStr">
        <is>
          <t>SKU</t>
        </is>
      </c>
      <c r="B4" s="24" t="inlineStr">
        <is>
          <t>E16ads_v5</t>
        </is>
      </c>
      <c r="E4" s="21" t="inlineStr">
        <is>
          <t>E32ads_v5</t>
        </is>
      </c>
      <c r="F4" s="21" t="n">
        <v>32</v>
      </c>
    </row>
    <row r="5">
      <c r="A5" s="15" t="inlineStr">
        <is>
          <t>VM count</t>
        </is>
      </c>
      <c r="B5" s="24" t="n">
        <v>3</v>
      </c>
      <c r="E5" s="21" t="inlineStr">
        <is>
          <t>E8ads_v5</t>
        </is>
      </c>
      <c r="F5" s="21" t="n">
        <v>8</v>
      </c>
    </row>
    <row r="6">
      <c r="A6" s="15" t="inlineStr">
        <is>
          <t>vCPU per VM</t>
        </is>
      </c>
      <c r="B6" s="25">
        <f>VLOOKUP(B4,E3:F10,2,FALSE)</f>
        <v/>
      </c>
      <c r="E6" s="21" t="inlineStr">
        <is>
          <t>E4ads_v5</t>
        </is>
      </c>
      <c r="F6" s="21" t="n">
        <v>4</v>
      </c>
    </row>
    <row r="7">
      <c r="A7" s="15" t="inlineStr">
        <is>
          <t>Requested vCPU</t>
        </is>
      </c>
      <c r="B7" s="26">
        <f>B5*B6</f>
        <v/>
      </c>
      <c r="E7" s="21" t="inlineStr">
        <is>
          <t>D8ads_v5</t>
        </is>
      </c>
      <c r="F7" s="21" t="n">
        <v>8</v>
      </c>
    </row>
    <row r="8">
      <c r="A8" s="15" t="inlineStr">
        <is>
          <t>Prod region (req. for Middle East)</t>
        </is>
      </c>
      <c r="B8" s="24" t="inlineStr"/>
      <c r="E8" s="21" t="inlineStr">
        <is>
          <t>D4ads_v5</t>
        </is>
      </c>
      <c r="F8" s="21" t="n">
        <v>4</v>
      </c>
    </row>
    <row r="9">
      <c r="A9" s="15" t="inlineStr">
        <is>
          <t>Customer ID</t>
        </is>
      </c>
      <c r="B9" s="24" t="inlineStr">
        <is>
          <t>CUST-0042</t>
        </is>
      </c>
      <c r="E9" s="21" t="inlineStr">
        <is>
          <t>D2ads_v5</t>
        </is>
      </c>
      <c r="F9" s="21" t="n">
        <v>2</v>
      </c>
    </row>
    <row r="10">
      <c r="A10" s="15" t="inlineStr">
        <is>
          <t>Distribution model</t>
        </is>
      </c>
      <c r="B10" s="25">
        <f>VLOOKUP(B3,E13:G17,2,FALSE)</f>
        <v/>
      </c>
      <c r="E10" s="21" t="inlineStr">
        <is>
          <t>D16ads_v5</t>
        </is>
      </c>
      <c r="F10" s="21" t="n">
        <v>16</v>
      </c>
    </row>
    <row r="11">
      <c r="A11" s="15" t="inlineStr">
        <is>
          <t>DR scope geography</t>
        </is>
      </c>
      <c r="B11" s="25">
        <f>VLOOKUP(B3,E13:G17,3,FALSE)</f>
        <v/>
      </c>
    </row>
    <row r="12">
      <c r="E12" s="23" t="inlineStr">
        <is>
          <t>Geography</t>
        </is>
      </c>
      <c r="F12" s="23" t="inlineStr">
        <is>
          <t>Model</t>
        </is>
      </c>
      <c r="G12" s="23" t="inlineStr">
        <is>
          <t>DR Scope Geo</t>
        </is>
      </c>
    </row>
    <row r="13">
      <c r="E13" s="21" t="inlineStr">
        <is>
          <t>US</t>
        </is>
      </c>
      <c r="F13" s="21" t="inlineStr">
        <is>
          <t>4-region</t>
        </is>
      </c>
      <c r="G13" s="21" t="inlineStr">
        <is>
          <t>US</t>
        </is>
      </c>
    </row>
    <row r="14">
      <c r="E14" s="21" t="inlineStr">
        <is>
          <t>EU</t>
        </is>
      </c>
      <c r="F14" s="21" t="inlineStr">
        <is>
          <t>4-region</t>
        </is>
      </c>
      <c r="G14" s="21" t="inlineStr">
        <is>
          <t>EU</t>
        </is>
      </c>
    </row>
    <row r="15">
      <c r="E15" s="21" t="inlineStr">
        <is>
          <t>Australia</t>
        </is>
      </c>
      <c r="F15" s="21" t="inlineStr">
        <is>
          <t>2-region</t>
        </is>
      </c>
      <c r="G15" s="21" t="inlineStr">
        <is>
          <t>Australia</t>
        </is>
      </c>
    </row>
    <row r="16">
      <c r="E16" s="21" t="inlineStr">
        <is>
          <t>Asia Pacific</t>
        </is>
      </c>
      <c r="F16" s="21" t="inlineStr">
        <is>
          <t>2-region</t>
        </is>
      </c>
      <c r="G16" s="21" t="inlineStr">
        <is>
          <t>Asia Pacific</t>
        </is>
      </c>
    </row>
    <row r="17">
      <c r="E17" s="21" t="inlineStr">
        <is>
          <t>Middle East</t>
        </is>
      </c>
      <c r="F17" s="21" t="inlineStr">
        <is>
          <t>cross-geo</t>
        </is>
      </c>
      <c r="G17" s="21" t="inlineStr">
        <is>
          <t>EU</t>
        </is>
      </c>
    </row>
  </sheetData>
  <dataValidations count="3">
    <dataValidation sqref="B3" showDropDown="0" showInputMessage="0" showErrorMessage="0" allowBlank="0" type="list">
      <formula1>"US,EU,Australia,Asia Pacific,Middle East"</formula1>
    </dataValidation>
    <dataValidation sqref="B4" showDropDown="0" showInputMessage="0" showErrorMessage="0" allowBlank="0" type="list">
      <formula1>"E16ads_v5,E32ads_v5,E8ads_v5,E4ads_v5,D8ads_v5,D4ads_v5,D2ads_v5,D16ads_v5"</formula1>
    </dataValidation>
    <dataValidation sqref="B8" showDropDown="0" showInputMessage="0" showErrorMessage="0" allowBlank="1" type="list">
      <formula1>=Capacity_Usage!$B$4:$B$17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min="1" max="1"/>
    <col width="14" customWidth="1" min="2" max="2"/>
    <col width="3" customWidth="1" min="3" max="3"/>
    <col width="16" customWidth="1" min="4" max="4"/>
    <col width="12" customWidth="1" min="5" max="5"/>
  </cols>
  <sheetData>
    <row r="1">
      <c r="A1" s="9" t="inlineStr">
        <is>
          <t>POLICY — Weights &amp; Parameters</t>
        </is>
      </c>
    </row>
    <row r="2">
      <c r="A2" s="15" t="inlineStr">
        <is>
          <t>alpha (α) — Capacity headroom</t>
        </is>
      </c>
      <c r="B2" s="24" t="n">
        <v>0.3</v>
      </c>
    </row>
    <row r="3">
      <c r="A3" s="15" t="inlineStr">
        <is>
          <t>beta (β) — Quota headroom</t>
        </is>
      </c>
      <c r="B3" s="24" t="n">
        <v>0.2</v>
      </c>
    </row>
    <row r="4">
      <c r="A4" s="15" t="inlineStr">
        <is>
          <t>gamma (γ) — Distribution fairness</t>
        </is>
      </c>
      <c r="B4" s="24" t="n">
        <v>0.25</v>
      </c>
    </row>
    <row r="5">
      <c r="A5" s="15" t="inlineStr">
        <is>
          <t>delta (δ) — DR readiness</t>
        </is>
      </c>
      <c r="B5" s="24" t="n">
        <v>0.15</v>
      </c>
    </row>
    <row r="6">
      <c r="A6" s="15" t="inlineStr">
        <is>
          <t>epsilon (ε) — Zone diversity</t>
        </is>
      </c>
      <c r="B6" s="24" t="n">
        <v>0.1</v>
      </c>
    </row>
    <row r="7">
      <c r="A7" s="15" t="inlineStr">
        <is>
          <t>Weight sum</t>
        </is>
      </c>
      <c r="B7" s="26">
        <f>SUM(B2:B6)</f>
        <v/>
      </c>
    </row>
    <row r="8">
      <c r="A8" s="15" t="inlineStr">
        <is>
          <t>Validation</t>
        </is>
      </c>
      <c r="B8" s="25">
        <f>IF(ABS(B7-1)&lt;=0.001,"VALID","INVALID — must sum to 1.0")</f>
        <v/>
      </c>
    </row>
    <row r="10">
      <c r="A10" s="15" t="inlineStr">
        <is>
          <t>total_customers source</t>
        </is>
      </c>
      <c r="B10" s="21" t="inlineStr">
        <is>
          <t>Live geography count (PLC-012)</t>
        </is>
      </c>
      <c r="D10" s="27" t="inlineStr">
        <is>
          <t>total_customers(g) = customers in geography g with any environment provisioned or being deployed (baseline v2.5 amended, PLC-012 / A.10). Live, not configurable. Workbook stand-in: sum of Cust Count over the geography's regions.</t>
        </is>
      </c>
    </row>
    <row r="11">
      <c r="A11" s="15" t="inlineStr">
        <is>
          <t>γ when total_customers = 0</t>
        </is>
      </c>
      <c r="B11" s="21" t="n">
        <v>1</v>
      </c>
    </row>
    <row r="13">
      <c r="A13" s="15" t="inlineStr">
        <is>
          <t>DR bootstrap qty (vCPU)</t>
        </is>
      </c>
      <c r="B13" s="24" t="n">
        <v>40</v>
      </c>
    </row>
    <row r="14">
      <c r="A14" s="15" t="inlineStr">
        <is>
          <t>DR coverage target</t>
        </is>
      </c>
      <c r="B14" s="24" t="n">
        <v>0.8</v>
      </c>
    </row>
    <row r="15">
      <c r="A15" s="15" t="inlineStr">
        <is>
          <t>Min Prod headroom (vCPU)</t>
        </is>
      </c>
      <c r="B15" s="24" t="n">
        <v>20</v>
      </c>
    </row>
    <row r="16">
      <c r="A16" s="15" t="inlineStr">
        <is>
          <t>Min NonProd headroom (vCPU)</t>
        </is>
      </c>
      <c r="B16" s="24" t="n">
        <v>20</v>
      </c>
    </row>
    <row r="17">
      <c r="A17" s="15" t="inlineStr">
        <is>
          <t>Min DR headroom (vCPU)</t>
        </is>
      </c>
      <c r="B17" s="24" t="n">
        <v>16</v>
      </c>
    </row>
  </sheetData>
  <mergeCells count="1">
    <mergeCell ref="D10:H11"/>
  </mergeCells>
  <conditionalFormatting sqref="B8">
    <cfRule type="cellIs" priority="1" operator="equal" dxfId="0">
      <formula>"VALID"</formula>
    </cfRule>
    <cfRule type="expression" priority="2" dxfId="1">
      <formula>LEFT(B8,7)="INVALID"</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7"/>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2" customWidth="1" min="22" max="22"/>
  </cols>
  <sheetData>
    <row r="1">
      <c r="A1" s="9" t="inlineStr">
        <is>
          <t>ACRME CATALOGUE — CAPACITY &amp; USAGE (real usage distributed across the actual ACRME regions)</t>
        </is>
      </c>
    </row>
    <row r="2">
      <c r="A2" s="10" t="inlineStr">
        <is>
          <t>Alloc / Q-Used = real usage distributed onto ACRME regions (geography totals preserved). Reserved / Quota = max(even balanced-share, region alloc) + 8% margin (positive but varying headroom). Class: Standard = engine-selectable; Restricted (Middle East) = production-only, explicit Prod region required. Yellow = editable; grey = computed.</t>
        </is>
      </c>
    </row>
    <row r="3">
      <c r="A3" s="11" t="inlineStr">
        <is>
          <t>Region ID</t>
        </is>
      </c>
      <c r="B3" s="11" t="inlineStr">
        <is>
          <t>Region Name</t>
        </is>
      </c>
      <c r="C3" s="11" t="inlineStr">
        <is>
          <t>Geography</t>
        </is>
      </c>
      <c r="D3" s="11" t="inlineStr">
        <is>
          <t>Model</t>
        </is>
      </c>
      <c r="E3" s="11" t="inlineStr">
        <is>
          <t>AZ</t>
        </is>
      </c>
      <c r="F3" s="11" t="inlineStr">
        <is>
          <t>Prod Reserved</t>
        </is>
      </c>
      <c r="G3" s="11" t="inlineStr">
        <is>
          <t>Prod Alloc</t>
        </is>
      </c>
      <c r="H3" s="11" t="inlineStr">
        <is>
          <t>Prod Free</t>
        </is>
      </c>
      <c r="I3" s="11" t="inlineStr">
        <is>
          <t>Prod Q-Limit</t>
        </is>
      </c>
      <c r="J3" s="11" t="inlineStr">
        <is>
          <t>Prod Q-Used</t>
        </is>
      </c>
      <c r="K3" s="11" t="inlineStr">
        <is>
          <t>Prod Q-Headroom</t>
        </is>
      </c>
      <c r="L3" s="11" t="inlineStr">
        <is>
          <t>NP Reserved</t>
        </is>
      </c>
      <c r="M3" s="11" t="inlineStr">
        <is>
          <t>NP Alloc</t>
        </is>
      </c>
      <c r="N3" s="11" t="inlineStr">
        <is>
          <t>NP Eff-Free</t>
        </is>
      </c>
      <c r="O3" s="11" t="inlineStr">
        <is>
          <t>NP Q-Limit</t>
        </is>
      </c>
      <c r="P3" s="11" t="inlineStr">
        <is>
          <t>NP Q-Used</t>
        </is>
      </c>
      <c r="Q3" s="11" t="inlineStr">
        <is>
          <t>NP Q-Headroom</t>
        </is>
      </c>
      <c r="R3" s="11" t="inlineStr">
        <is>
          <t>DR Reserved</t>
        </is>
      </c>
      <c r="S3" s="11" t="inlineStr">
        <is>
          <t>DR Free</t>
        </is>
      </c>
      <c r="T3" s="11" t="inlineStr">
        <is>
          <t>DR Coverage</t>
        </is>
      </c>
      <c r="U3" s="11" t="inlineStr">
        <is>
          <t>Cust Count</t>
        </is>
      </c>
      <c r="V3" s="11" t="inlineStr">
        <is>
          <t>Class</t>
        </is>
      </c>
    </row>
    <row r="4">
      <c r="A4" s="12" t="inlineStr">
        <is>
          <t>westus3</t>
        </is>
      </c>
      <c r="B4" s="12" t="inlineStr">
        <is>
          <t>West US 3</t>
        </is>
      </c>
      <c r="C4" s="12" t="inlineStr">
        <is>
          <t>US</t>
        </is>
      </c>
      <c r="D4" s="12" t="inlineStr">
        <is>
          <t>3-region</t>
        </is>
      </c>
      <c r="E4" s="24" t="n">
        <v>3</v>
      </c>
      <c r="F4" s="28" t="n">
        <v>42492</v>
      </c>
      <c r="G4" s="28" t="n">
        <v>2</v>
      </c>
      <c r="H4" s="29">
        <f>F4-G4</f>
        <v/>
      </c>
      <c r="I4" s="28" t="n">
        <v>63738</v>
      </c>
      <c r="J4" s="28" t="n">
        <v>2</v>
      </c>
      <c r="K4" s="29">
        <f>I4-J4</f>
        <v/>
      </c>
      <c r="L4" s="28" t="n">
        <v>94710</v>
      </c>
      <c r="M4" s="28" t="n">
        <v>2</v>
      </c>
      <c r="N4" s="28" t="n">
        <v>94708</v>
      </c>
      <c r="O4" s="28" t="n">
        <v>142064</v>
      </c>
      <c r="P4" s="28" t="n">
        <v>2</v>
      </c>
      <c r="Q4" s="29">
        <f>O4-P4</f>
        <v/>
      </c>
      <c r="R4" s="24" t="n">
        <v>19672</v>
      </c>
      <c r="S4" s="24" t="n">
        <v>16722</v>
      </c>
      <c r="T4" s="24" t="n">
        <v>0.6</v>
      </c>
      <c r="U4" s="24" t="n">
        <v>1</v>
      </c>
      <c r="V4" s="29" t="inlineStr">
        <is>
          <t>Standard</t>
        </is>
      </c>
    </row>
    <row r="5">
      <c r="A5" s="12" t="inlineStr">
        <is>
          <t>centralus</t>
        </is>
      </c>
      <c r="B5" s="12" t="inlineStr">
        <is>
          <t>Central US</t>
        </is>
      </c>
      <c r="C5" s="12" t="inlineStr">
        <is>
          <t>US</t>
        </is>
      </c>
      <c r="D5" s="12" t="inlineStr">
        <is>
          <t>3-region</t>
        </is>
      </c>
      <c r="E5" s="24" t="n">
        <v>3</v>
      </c>
      <c r="F5" s="28" t="n">
        <v>42492</v>
      </c>
      <c r="G5" s="28" t="n">
        <v>12292</v>
      </c>
      <c r="H5" s="29">
        <f>F5-G5</f>
        <v/>
      </c>
      <c r="I5" s="28" t="n">
        <v>63738</v>
      </c>
      <c r="J5" s="28" t="n">
        <v>12292</v>
      </c>
      <c r="K5" s="29">
        <f>I5-J5</f>
        <v/>
      </c>
      <c r="L5" s="28" t="n">
        <v>94710</v>
      </c>
      <c r="M5" s="28" t="n">
        <v>27398</v>
      </c>
      <c r="N5" s="28" t="n">
        <v>67312</v>
      </c>
      <c r="O5" s="28" t="n">
        <v>142064</v>
      </c>
      <c r="P5" s="28" t="n">
        <v>27398</v>
      </c>
      <c r="Q5" s="29">
        <f>O5-P5</f>
        <v/>
      </c>
      <c r="R5" s="24" t="n">
        <v>19672</v>
      </c>
      <c r="S5" s="24" t="n">
        <v>16722</v>
      </c>
      <c r="T5" s="24" t="n">
        <v>0.6</v>
      </c>
      <c r="U5" s="24" t="n">
        <v>65</v>
      </c>
      <c r="V5" s="29" t="inlineStr">
        <is>
          <t>Standard</t>
        </is>
      </c>
    </row>
    <row r="6">
      <c r="A6" s="12" t="inlineStr">
        <is>
          <t>canadacentral</t>
        </is>
      </c>
      <c r="B6" s="12" t="inlineStr">
        <is>
          <t>Canada Central</t>
        </is>
      </c>
      <c r="C6" s="12" t="inlineStr">
        <is>
          <t>US</t>
        </is>
      </c>
      <c r="D6" s="12" t="inlineStr">
        <is>
          <t>3-region</t>
        </is>
      </c>
      <c r="E6" s="24" t="n">
        <v>3</v>
      </c>
      <c r="F6" s="28" t="n">
        <v>42492</v>
      </c>
      <c r="G6" s="28" t="n">
        <v>2326</v>
      </c>
      <c r="H6" s="29">
        <f>F6-G6</f>
        <v/>
      </c>
      <c r="I6" s="28" t="n">
        <v>63738</v>
      </c>
      <c r="J6" s="28" t="n">
        <v>2326</v>
      </c>
      <c r="K6" s="29">
        <f>I6-J6</f>
        <v/>
      </c>
      <c r="L6" s="28" t="n">
        <v>94710</v>
      </c>
      <c r="M6" s="28" t="n">
        <v>5186</v>
      </c>
      <c r="N6" s="28" t="n">
        <v>89524</v>
      </c>
      <c r="O6" s="28" t="n">
        <v>142064</v>
      </c>
      <c r="P6" s="28" t="n">
        <v>5186</v>
      </c>
      <c r="Q6" s="29">
        <f>O6-P6</f>
        <v/>
      </c>
      <c r="R6" s="24" t="n">
        <v>19672</v>
      </c>
      <c r="S6" s="24" t="n">
        <v>16722</v>
      </c>
      <c r="T6" s="24" t="n">
        <v>0.6</v>
      </c>
      <c r="U6" s="24" t="n">
        <v>10</v>
      </c>
      <c r="V6" s="29" t="inlineStr">
        <is>
          <t>Standard</t>
        </is>
      </c>
    </row>
    <row r="7">
      <c r="A7" s="12" t="inlineStr">
        <is>
          <t>eastus2</t>
        </is>
      </c>
      <c r="B7" s="12" t="inlineStr">
        <is>
          <t>East US 2</t>
        </is>
      </c>
      <c r="C7" s="12" t="inlineStr">
        <is>
          <t>US</t>
        </is>
      </c>
      <c r="D7" s="12" t="inlineStr">
        <is>
          <t>3-region</t>
        </is>
      </c>
      <c r="E7" s="24" t="n">
        <v>3</v>
      </c>
      <c r="F7" s="28" t="n">
        <v>154178</v>
      </c>
      <c r="G7" s="28" t="n">
        <v>142756</v>
      </c>
      <c r="H7" s="29">
        <f>F7-G7</f>
        <v/>
      </c>
      <c r="I7" s="28" t="n">
        <v>231266</v>
      </c>
      <c r="J7" s="28" t="n">
        <v>142756</v>
      </c>
      <c r="K7" s="29">
        <f>I7-J7</f>
        <v/>
      </c>
      <c r="L7" s="28" t="n">
        <v>343646</v>
      </c>
      <c r="M7" s="28" t="n">
        <v>318190</v>
      </c>
      <c r="N7" s="28" t="n">
        <v>25456</v>
      </c>
      <c r="O7" s="28" t="n">
        <v>515468</v>
      </c>
      <c r="P7" s="28" t="n">
        <v>318190</v>
      </c>
      <c r="Q7" s="29">
        <f>O7-P7</f>
        <v/>
      </c>
      <c r="R7" s="24" t="n">
        <v>19672</v>
      </c>
      <c r="S7" s="24" t="n">
        <v>16722</v>
      </c>
      <c r="T7" s="24" t="n">
        <v>0.6</v>
      </c>
      <c r="U7" s="24" t="n">
        <v>150</v>
      </c>
      <c r="V7" s="29" t="inlineStr">
        <is>
          <t>Standard</t>
        </is>
      </c>
    </row>
    <row r="8">
      <c r="A8" s="12" t="inlineStr">
        <is>
          <t>switzerlandnorth</t>
        </is>
      </c>
      <c r="B8" s="12" t="inlineStr">
        <is>
          <t>Switzerland North</t>
        </is>
      </c>
      <c r="C8" s="12" t="inlineStr">
        <is>
          <t>EU</t>
        </is>
      </c>
      <c r="D8" s="12" t="inlineStr">
        <is>
          <t>2-region</t>
        </is>
      </c>
      <c r="E8" s="24" t="n">
        <v>3</v>
      </c>
      <c r="F8" s="28" t="n">
        <v>13334</v>
      </c>
      <c r="G8" s="28" t="n">
        <v>628</v>
      </c>
      <c r="H8" s="29">
        <f>F8-G8</f>
        <v/>
      </c>
      <c r="I8" s="28" t="n">
        <v>20002</v>
      </c>
      <c r="J8" s="28" t="n">
        <v>628</v>
      </c>
      <c r="K8" s="29">
        <f>I8-J8</f>
        <v/>
      </c>
      <c r="L8" s="28" t="n">
        <v>40456</v>
      </c>
      <c r="M8" s="28" t="n">
        <v>1902</v>
      </c>
      <c r="N8" s="28" t="n">
        <v>38554</v>
      </c>
      <c r="O8" s="28" t="n">
        <v>60684</v>
      </c>
      <c r="P8" s="28" t="n">
        <v>1902</v>
      </c>
      <c r="Q8" s="29">
        <f>O8-P8</f>
        <v/>
      </c>
      <c r="R8" s="24" t="n">
        <v>6174</v>
      </c>
      <c r="S8" s="24" t="n">
        <v>5248</v>
      </c>
      <c r="T8" s="24" t="n">
        <v>0.6</v>
      </c>
      <c r="U8" s="24" t="n">
        <v>11</v>
      </c>
      <c r="V8" s="29" t="inlineStr">
        <is>
          <t>Standard</t>
        </is>
      </c>
    </row>
    <row r="9">
      <c r="A9" s="12" t="inlineStr">
        <is>
          <t>swedencentral</t>
        </is>
      </c>
      <c r="B9" s="12" t="inlineStr">
        <is>
          <t>Sweden Central</t>
        </is>
      </c>
      <c r="C9" s="12" t="inlineStr">
        <is>
          <t>EU</t>
        </is>
      </c>
      <c r="D9" s="12" t="inlineStr">
        <is>
          <t>2-region</t>
        </is>
      </c>
      <c r="E9" s="24" t="n">
        <v>3</v>
      </c>
      <c r="F9" s="28" t="n">
        <v>13334</v>
      </c>
      <c r="G9" s="28" t="n">
        <v>842</v>
      </c>
      <c r="H9" s="29">
        <f>F9-G9</f>
        <v/>
      </c>
      <c r="I9" s="28" t="n">
        <v>20002</v>
      </c>
      <c r="J9" s="28" t="n">
        <v>842</v>
      </c>
      <c r="K9" s="29">
        <f>I9-J9</f>
        <v/>
      </c>
      <c r="L9" s="28" t="n">
        <v>40456</v>
      </c>
      <c r="M9" s="28" t="n">
        <v>2552</v>
      </c>
      <c r="N9" s="28" t="n">
        <v>37904</v>
      </c>
      <c r="O9" s="28" t="n">
        <v>60684</v>
      </c>
      <c r="P9" s="28" t="n">
        <v>2552</v>
      </c>
      <c r="Q9" s="29">
        <f>O9-P9</f>
        <v/>
      </c>
      <c r="R9" s="24" t="n">
        <v>6174</v>
      </c>
      <c r="S9" s="24" t="n">
        <v>5248</v>
      </c>
      <c r="T9" s="24" t="n">
        <v>0.6</v>
      </c>
      <c r="U9" s="24" t="n">
        <v>13</v>
      </c>
      <c r="V9" s="29" t="inlineStr">
        <is>
          <t>Standard</t>
        </is>
      </c>
    </row>
    <row r="10">
      <c r="A10" s="12" t="inlineStr">
        <is>
          <t>northeurope</t>
        </is>
      </c>
      <c r="B10" s="12" t="inlineStr">
        <is>
          <t>North Europe</t>
        </is>
      </c>
      <c r="C10" s="12" t="inlineStr">
        <is>
          <t>EU</t>
        </is>
      </c>
      <c r="D10" s="12" t="inlineStr">
        <is>
          <t>2-region</t>
        </is>
      </c>
      <c r="E10" s="24" t="n">
        <v>3</v>
      </c>
      <c r="F10" s="28" t="n">
        <v>13334</v>
      </c>
      <c r="G10" s="28" t="n">
        <v>3072</v>
      </c>
      <c r="H10" s="29">
        <f>F10-G10</f>
        <v/>
      </c>
      <c r="I10" s="28" t="n">
        <v>20002</v>
      </c>
      <c r="J10" s="28" t="n">
        <v>3072</v>
      </c>
      <c r="K10" s="29">
        <f>I10-J10</f>
        <v/>
      </c>
      <c r="L10" s="28" t="n">
        <v>40456</v>
      </c>
      <c r="M10" s="28" t="n">
        <v>9322</v>
      </c>
      <c r="N10" s="28" t="n">
        <v>31134</v>
      </c>
      <c r="O10" s="28" t="n">
        <v>60684</v>
      </c>
      <c r="P10" s="28" t="n">
        <v>9322</v>
      </c>
      <c r="Q10" s="29">
        <f>O10-P10</f>
        <v/>
      </c>
      <c r="R10" s="24" t="n">
        <v>6174</v>
      </c>
      <c r="S10" s="24" t="n">
        <v>5248</v>
      </c>
      <c r="T10" s="24" t="n">
        <v>0.6</v>
      </c>
      <c r="U10" s="24" t="n">
        <v>30</v>
      </c>
      <c r="V10" s="29" t="inlineStr">
        <is>
          <t>Standard</t>
        </is>
      </c>
    </row>
    <row r="11">
      <c r="A11" s="12" t="inlineStr">
        <is>
          <t>westeurope</t>
        </is>
      </c>
      <c r="B11" s="12" t="inlineStr">
        <is>
          <t>West Europe</t>
        </is>
      </c>
      <c r="C11" s="12" t="inlineStr">
        <is>
          <t>EU</t>
        </is>
      </c>
      <c r="D11" s="12" t="inlineStr">
        <is>
          <t>2-region</t>
        </is>
      </c>
      <c r="E11" s="24" t="n">
        <v>3</v>
      </c>
      <c r="F11" s="28" t="n">
        <v>48434</v>
      </c>
      <c r="G11" s="28" t="n">
        <v>44846</v>
      </c>
      <c r="H11" s="29">
        <f>F11-G11</f>
        <v/>
      </c>
      <c r="I11" s="28" t="n">
        <v>72650</v>
      </c>
      <c r="J11" s="28" t="n">
        <v>44846</v>
      </c>
      <c r="K11" s="29">
        <f>I11-J11</f>
        <v/>
      </c>
      <c r="L11" s="28" t="n">
        <v>146950</v>
      </c>
      <c r="M11" s="28" t="n">
        <v>136064</v>
      </c>
      <c r="N11" s="28" t="n">
        <v>10886</v>
      </c>
      <c r="O11" s="28" t="n">
        <v>220424</v>
      </c>
      <c r="P11" s="28" t="n">
        <v>136064</v>
      </c>
      <c r="Q11" s="29">
        <f>O11-P11</f>
        <v/>
      </c>
      <c r="R11" s="24" t="n">
        <v>6174</v>
      </c>
      <c r="S11" s="24" t="n">
        <v>5248</v>
      </c>
      <c r="T11" s="24" t="n">
        <v>0.6</v>
      </c>
      <c r="U11" s="24" t="n">
        <v>69</v>
      </c>
      <c r="V11" s="29" t="inlineStr">
        <is>
          <t>Standard</t>
        </is>
      </c>
    </row>
    <row r="12">
      <c r="A12" s="12" t="inlineStr">
        <is>
          <t>australiaeast</t>
        </is>
      </c>
      <c r="B12" s="12" t="inlineStr">
        <is>
          <t>Australia East</t>
        </is>
      </c>
      <c r="C12" s="12" t="inlineStr">
        <is>
          <t>Australia</t>
        </is>
      </c>
      <c r="D12" s="12" t="inlineStr">
        <is>
          <t>2-region</t>
        </is>
      </c>
      <c r="E12" s="24" t="n">
        <v>3</v>
      </c>
      <c r="F12" s="28" t="n">
        <v>9518</v>
      </c>
      <c r="G12" s="28" t="n">
        <v>8812</v>
      </c>
      <c r="H12" s="29">
        <f>F12-G12</f>
        <v/>
      </c>
      <c r="I12" s="28" t="n">
        <v>14276</v>
      </c>
      <c r="J12" s="28" t="n">
        <v>8812</v>
      </c>
      <c r="K12" s="29">
        <f>I12-J12</f>
        <v/>
      </c>
      <c r="L12" s="28" t="n">
        <v>17958</v>
      </c>
      <c r="M12" s="28" t="n">
        <v>16628</v>
      </c>
      <c r="N12" s="28" t="n">
        <v>1330</v>
      </c>
      <c r="O12" s="28" t="n">
        <v>26936</v>
      </c>
      <c r="P12" s="28" t="n">
        <v>16628</v>
      </c>
      <c r="Q12" s="29">
        <f>O12-P12</f>
        <v/>
      </c>
      <c r="R12" s="24" t="n">
        <v>2604</v>
      </c>
      <c r="S12" s="24" t="n">
        <v>2214</v>
      </c>
      <c r="T12" s="24" t="n">
        <v>0.6</v>
      </c>
      <c r="U12" s="24" t="n">
        <v>34</v>
      </c>
      <c r="V12" s="29" t="inlineStr">
        <is>
          <t>Standard</t>
        </is>
      </c>
    </row>
    <row r="13">
      <c r="A13" s="12" t="inlineStr">
        <is>
          <t>australiasoutheast</t>
        </is>
      </c>
      <c r="B13" s="12" t="inlineStr">
        <is>
          <t>Australia Southeast</t>
        </is>
      </c>
      <c r="C13" s="12" t="inlineStr">
        <is>
          <t>Australia</t>
        </is>
      </c>
      <c r="D13" s="12" t="inlineStr">
        <is>
          <t>2-region</t>
        </is>
      </c>
      <c r="E13" s="24" t="n">
        <v>2</v>
      </c>
      <c r="F13" s="28" t="n">
        <v>5624</v>
      </c>
      <c r="G13" s="28" t="n">
        <v>1602</v>
      </c>
      <c r="H13" s="29">
        <f>F13-G13</f>
        <v/>
      </c>
      <c r="I13" s="28" t="n">
        <v>8434</v>
      </c>
      <c r="J13" s="28" t="n">
        <v>1602</v>
      </c>
      <c r="K13" s="29">
        <f>I13-J13</f>
        <v/>
      </c>
      <c r="L13" s="28" t="n">
        <v>10610</v>
      </c>
      <c r="M13" s="28" t="n">
        <v>3020</v>
      </c>
      <c r="N13" s="28" t="n">
        <v>7590</v>
      </c>
      <c r="O13" s="28" t="n">
        <v>15914</v>
      </c>
      <c r="P13" s="28" t="n">
        <v>3020</v>
      </c>
      <c r="Q13" s="29">
        <f>O13-P13</f>
        <v/>
      </c>
      <c r="R13" s="24" t="n">
        <v>2604</v>
      </c>
      <c r="S13" s="24" t="n">
        <v>2214</v>
      </c>
      <c r="T13" s="24" t="n">
        <v>0.6</v>
      </c>
      <c r="U13" s="24" t="n">
        <v>14</v>
      </c>
      <c r="V13" s="29" t="inlineStr">
        <is>
          <t>Standard</t>
        </is>
      </c>
    </row>
    <row r="14">
      <c r="A14" s="12" t="inlineStr">
        <is>
          <t>eastasia</t>
        </is>
      </c>
      <c r="B14" s="12" t="inlineStr">
        <is>
          <t>East Asia</t>
        </is>
      </c>
      <c r="C14" s="12" t="inlineStr">
        <is>
          <t>Asia Pacific</t>
        </is>
      </c>
      <c r="D14" s="12" t="inlineStr">
        <is>
          <t>2-region</t>
        </is>
      </c>
      <c r="E14" s="24" t="n">
        <v>3</v>
      </c>
      <c r="F14" s="28" t="n">
        <v>12504</v>
      </c>
      <c r="G14" s="28" t="n">
        <v>2956</v>
      </c>
      <c r="H14" s="29">
        <f>F14-G14</f>
        <v/>
      </c>
      <c r="I14" s="28" t="n">
        <v>18756</v>
      </c>
      <c r="J14" s="28" t="n">
        <v>2956</v>
      </c>
      <c r="K14" s="29">
        <f>I14-J14</f>
        <v/>
      </c>
      <c r="L14" s="28" t="n">
        <v>13968</v>
      </c>
      <c r="M14" s="28" t="n">
        <v>3302</v>
      </c>
      <c r="N14" s="28" t="n">
        <v>10666</v>
      </c>
      <c r="O14" s="28" t="n">
        <v>20952</v>
      </c>
      <c r="P14" s="28" t="n">
        <v>3302</v>
      </c>
      <c r="Q14" s="29">
        <f>O14-P14</f>
        <v/>
      </c>
      <c r="R14" s="24" t="n">
        <v>5790</v>
      </c>
      <c r="S14" s="24" t="n">
        <v>4922</v>
      </c>
      <c r="T14" s="24" t="n">
        <v>0.6</v>
      </c>
      <c r="U14" s="24" t="n">
        <v>21</v>
      </c>
      <c r="V14" s="29" t="inlineStr">
        <is>
          <t>Standard</t>
        </is>
      </c>
    </row>
    <row r="15">
      <c r="A15" s="12" t="inlineStr">
        <is>
          <t>southeastasia</t>
        </is>
      </c>
      <c r="B15" s="12" t="inlineStr">
        <is>
          <t>Southeast Asia</t>
        </is>
      </c>
      <c r="C15" s="12" t="inlineStr">
        <is>
          <t>Asia Pacific</t>
        </is>
      </c>
      <c r="D15" s="12" t="inlineStr">
        <is>
          <t>2-region</t>
        </is>
      </c>
      <c r="E15" s="24" t="n">
        <v>3</v>
      </c>
      <c r="F15" s="28" t="n">
        <v>21816</v>
      </c>
      <c r="G15" s="28" t="n">
        <v>20200</v>
      </c>
      <c r="H15" s="29">
        <f>F15-G15</f>
        <v/>
      </c>
      <c r="I15" s="28" t="n">
        <v>32722</v>
      </c>
      <c r="J15" s="28" t="n">
        <v>20200</v>
      </c>
      <c r="K15" s="29">
        <f>I15-J15</f>
        <v/>
      </c>
      <c r="L15" s="28" t="n">
        <v>24370</v>
      </c>
      <c r="M15" s="28" t="n">
        <v>22566</v>
      </c>
      <c r="N15" s="28" t="n">
        <v>1804</v>
      </c>
      <c r="O15" s="28" t="n">
        <v>36556</v>
      </c>
      <c r="P15" s="28" t="n">
        <v>22566</v>
      </c>
      <c r="Q15" s="29">
        <f>O15-P15</f>
        <v/>
      </c>
      <c r="R15" s="24" t="n">
        <v>5790</v>
      </c>
      <c r="S15" s="24" t="n">
        <v>4922</v>
      </c>
      <c r="T15" s="24" t="n">
        <v>0.6</v>
      </c>
      <c r="U15" s="24" t="n">
        <v>43</v>
      </c>
      <c r="V15" s="29" t="inlineStr">
        <is>
          <t>Standard</t>
        </is>
      </c>
    </row>
    <row r="16">
      <c r="A16" s="12" t="inlineStr">
        <is>
          <t>saudiarbiaeast</t>
        </is>
      </c>
      <c r="B16" s="12" t="inlineStr">
        <is>
          <t>Saudi Arabia East</t>
        </is>
      </c>
      <c r="C16" s="12" t="inlineStr">
        <is>
          <t>Middle East</t>
        </is>
      </c>
      <c r="D16" s="12" t="inlineStr">
        <is>
          <t>cross-geo</t>
        </is>
      </c>
      <c r="E16" s="19" t="n">
        <v>3</v>
      </c>
      <c r="F16" s="30" t="n">
        <v>1296</v>
      </c>
      <c r="G16" s="30" t="n">
        <v>1200</v>
      </c>
      <c r="H16" s="29">
        <f>F16-G16</f>
        <v/>
      </c>
      <c r="I16" s="30" t="n">
        <v>1944</v>
      </c>
      <c r="J16" s="30" t="n">
        <v>1200</v>
      </c>
      <c r="K16" s="29">
        <f>I16-J16</f>
        <v/>
      </c>
      <c r="L16" s="30" t="n">
        <v>1838</v>
      </c>
      <c r="M16" s="30" t="n">
        <v>1700</v>
      </c>
      <c r="N16" s="30" t="n">
        <v>138</v>
      </c>
      <c r="O16" s="30" t="n">
        <v>2756</v>
      </c>
      <c r="P16" s="30" t="n">
        <v>1700</v>
      </c>
      <c r="Q16" s="29">
        <f>O16-P16</f>
        <v/>
      </c>
      <c r="R16" s="19" t="n">
        <v>0</v>
      </c>
      <c r="S16" s="19" t="n">
        <v>0</v>
      </c>
      <c r="T16" s="19" t="n">
        <v>0</v>
      </c>
      <c r="U16" s="19" t="n">
        <v>4</v>
      </c>
      <c r="V16" s="22" t="inlineStr">
        <is>
          <t>Restricted</t>
        </is>
      </c>
    </row>
    <row r="17">
      <c r="A17" s="12" t="inlineStr">
        <is>
          <t>uaenorth</t>
        </is>
      </c>
      <c r="B17" s="12" t="inlineStr">
        <is>
          <t>UAE North</t>
        </is>
      </c>
      <c r="C17" s="12" t="inlineStr">
        <is>
          <t>Middle East</t>
        </is>
      </c>
      <c r="D17" s="12" t="inlineStr">
        <is>
          <t>cross-geo</t>
        </is>
      </c>
      <c r="E17" s="19" t="n">
        <v>3</v>
      </c>
      <c r="F17" s="30" t="n">
        <v>1296</v>
      </c>
      <c r="G17" s="30" t="n">
        <v>1200</v>
      </c>
      <c r="H17" s="29">
        <f>F17-G17</f>
        <v/>
      </c>
      <c r="I17" s="30" t="n">
        <v>1944</v>
      </c>
      <c r="J17" s="30" t="n">
        <v>1200</v>
      </c>
      <c r="K17" s="29">
        <f>I17-J17</f>
        <v/>
      </c>
      <c r="L17" s="30" t="n">
        <v>1838</v>
      </c>
      <c r="M17" s="30" t="n">
        <v>1700</v>
      </c>
      <c r="N17" s="30" t="n">
        <v>138</v>
      </c>
      <c r="O17" s="30" t="n">
        <v>2756</v>
      </c>
      <c r="P17" s="30" t="n">
        <v>1700</v>
      </c>
      <c r="Q17" s="29">
        <f>O17-P17</f>
        <v/>
      </c>
      <c r="R17" s="19" t="n">
        <v>0</v>
      </c>
      <c r="S17" s="19" t="n">
        <v>0</v>
      </c>
      <c r="T17" s="19" t="n">
        <v>0</v>
      </c>
      <c r="U17" s="19" t="n">
        <v>4</v>
      </c>
      <c r="V17" s="22" t="inlineStr">
        <is>
          <t>Restricted</t>
        </is>
      </c>
    </row>
  </sheetData>
  <mergeCells count="2">
    <mergeCell ref="A2:V2"/>
    <mergeCell ref="A1:V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7"/>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9" t="inlineStr">
        <is>
          <t>HARD CONSTRAINT GATE</t>
        </is>
      </c>
    </row>
    <row r="3">
      <c r="A3" s="11" t="inlineStr">
        <is>
          <t>Region</t>
        </is>
      </c>
      <c r="B3" s="11" t="inlineStr">
        <is>
          <t>Geography</t>
        </is>
      </c>
      <c r="C3" s="11" t="inlineStr">
        <is>
          <t>Class</t>
        </is>
      </c>
      <c r="D3" s="11" t="inlineStr">
        <is>
          <t>Req vCPU</t>
        </is>
      </c>
      <c r="E3" s="11" t="inlineStr">
        <is>
          <t>HC-3 Prod</t>
        </is>
      </c>
      <c r="F3" s="11" t="inlineStr">
        <is>
          <t>HC-3 NonProd</t>
        </is>
      </c>
      <c r="G3" s="11" t="inlineStr">
        <is>
          <t>HC-3 DR</t>
        </is>
      </c>
      <c r="H3" s="11" t="inlineStr">
        <is>
          <t>HC-6 DR Floor</t>
        </is>
      </c>
      <c r="I3" s="11" t="inlineStr">
        <is>
          <t>HC-7 DR Integ</t>
        </is>
      </c>
      <c r="J3" s="11" t="inlineStr">
        <is>
          <t>Eligible Prod</t>
        </is>
      </c>
      <c r="K3" s="11" t="inlineStr">
        <is>
          <t>Eligible NonProd</t>
        </is>
      </c>
      <c r="L3" s="11" t="inlineStr">
        <is>
          <t>Eligible DR</t>
        </is>
      </c>
    </row>
    <row r="4">
      <c r="A4" s="12">
        <f>Capacity_Usage!B4</f>
        <v/>
      </c>
      <c r="B4" s="12">
        <f>Capacity_Usage!C4</f>
        <v/>
      </c>
      <c r="C4" s="12">
        <f>Capacity_Usage!V4</f>
        <v/>
      </c>
      <c r="D4" s="12">
        <f>Setup!$B$7</f>
        <v/>
      </c>
      <c r="E4" s="12">
        <f>IF(AND(Capacity_Usage!K4&gt;=Setup!$B$7,Capacity_Usage!K4-Setup!$B$7&gt;=Policy!$B$15),"PASS","FAIL")</f>
        <v/>
      </c>
      <c r="F4" s="12">
        <f>IF(AND(Capacity_Usage!N4&gt;=Setup!$B$7,Capacity_Usage!Q4-Setup!$B$7&gt;=Policy!$B$16),"PASS","FAIL")</f>
        <v/>
      </c>
      <c r="G4" s="12">
        <f>IF(Capacity_Usage!S4&gt;=Policy!$B$13,"PASS","FAIL")</f>
        <v/>
      </c>
      <c r="H4" s="12">
        <f>IF(OR(B4="US",B4="EU"),"N/A (4-region)",IF(Capacity_Usage!S4+Capacity_Usage!N4&gt;=Policy!$B$13,"PASS","FAIL"))</f>
        <v/>
      </c>
      <c r="I4" s="12">
        <f>IF(OR(B4="US",B4="EU"),"N/A (4-region)",IF(Capacity_Usage!P4+Setup!$B$7&lt;=Capacity_Usage!O4-Policy!$B$13,"PASS","FAIL"))</f>
        <v/>
      </c>
      <c r="J4" s="12">
        <f>IF(E4="PASS","YES","NO")</f>
        <v/>
      </c>
      <c r="K4" s="12">
        <f>IF(AND(F4="PASS",OR(I4="PASS",I4="N/A (4-region)")),"YES","NO")</f>
        <v/>
      </c>
      <c r="L4" s="12">
        <f>IF(AND(G4="PASS",OR(H4="PASS",H4="N/A (4-region)")),"YES","NO")</f>
        <v/>
      </c>
    </row>
    <row r="5">
      <c r="A5" s="12">
        <f>Capacity_Usage!B5</f>
        <v/>
      </c>
      <c r="B5" s="12">
        <f>Capacity_Usage!C5</f>
        <v/>
      </c>
      <c r="C5" s="12">
        <f>Capacity_Usage!V5</f>
        <v/>
      </c>
      <c r="D5" s="12">
        <f>Setup!$B$7</f>
        <v/>
      </c>
      <c r="E5" s="12">
        <f>IF(AND(Capacity_Usage!K5&gt;=Setup!$B$7,Capacity_Usage!K5-Setup!$B$7&gt;=Policy!$B$15),"PASS","FAIL")</f>
        <v/>
      </c>
      <c r="F5" s="12">
        <f>IF(AND(Capacity_Usage!N5&gt;=Setup!$B$7,Capacity_Usage!Q5-Setup!$B$7&gt;=Policy!$B$16),"PASS","FAIL")</f>
        <v/>
      </c>
      <c r="G5" s="12">
        <f>IF(Capacity_Usage!S5&gt;=Policy!$B$13,"PASS","FAIL")</f>
        <v/>
      </c>
      <c r="H5" s="12">
        <f>IF(OR(B5="US",B5="EU"),"N/A (4-region)",IF(Capacity_Usage!S5+Capacity_Usage!N5&gt;=Policy!$B$13,"PASS","FAIL"))</f>
        <v/>
      </c>
      <c r="I5" s="12">
        <f>IF(OR(B5="US",B5="EU"),"N/A (4-region)",IF(Capacity_Usage!P5+Setup!$B$7&lt;=Capacity_Usage!O5-Policy!$B$13,"PASS","FAIL"))</f>
        <v/>
      </c>
      <c r="J5" s="12">
        <f>IF(E5="PASS","YES","NO")</f>
        <v/>
      </c>
      <c r="K5" s="12">
        <f>IF(AND(F5="PASS",OR(I5="PASS",I5="N/A (4-region)")),"YES","NO")</f>
        <v/>
      </c>
      <c r="L5" s="12">
        <f>IF(AND(G5="PASS",OR(H5="PASS",H5="N/A (4-region)")),"YES","NO")</f>
        <v/>
      </c>
    </row>
    <row r="6">
      <c r="A6" s="12">
        <f>Capacity_Usage!B6</f>
        <v/>
      </c>
      <c r="B6" s="12">
        <f>Capacity_Usage!C6</f>
        <v/>
      </c>
      <c r="C6" s="12">
        <f>Capacity_Usage!V6</f>
        <v/>
      </c>
      <c r="D6" s="12">
        <f>Setup!$B$7</f>
        <v/>
      </c>
      <c r="E6" s="12">
        <f>IF(AND(Capacity_Usage!K6&gt;=Setup!$B$7,Capacity_Usage!K6-Setup!$B$7&gt;=Policy!$B$15),"PASS","FAIL")</f>
        <v/>
      </c>
      <c r="F6" s="12">
        <f>IF(AND(Capacity_Usage!N6&gt;=Setup!$B$7,Capacity_Usage!Q6-Setup!$B$7&gt;=Policy!$B$16),"PASS","FAIL")</f>
        <v/>
      </c>
      <c r="G6" s="12">
        <f>IF(Capacity_Usage!S6&gt;=Policy!$B$13,"PASS","FAIL")</f>
        <v/>
      </c>
      <c r="H6" s="12">
        <f>IF(OR(B6="US",B6="EU"),"N/A (4-region)",IF(Capacity_Usage!S6+Capacity_Usage!N6&gt;=Policy!$B$13,"PASS","FAIL"))</f>
        <v/>
      </c>
      <c r="I6" s="12">
        <f>IF(OR(B6="US",B6="EU"),"N/A (4-region)",IF(Capacity_Usage!P6+Setup!$B$7&lt;=Capacity_Usage!O6-Policy!$B$13,"PASS","FAIL"))</f>
        <v/>
      </c>
      <c r="J6" s="12">
        <f>IF(E6="PASS","YES","NO")</f>
        <v/>
      </c>
      <c r="K6" s="12">
        <f>IF(AND(F6="PASS",OR(I6="PASS",I6="N/A (4-region)")),"YES","NO")</f>
        <v/>
      </c>
      <c r="L6" s="12">
        <f>IF(AND(G6="PASS",OR(H6="PASS",H6="N/A (4-region)")),"YES","NO")</f>
        <v/>
      </c>
    </row>
    <row r="7">
      <c r="A7" s="12">
        <f>Capacity_Usage!B7</f>
        <v/>
      </c>
      <c r="B7" s="12">
        <f>Capacity_Usage!C7</f>
        <v/>
      </c>
      <c r="C7" s="12">
        <f>Capacity_Usage!V7</f>
        <v/>
      </c>
      <c r="D7" s="12">
        <f>Setup!$B$7</f>
        <v/>
      </c>
      <c r="E7" s="12">
        <f>IF(AND(Capacity_Usage!K7&gt;=Setup!$B$7,Capacity_Usage!K7-Setup!$B$7&gt;=Policy!$B$15),"PASS","FAIL")</f>
        <v/>
      </c>
      <c r="F7" s="12">
        <f>IF(AND(Capacity_Usage!N7&gt;=Setup!$B$7,Capacity_Usage!Q7-Setup!$B$7&gt;=Policy!$B$16),"PASS","FAIL")</f>
        <v/>
      </c>
      <c r="G7" s="12">
        <f>IF(Capacity_Usage!S7&gt;=Policy!$B$13,"PASS","FAIL")</f>
        <v/>
      </c>
      <c r="H7" s="12">
        <f>IF(OR(B7="US",B7="EU"),"N/A (4-region)",IF(Capacity_Usage!S7+Capacity_Usage!N7&gt;=Policy!$B$13,"PASS","FAIL"))</f>
        <v/>
      </c>
      <c r="I7" s="12">
        <f>IF(OR(B7="US",B7="EU"),"N/A (4-region)",IF(Capacity_Usage!P7+Setup!$B$7&lt;=Capacity_Usage!O7-Policy!$B$13,"PASS","FAIL"))</f>
        <v/>
      </c>
      <c r="J7" s="12">
        <f>IF(E7="PASS","YES","NO")</f>
        <v/>
      </c>
      <c r="K7" s="12">
        <f>IF(AND(F7="PASS",OR(I7="PASS",I7="N/A (4-region)")),"YES","NO")</f>
        <v/>
      </c>
      <c r="L7" s="12">
        <f>IF(AND(G7="PASS",OR(H7="PASS",H7="N/A (4-region)")),"YES","NO")</f>
        <v/>
      </c>
    </row>
    <row r="8">
      <c r="A8" s="12">
        <f>Capacity_Usage!B8</f>
        <v/>
      </c>
      <c r="B8" s="12">
        <f>Capacity_Usage!C8</f>
        <v/>
      </c>
      <c r="C8" s="12">
        <f>Capacity_Usage!V8</f>
        <v/>
      </c>
      <c r="D8" s="12">
        <f>Setup!$B$7</f>
        <v/>
      </c>
      <c r="E8" s="12">
        <f>IF(AND(Capacity_Usage!K8&gt;=Setup!$B$7,Capacity_Usage!K8-Setup!$B$7&gt;=Policy!$B$15),"PASS","FAIL")</f>
        <v/>
      </c>
      <c r="F8" s="12">
        <f>IF(AND(Capacity_Usage!N8&gt;=Setup!$B$7,Capacity_Usage!Q8-Setup!$B$7&gt;=Policy!$B$16),"PASS","FAIL")</f>
        <v/>
      </c>
      <c r="G8" s="12">
        <f>IF(Capacity_Usage!S8&gt;=Policy!$B$13,"PASS","FAIL")</f>
        <v/>
      </c>
      <c r="H8" s="12">
        <f>IF(OR(B8="US",B8="EU"),"N/A (4-region)",IF(Capacity_Usage!S8+Capacity_Usage!N8&gt;=Policy!$B$13,"PASS","FAIL"))</f>
        <v/>
      </c>
      <c r="I8" s="12">
        <f>IF(OR(B8="US",B8="EU"),"N/A (4-region)",IF(Capacity_Usage!P8+Setup!$B$7&lt;=Capacity_Usage!O8-Policy!$B$13,"PASS","FAIL"))</f>
        <v/>
      </c>
      <c r="J8" s="12">
        <f>IF(E8="PASS","YES","NO")</f>
        <v/>
      </c>
      <c r="K8" s="12">
        <f>IF(AND(F8="PASS",OR(I8="PASS",I8="N/A (4-region)")),"YES","NO")</f>
        <v/>
      </c>
      <c r="L8" s="12">
        <f>IF(AND(G8="PASS",OR(H8="PASS",H8="N/A (4-region)")),"YES","NO")</f>
        <v/>
      </c>
    </row>
    <row r="9">
      <c r="A9" s="12">
        <f>Capacity_Usage!B9</f>
        <v/>
      </c>
      <c r="B9" s="12">
        <f>Capacity_Usage!C9</f>
        <v/>
      </c>
      <c r="C9" s="12">
        <f>Capacity_Usage!V9</f>
        <v/>
      </c>
      <c r="D9" s="12">
        <f>Setup!$B$7</f>
        <v/>
      </c>
      <c r="E9" s="12">
        <f>IF(AND(Capacity_Usage!K9&gt;=Setup!$B$7,Capacity_Usage!K9-Setup!$B$7&gt;=Policy!$B$15),"PASS","FAIL")</f>
        <v/>
      </c>
      <c r="F9" s="12">
        <f>IF(AND(Capacity_Usage!N9&gt;=Setup!$B$7,Capacity_Usage!Q9-Setup!$B$7&gt;=Policy!$B$16),"PASS","FAIL")</f>
        <v/>
      </c>
      <c r="G9" s="12">
        <f>IF(Capacity_Usage!S9&gt;=Policy!$B$13,"PASS","FAIL")</f>
        <v/>
      </c>
      <c r="H9" s="12">
        <f>IF(OR(B9="US",B9="EU"),"N/A (4-region)",IF(Capacity_Usage!S9+Capacity_Usage!N9&gt;=Policy!$B$13,"PASS","FAIL"))</f>
        <v/>
      </c>
      <c r="I9" s="12">
        <f>IF(OR(B9="US",B9="EU"),"N/A (4-region)",IF(Capacity_Usage!P9+Setup!$B$7&lt;=Capacity_Usage!O9-Policy!$B$13,"PASS","FAIL"))</f>
        <v/>
      </c>
      <c r="J9" s="12">
        <f>IF(E9="PASS","YES","NO")</f>
        <v/>
      </c>
      <c r="K9" s="12">
        <f>IF(AND(F9="PASS",OR(I9="PASS",I9="N/A (4-region)")),"YES","NO")</f>
        <v/>
      </c>
      <c r="L9" s="12">
        <f>IF(AND(G9="PASS",OR(H9="PASS",H9="N/A (4-region)")),"YES","NO")</f>
        <v/>
      </c>
    </row>
    <row r="10">
      <c r="A10" s="12">
        <f>Capacity_Usage!B10</f>
        <v/>
      </c>
      <c r="B10" s="12">
        <f>Capacity_Usage!C10</f>
        <v/>
      </c>
      <c r="C10" s="12">
        <f>Capacity_Usage!V10</f>
        <v/>
      </c>
      <c r="D10" s="12">
        <f>Setup!$B$7</f>
        <v/>
      </c>
      <c r="E10" s="12">
        <f>IF(AND(Capacity_Usage!K10&gt;=Setup!$B$7,Capacity_Usage!K10-Setup!$B$7&gt;=Policy!$B$15),"PASS","FAIL")</f>
        <v/>
      </c>
      <c r="F10" s="12">
        <f>IF(AND(Capacity_Usage!N10&gt;=Setup!$B$7,Capacity_Usage!Q10-Setup!$B$7&gt;=Policy!$B$16),"PASS","FAIL")</f>
        <v/>
      </c>
      <c r="G10" s="12">
        <f>IF(Capacity_Usage!S10&gt;=Policy!$B$13,"PASS","FAIL")</f>
        <v/>
      </c>
      <c r="H10" s="12">
        <f>IF(OR(B10="US",B10="EU"),"N/A (4-region)",IF(Capacity_Usage!S10+Capacity_Usage!N10&gt;=Policy!$B$13,"PASS","FAIL"))</f>
        <v/>
      </c>
      <c r="I10" s="12">
        <f>IF(OR(B10="US",B10="EU"),"N/A (4-region)",IF(Capacity_Usage!P10+Setup!$B$7&lt;=Capacity_Usage!O10-Policy!$B$13,"PASS","FAIL"))</f>
        <v/>
      </c>
      <c r="J10" s="12">
        <f>IF(E10="PASS","YES","NO")</f>
        <v/>
      </c>
      <c r="K10" s="12">
        <f>IF(AND(F10="PASS",OR(I10="PASS",I10="N/A (4-region)")),"YES","NO")</f>
        <v/>
      </c>
      <c r="L10" s="12">
        <f>IF(AND(G10="PASS",OR(H10="PASS",H10="N/A (4-region)")),"YES","NO")</f>
        <v/>
      </c>
    </row>
    <row r="11">
      <c r="A11" s="12">
        <f>Capacity_Usage!B11</f>
        <v/>
      </c>
      <c r="B11" s="12">
        <f>Capacity_Usage!C11</f>
        <v/>
      </c>
      <c r="C11" s="12">
        <f>Capacity_Usage!V11</f>
        <v/>
      </c>
      <c r="D11" s="12">
        <f>Setup!$B$7</f>
        <v/>
      </c>
      <c r="E11" s="12">
        <f>IF(AND(Capacity_Usage!K11&gt;=Setup!$B$7,Capacity_Usage!K11-Setup!$B$7&gt;=Policy!$B$15),"PASS","FAIL")</f>
        <v/>
      </c>
      <c r="F11" s="12">
        <f>IF(AND(Capacity_Usage!N11&gt;=Setup!$B$7,Capacity_Usage!Q11-Setup!$B$7&gt;=Policy!$B$16),"PASS","FAIL")</f>
        <v/>
      </c>
      <c r="G11" s="12">
        <f>IF(Capacity_Usage!S11&gt;=Policy!$B$13,"PASS","FAIL")</f>
        <v/>
      </c>
      <c r="H11" s="12">
        <f>IF(OR(B11="US",B11="EU"),"N/A (4-region)",IF(Capacity_Usage!S11+Capacity_Usage!N11&gt;=Policy!$B$13,"PASS","FAIL"))</f>
        <v/>
      </c>
      <c r="I11" s="12">
        <f>IF(OR(B11="US",B11="EU"),"N/A (4-region)",IF(Capacity_Usage!P11+Setup!$B$7&lt;=Capacity_Usage!O11-Policy!$B$13,"PASS","FAIL"))</f>
        <v/>
      </c>
      <c r="J11" s="12">
        <f>IF(E11="PASS","YES","NO")</f>
        <v/>
      </c>
      <c r="K11" s="12">
        <f>IF(AND(F11="PASS",OR(I11="PASS",I11="N/A (4-region)")),"YES","NO")</f>
        <v/>
      </c>
      <c r="L11" s="12">
        <f>IF(AND(G11="PASS",OR(H11="PASS",H11="N/A (4-region)")),"YES","NO")</f>
        <v/>
      </c>
    </row>
    <row r="12">
      <c r="A12" s="12">
        <f>Capacity_Usage!B12</f>
        <v/>
      </c>
      <c r="B12" s="12">
        <f>Capacity_Usage!C12</f>
        <v/>
      </c>
      <c r="C12" s="12">
        <f>Capacity_Usage!V12</f>
        <v/>
      </c>
      <c r="D12" s="12">
        <f>Setup!$B$7</f>
        <v/>
      </c>
      <c r="E12" s="12">
        <f>IF(AND(Capacity_Usage!K12&gt;=Setup!$B$7,Capacity_Usage!K12-Setup!$B$7&gt;=Policy!$B$15),"PASS","FAIL")</f>
        <v/>
      </c>
      <c r="F12" s="12">
        <f>IF(AND(Capacity_Usage!N12&gt;=Setup!$B$7,Capacity_Usage!Q12-Setup!$B$7&gt;=Policy!$B$16),"PASS","FAIL")</f>
        <v/>
      </c>
      <c r="G12" s="12">
        <f>IF(Capacity_Usage!S12&gt;=Policy!$B$13,"PASS","FAIL")</f>
        <v/>
      </c>
      <c r="H12" s="12">
        <f>IF(OR(B12="US",B12="EU"),"N/A (4-region)",IF(Capacity_Usage!S12+Capacity_Usage!N12&gt;=Policy!$B$13,"PASS","FAIL"))</f>
        <v/>
      </c>
      <c r="I12" s="12">
        <f>IF(OR(B12="US",B12="EU"),"N/A (4-region)",IF(Capacity_Usage!P12+Setup!$B$7&lt;=Capacity_Usage!O12-Policy!$B$13,"PASS","FAIL"))</f>
        <v/>
      </c>
      <c r="J12" s="12">
        <f>IF(E12="PASS","YES","NO")</f>
        <v/>
      </c>
      <c r="K12" s="12">
        <f>IF(AND(F12="PASS",OR(I12="PASS",I12="N/A (4-region)")),"YES","NO")</f>
        <v/>
      </c>
      <c r="L12" s="12">
        <f>IF(AND(G12="PASS",OR(H12="PASS",H12="N/A (4-region)")),"YES","NO")</f>
        <v/>
      </c>
    </row>
    <row r="13">
      <c r="A13" s="12">
        <f>Capacity_Usage!B13</f>
        <v/>
      </c>
      <c r="B13" s="12">
        <f>Capacity_Usage!C13</f>
        <v/>
      </c>
      <c r="C13" s="12">
        <f>Capacity_Usage!V13</f>
        <v/>
      </c>
      <c r="D13" s="12">
        <f>Setup!$B$7</f>
        <v/>
      </c>
      <c r="E13" s="12">
        <f>IF(AND(Capacity_Usage!K13&gt;=Setup!$B$7,Capacity_Usage!K13-Setup!$B$7&gt;=Policy!$B$15),"PASS","FAIL")</f>
        <v/>
      </c>
      <c r="F13" s="12">
        <f>IF(AND(Capacity_Usage!N13&gt;=Setup!$B$7,Capacity_Usage!Q13-Setup!$B$7&gt;=Policy!$B$16),"PASS","FAIL")</f>
        <v/>
      </c>
      <c r="G13" s="12">
        <f>IF(Capacity_Usage!S13&gt;=Policy!$B$13,"PASS","FAIL")</f>
        <v/>
      </c>
      <c r="H13" s="12">
        <f>IF(OR(B13="US",B13="EU"),"N/A (4-region)",IF(Capacity_Usage!S13+Capacity_Usage!N13&gt;=Policy!$B$13,"PASS","FAIL"))</f>
        <v/>
      </c>
      <c r="I13" s="12">
        <f>IF(OR(B13="US",B13="EU"),"N/A (4-region)",IF(Capacity_Usage!P13+Setup!$B$7&lt;=Capacity_Usage!O13-Policy!$B$13,"PASS","FAIL"))</f>
        <v/>
      </c>
      <c r="J13" s="12">
        <f>IF(E13="PASS","YES","NO")</f>
        <v/>
      </c>
      <c r="K13" s="12">
        <f>IF(AND(F13="PASS",OR(I13="PASS",I13="N/A (4-region)")),"YES","NO")</f>
        <v/>
      </c>
      <c r="L13" s="12">
        <f>IF(AND(G13="PASS",OR(H13="PASS",H13="N/A (4-region)")),"YES","NO")</f>
        <v/>
      </c>
    </row>
    <row r="14">
      <c r="A14" s="12">
        <f>Capacity_Usage!B14</f>
        <v/>
      </c>
      <c r="B14" s="12">
        <f>Capacity_Usage!C14</f>
        <v/>
      </c>
      <c r="C14" s="12">
        <f>Capacity_Usage!V14</f>
        <v/>
      </c>
      <c r="D14" s="12">
        <f>Setup!$B$7</f>
        <v/>
      </c>
      <c r="E14" s="12">
        <f>IF(AND(Capacity_Usage!K14&gt;=Setup!$B$7,Capacity_Usage!K14-Setup!$B$7&gt;=Policy!$B$15),"PASS","FAIL")</f>
        <v/>
      </c>
      <c r="F14" s="12">
        <f>IF(AND(Capacity_Usage!N14&gt;=Setup!$B$7,Capacity_Usage!Q14-Setup!$B$7&gt;=Policy!$B$16),"PASS","FAIL")</f>
        <v/>
      </c>
      <c r="G14" s="12">
        <f>IF(Capacity_Usage!S14&gt;=Policy!$B$13,"PASS","FAIL")</f>
        <v/>
      </c>
      <c r="H14" s="12">
        <f>IF(OR(B14="US",B14="EU"),"N/A (4-region)",IF(Capacity_Usage!S14+Capacity_Usage!N14&gt;=Policy!$B$13,"PASS","FAIL"))</f>
        <v/>
      </c>
      <c r="I14" s="12">
        <f>IF(OR(B14="US",B14="EU"),"N/A (4-region)",IF(Capacity_Usage!P14+Setup!$B$7&lt;=Capacity_Usage!O14-Policy!$B$13,"PASS","FAIL"))</f>
        <v/>
      </c>
      <c r="J14" s="12">
        <f>IF(E14="PASS","YES","NO")</f>
        <v/>
      </c>
      <c r="K14" s="12">
        <f>IF(AND(F14="PASS",OR(I14="PASS",I14="N/A (4-region)")),"YES","NO")</f>
        <v/>
      </c>
      <c r="L14" s="12">
        <f>IF(AND(G14="PASS",OR(H14="PASS",H14="N/A (4-region)")),"YES","NO")</f>
        <v/>
      </c>
    </row>
    <row r="15">
      <c r="A15" s="12">
        <f>Capacity_Usage!B15</f>
        <v/>
      </c>
      <c r="B15" s="12">
        <f>Capacity_Usage!C15</f>
        <v/>
      </c>
      <c r="C15" s="12">
        <f>Capacity_Usage!V15</f>
        <v/>
      </c>
      <c r="D15" s="12">
        <f>Setup!$B$7</f>
        <v/>
      </c>
      <c r="E15" s="12">
        <f>IF(AND(Capacity_Usage!K15&gt;=Setup!$B$7,Capacity_Usage!K15-Setup!$B$7&gt;=Policy!$B$15),"PASS","FAIL")</f>
        <v/>
      </c>
      <c r="F15" s="12">
        <f>IF(AND(Capacity_Usage!N15&gt;=Setup!$B$7,Capacity_Usage!Q15-Setup!$B$7&gt;=Policy!$B$16),"PASS","FAIL")</f>
        <v/>
      </c>
      <c r="G15" s="12">
        <f>IF(Capacity_Usage!S15&gt;=Policy!$B$13,"PASS","FAIL")</f>
        <v/>
      </c>
      <c r="H15" s="12">
        <f>IF(OR(B15="US",B15="EU"),"N/A (4-region)",IF(Capacity_Usage!S15+Capacity_Usage!N15&gt;=Policy!$B$13,"PASS","FAIL"))</f>
        <v/>
      </c>
      <c r="I15" s="12">
        <f>IF(OR(B15="US",B15="EU"),"N/A (4-region)",IF(Capacity_Usage!P15+Setup!$B$7&lt;=Capacity_Usage!O15-Policy!$B$13,"PASS","FAIL"))</f>
        <v/>
      </c>
      <c r="J15" s="12">
        <f>IF(E15="PASS","YES","NO")</f>
        <v/>
      </c>
      <c r="K15" s="12">
        <f>IF(AND(F15="PASS",OR(I15="PASS",I15="N/A (4-region)")),"YES","NO")</f>
        <v/>
      </c>
      <c r="L15" s="12">
        <f>IF(AND(G15="PASS",OR(H15="PASS",H15="N/A (4-region)")),"YES","NO")</f>
        <v/>
      </c>
    </row>
    <row r="16">
      <c r="A16" s="12">
        <f>Capacity_Usage!B16</f>
        <v/>
      </c>
      <c r="B16" s="12">
        <f>Capacity_Usage!C16</f>
        <v/>
      </c>
      <c r="C16" s="12">
        <f>Capacity_Usage!V16</f>
        <v/>
      </c>
      <c r="D16" s="12">
        <f>Setup!$B$7</f>
        <v/>
      </c>
      <c r="E16" s="12">
        <f>IF(AND(Capacity_Usage!K16&gt;=Setup!$B$7,Capacity_Usage!K16-Setup!$B$7&gt;=Policy!$B$15),"PASS","FAIL")</f>
        <v/>
      </c>
      <c r="F16" s="12">
        <f>IF(AND(Capacity_Usage!N16&gt;=Setup!$B$7,Capacity_Usage!Q16-Setup!$B$7&gt;=Policy!$B$16),"PASS","FAIL")</f>
        <v/>
      </c>
      <c r="G16" s="12">
        <f>IF(Capacity_Usage!S16&gt;=Policy!$B$13,"PASS","FAIL")</f>
        <v/>
      </c>
      <c r="H16" s="12">
        <f>IF(OR(B16="US",B16="EU"),"N/A (4-region)",IF(Capacity_Usage!S16+Capacity_Usage!N16&gt;=Policy!$B$13,"PASS","FAIL"))</f>
        <v/>
      </c>
      <c r="I16" s="12">
        <f>IF(OR(B16="US",B16="EU"),"N/A (4-region)",IF(Capacity_Usage!P16+Setup!$B$7&lt;=Capacity_Usage!O16-Policy!$B$13,"PASS","FAIL"))</f>
        <v/>
      </c>
      <c r="J16" s="12">
        <f>IF(E16="PASS","YES","NO")</f>
        <v/>
      </c>
      <c r="K16" s="12">
        <f>IF(AND(F16="PASS",OR(I16="PASS",I16="N/A (4-region)")),"YES","NO")</f>
        <v/>
      </c>
      <c r="L16" s="12">
        <f>IF(AND(G16="PASS",OR(H16="PASS",H16="N/A (4-region)")),"YES","NO")</f>
        <v/>
      </c>
    </row>
    <row r="17">
      <c r="A17" s="12">
        <f>Capacity_Usage!B17</f>
        <v/>
      </c>
      <c r="B17" s="12">
        <f>Capacity_Usage!C17</f>
        <v/>
      </c>
      <c r="C17" s="12">
        <f>Capacity_Usage!V17</f>
        <v/>
      </c>
      <c r="D17" s="12">
        <f>Setup!$B$7</f>
        <v/>
      </c>
      <c r="E17" s="12">
        <f>IF(AND(Capacity_Usage!K17&gt;=Setup!$B$7,Capacity_Usage!K17-Setup!$B$7&gt;=Policy!$B$15),"PASS","FAIL")</f>
        <v/>
      </c>
      <c r="F17" s="12">
        <f>IF(AND(Capacity_Usage!N17&gt;=Setup!$B$7,Capacity_Usage!Q17-Setup!$B$7&gt;=Policy!$B$16),"PASS","FAIL")</f>
        <v/>
      </c>
      <c r="G17" s="12">
        <f>IF(Capacity_Usage!S17&gt;=Policy!$B$13,"PASS","FAIL")</f>
        <v/>
      </c>
      <c r="H17" s="12">
        <f>IF(OR(B17="US",B17="EU"),"N/A (4-region)",IF(Capacity_Usage!S17+Capacity_Usage!N17&gt;=Policy!$B$13,"PASS","FAIL"))</f>
        <v/>
      </c>
      <c r="I17" s="12">
        <f>IF(OR(B17="US",B17="EU"),"N/A (4-region)",IF(Capacity_Usage!P17+Setup!$B$7&lt;=Capacity_Usage!O17-Policy!$B$13,"PASS","FAIL"))</f>
        <v/>
      </c>
      <c r="J17" s="12">
        <f>IF(E17="PASS","YES","NO")</f>
        <v/>
      </c>
      <c r="K17" s="12">
        <f>IF(AND(F17="PASS",OR(I17="PASS",I17="N/A (4-region)")),"YES","NO")</f>
        <v/>
      </c>
      <c r="L17" s="12">
        <f>IF(AND(G17="PASS",OR(H17="PASS",H17="N/A (4-region)")),"YES","NO")</f>
        <v/>
      </c>
    </row>
  </sheetData>
  <conditionalFormatting sqref="E4:I17">
    <cfRule type="cellIs" priority="1" operator="equal" dxfId="0">
      <formula>"PASS"</formula>
    </cfRule>
    <cfRule type="cellIs" priority="2" operator="equal" dxfId="1">
      <formula>"FAIL"</formula>
    </cfRule>
  </conditionalFormatting>
  <conditionalFormatting sqref="J4:L17">
    <cfRule type="cellIs" priority="3" operator="equal" dxfId="0">
      <formula>"YES"</formula>
    </cfRule>
    <cfRule type="cellIs" priority="4" operator="equal" dxfId="1">
      <formula>"NO"</formula>
    </cfRule>
  </conditionalFormatting>
  <conditionalFormatting sqref="C4:C17">
    <cfRule type="cellIs" priority="5" operator="equal" dxfId="2">
      <formula>"Restricted"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7"/>
  <sheetViews>
    <sheetView showGridLines="0" workbookViewId="0">
      <selection activeCell="A1" sqref="A1"/>
    </sheetView>
  </sheetViews>
  <sheetFormatPr baseColWidth="8" defaultRowHeight="15"/>
  <cols>
    <col width="20"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6" customWidth="1" min="19" max="19"/>
    <col width="16" customWidth="1" min="20" max="20"/>
    <col width="18" customWidth="1" min="21" max="21"/>
  </cols>
  <sheetData>
    <row r="1">
      <c r="A1" s="9" t="inlineStr">
        <is>
          <t>PS_Prod — Production Placement Score</t>
        </is>
      </c>
      <c r="T1" s="31" t="inlineStr">
        <is>
          <t>PROD WINNER</t>
        </is>
      </c>
    </row>
    <row r="2">
      <c r="T2" s="15" t="inlineStr">
        <is>
          <t>Selection mode</t>
        </is>
      </c>
      <c r="U2">
        <f>IF(Setup!$B$8="","Engine argmax","Customer-supplied")</f>
        <v/>
      </c>
    </row>
    <row r="3">
      <c r="A3" s="11" t="inlineStr">
        <is>
          <t>Region</t>
        </is>
      </c>
      <c r="B3" s="11" t="inlineStr">
        <is>
          <t>Geography</t>
        </is>
      </c>
      <c r="C3" s="11" t="inlineStr">
        <is>
          <t>InScope</t>
        </is>
      </c>
      <c r="D3" s="11" t="inlineStr">
        <is>
          <t>Eligible</t>
        </is>
      </c>
      <c r="E3" s="11" t="inlineStr">
        <is>
          <t>AutoSel</t>
        </is>
      </c>
      <c r="F3" s="11" t="inlineStr">
        <is>
          <t>total_cust</t>
        </is>
      </c>
      <c r="G3" s="11" t="inlineStr">
        <is>
          <t>α_raw</t>
        </is>
      </c>
      <c r="H3" s="11" t="inlineStr">
        <is>
          <t>α_c</t>
        </is>
      </c>
      <c r="I3" s="11" t="inlineStr">
        <is>
          <t>β_raw</t>
        </is>
      </c>
      <c r="J3" s="11" t="inlineStr">
        <is>
          <t>β_c</t>
        </is>
      </c>
      <c r="K3" s="11" t="inlineStr">
        <is>
          <t>γ_raw</t>
        </is>
      </c>
      <c r="L3" s="11" t="inlineStr">
        <is>
          <t>γ_c</t>
        </is>
      </c>
      <c r="M3" s="11" t="inlineStr">
        <is>
          <t>δ_raw</t>
        </is>
      </c>
      <c r="N3" s="11" t="inlineStr">
        <is>
          <t>δ_c</t>
        </is>
      </c>
      <c r="O3" s="11" t="inlineStr">
        <is>
          <t>ε_raw</t>
        </is>
      </c>
      <c r="P3" s="11" t="inlineStr">
        <is>
          <t>ε_c</t>
        </is>
      </c>
      <c r="Q3" s="11" t="inlineStr">
        <is>
          <t>PS</t>
        </is>
      </c>
      <c r="R3" s="11" t="inlineStr">
        <is>
          <t>Candidate</t>
        </is>
      </c>
      <c r="S3" s="11" t="inlineStr">
        <is>
          <t>Rank</t>
        </is>
      </c>
      <c r="T3" s="15" t="inlineStr">
        <is>
          <t>Region</t>
        </is>
      </c>
      <c r="U3">
        <f>IF(Setup!$B$8&lt;&gt;"",Setup!$B$8,IF(MAX(R4:R17)&lt;0,"NONE ELIGIBLE",INDEX(A4:A17,MATCH(MAX(R4:R17),R4:R17,0))))</f>
        <v/>
      </c>
    </row>
    <row r="4">
      <c r="A4" s="12">
        <f>Capacity_Usage!B4</f>
        <v/>
      </c>
      <c r="B4" s="12">
        <f>Capacity_Usage!C4</f>
        <v/>
      </c>
      <c r="C4" s="12">
        <f>IF(Capacity_Usage!C4=Setup!$B$3,1,0)</f>
        <v/>
      </c>
      <c r="D4" s="12">
        <f>IF(HC_Gate!J4="YES",1,0)</f>
        <v/>
      </c>
      <c r="E4" s="12">
        <f>IF(OR(Capacity_Usage!V4="Standard",Capacity_Usage!B4=Setup!$B$8),1,0)</f>
        <v/>
      </c>
      <c r="F4" s="12">
        <f>SUMIFS(Capacity_Usage!$U$4:$U$17,Capacity_Usage!$C$4:$C$17,Capacity_Usage!C4)</f>
        <v/>
      </c>
      <c r="G4" s="32">
        <f>IFERROR(Capacity_Usage!N4/Capacity_Usage!F4,0)</f>
        <v/>
      </c>
      <c r="H4" s="32">
        <f>MIN(MAX(G4,0),1)</f>
        <v/>
      </c>
      <c r="I4" s="32">
        <f>IFERROR(Capacity_Usage!K4/Capacity_Usage!I4,0)</f>
        <v/>
      </c>
      <c r="J4" s="32">
        <f>MIN(MAX(I4,0),1)</f>
        <v/>
      </c>
      <c r="K4" s="32">
        <f>IF(F4=0,Policy!$B$11,1-Capacity_Usage!U4/F4)</f>
        <v/>
      </c>
      <c r="L4" s="32">
        <f>MIN(MAX(K4,0),1)</f>
        <v/>
      </c>
      <c r="M4" s="32">
        <f>IFERROR(Capacity_Usage!T4,0)</f>
        <v/>
      </c>
      <c r="N4" s="32">
        <f>MIN(MAX(M4,0),1)</f>
        <v/>
      </c>
      <c r="O4" s="32">
        <f>Capacity_Usage!E4/3</f>
        <v/>
      </c>
      <c r="P4" s="32">
        <f>MIN(MAX(O4,0),1)</f>
        <v/>
      </c>
      <c r="Q4" s="32">
        <f>Policy!$B$2*H4+Policy!$B$3*J4+Policy!$B$4*L4+Policy!$B$5*N4+Policy!$B$6*P4</f>
        <v/>
      </c>
      <c r="R4" s="12">
        <f>IF(AND(C4=1,D4=1,E4=1),Q4,-1)</f>
        <v/>
      </c>
      <c r="S4" s="12">
        <f>IF(R4&lt;0,"",COUNTIF($R$4:$R$17,"&gt;"&amp;R4)+1)</f>
        <v/>
      </c>
      <c r="T4" s="15" t="inlineStr">
        <is>
          <t>Score</t>
        </is>
      </c>
      <c r="U4" s="33">
        <f>IF(Setup!$B$8&lt;&gt;"",INDEX(Q4:Q17,MATCH(Setup!$B$8,A4:A17,0)),IF(MAX(R4:R17)&lt;0,"",MAX(R4:R17)))</f>
        <v/>
      </c>
    </row>
    <row r="5">
      <c r="A5" s="12">
        <f>Capacity_Usage!B5</f>
        <v/>
      </c>
      <c r="B5" s="12">
        <f>Capacity_Usage!C5</f>
        <v/>
      </c>
      <c r="C5" s="12">
        <f>IF(Capacity_Usage!C5=Setup!$B$3,1,0)</f>
        <v/>
      </c>
      <c r="D5" s="12">
        <f>IF(HC_Gate!J5="YES",1,0)</f>
        <v/>
      </c>
      <c r="E5" s="12">
        <f>IF(OR(Capacity_Usage!V5="Standard",Capacity_Usage!B5=Setup!$B$8),1,0)</f>
        <v/>
      </c>
      <c r="F5" s="12">
        <f>SUMIFS(Capacity_Usage!$U$4:$U$17,Capacity_Usage!$C$4:$C$17,Capacity_Usage!C5)</f>
        <v/>
      </c>
      <c r="G5" s="32">
        <f>IFERROR(Capacity_Usage!N5/Capacity_Usage!F5,0)</f>
        <v/>
      </c>
      <c r="H5" s="32">
        <f>MIN(MAX(G5,0),1)</f>
        <v/>
      </c>
      <c r="I5" s="32">
        <f>IFERROR(Capacity_Usage!K5/Capacity_Usage!I5,0)</f>
        <v/>
      </c>
      <c r="J5" s="32">
        <f>MIN(MAX(I5,0),1)</f>
        <v/>
      </c>
      <c r="K5" s="32">
        <f>IF(F5=0,Policy!$B$11,1-Capacity_Usage!U5/F5)</f>
        <v/>
      </c>
      <c r="L5" s="32">
        <f>MIN(MAX(K5,0),1)</f>
        <v/>
      </c>
      <c r="M5" s="32">
        <f>IFERROR(Capacity_Usage!T5,0)</f>
        <v/>
      </c>
      <c r="N5" s="32">
        <f>MIN(MAX(M5,0),1)</f>
        <v/>
      </c>
      <c r="O5" s="32">
        <f>Capacity_Usage!E5/3</f>
        <v/>
      </c>
      <c r="P5" s="32">
        <f>MIN(MAX(O5,0),1)</f>
        <v/>
      </c>
      <c r="Q5" s="32">
        <f>Policy!$B$2*H5+Policy!$B$3*J5+Policy!$B$4*L5+Policy!$B$5*N5+Policy!$B$6*P5</f>
        <v/>
      </c>
      <c r="R5" s="12">
        <f>IF(AND(C5=1,D5=1,E5=1),Q5,-1)</f>
        <v/>
      </c>
      <c r="S5" s="12">
        <f>IF(R5&lt;0,"",COUNTIF($R$4:$R$17,"&gt;"&amp;R5)+1)</f>
        <v/>
      </c>
    </row>
    <row r="6">
      <c r="A6" s="12">
        <f>Capacity_Usage!B6</f>
        <v/>
      </c>
      <c r="B6" s="12">
        <f>Capacity_Usage!C6</f>
        <v/>
      </c>
      <c r="C6" s="12">
        <f>IF(Capacity_Usage!C6=Setup!$B$3,1,0)</f>
        <v/>
      </c>
      <c r="D6" s="12">
        <f>IF(HC_Gate!J6="YES",1,0)</f>
        <v/>
      </c>
      <c r="E6" s="12">
        <f>IF(OR(Capacity_Usage!V6="Standard",Capacity_Usage!B6=Setup!$B$8),1,0)</f>
        <v/>
      </c>
      <c r="F6" s="12">
        <f>SUMIFS(Capacity_Usage!$U$4:$U$17,Capacity_Usage!$C$4:$C$17,Capacity_Usage!C6)</f>
        <v/>
      </c>
      <c r="G6" s="32">
        <f>IFERROR(Capacity_Usage!N6/Capacity_Usage!F6,0)</f>
        <v/>
      </c>
      <c r="H6" s="32">
        <f>MIN(MAX(G6,0),1)</f>
        <v/>
      </c>
      <c r="I6" s="32">
        <f>IFERROR(Capacity_Usage!K6/Capacity_Usage!I6,0)</f>
        <v/>
      </c>
      <c r="J6" s="32">
        <f>MIN(MAX(I6,0),1)</f>
        <v/>
      </c>
      <c r="K6" s="32">
        <f>IF(F6=0,Policy!$B$11,1-Capacity_Usage!U6/F6)</f>
        <v/>
      </c>
      <c r="L6" s="32">
        <f>MIN(MAX(K6,0),1)</f>
        <v/>
      </c>
      <c r="M6" s="32">
        <f>IFERROR(Capacity_Usage!T6,0)</f>
        <v/>
      </c>
      <c r="N6" s="32">
        <f>MIN(MAX(M6,0),1)</f>
        <v/>
      </c>
      <c r="O6" s="32">
        <f>Capacity_Usage!E6/3</f>
        <v/>
      </c>
      <c r="P6" s="32">
        <f>MIN(MAX(O6,0),1)</f>
        <v/>
      </c>
      <c r="Q6" s="32">
        <f>Policy!$B$2*H6+Policy!$B$3*J6+Policy!$B$4*L6+Policy!$B$5*N6+Policy!$B$6*P6</f>
        <v/>
      </c>
      <c r="R6" s="12">
        <f>IF(AND(C6=1,D6=1,E6=1),Q6,-1)</f>
        <v/>
      </c>
      <c r="S6" s="12">
        <f>IF(R6&lt;0,"",COUNTIF($R$4:$R$17,"&gt;"&amp;R6)+1)</f>
        <v/>
      </c>
    </row>
    <row r="7">
      <c r="A7" s="12">
        <f>Capacity_Usage!B7</f>
        <v/>
      </c>
      <c r="B7" s="12">
        <f>Capacity_Usage!C7</f>
        <v/>
      </c>
      <c r="C7" s="12">
        <f>IF(Capacity_Usage!C7=Setup!$B$3,1,0)</f>
        <v/>
      </c>
      <c r="D7" s="12">
        <f>IF(HC_Gate!J7="YES",1,0)</f>
        <v/>
      </c>
      <c r="E7" s="12">
        <f>IF(OR(Capacity_Usage!V7="Standard",Capacity_Usage!B7=Setup!$B$8),1,0)</f>
        <v/>
      </c>
      <c r="F7" s="12">
        <f>SUMIFS(Capacity_Usage!$U$4:$U$17,Capacity_Usage!$C$4:$C$17,Capacity_Usage!C7)</f>
        <v/>
      </c>
      <c r="G7" s="32">
        <f>IFERROR(Capacity_Usage!N7/Capacity_Usage!F7,0)</f>
        <v/>
      </c>
      <c r="H7" s="32">
        <f>MIN(MAX(G7,0),1)</f>
        <v/>
      </c>
      <c r="I7" s="32">
        <f>IFERROR(Capacity_Usage!K7/Capacity_Usage!I7,0)</f>
        <v/>
      </c>
      <c r="J7" s="32">
        <f>MIN(MAX(I7,0),1)</f>
        <v/>
      </c>
      <c r="K7" s="32">
        <f>IF(F7=0,Policy!$B$11,1-Capacity_Usage!U7/F7)</f>
        <v/>
      </c>
      <c r="L7" s="32">
        <f>MIN(MAX(K7,0),1)</f>
        <v/>
      </c>
      <c r="M7" s="32">
        <f>IFERROR(Capacity_Usage!T7,0)</f>
        <v/>
      </c>
      <c r="N7" s="32">
        <f>MIN(MAX(M7,0),1)</f>
        <v/>
      </c>
      <c r="O7" s="32">
        <f>Capacity_Usage!E7/3</f>
        <v/>
      </c>
      <c r="P7" s="32">
        <f>MIN(MAX(O7,0),1)</f>
        <v/>
      </c>
      <c r="Q7" s="32">
        <f>Policy!$B$2*H7+Policy!$B$3*J7+Policy!$B$4*L7+Policy!$B$5*N7+Policy!$B$6*P7</f>
        <v/>
      </c>
      <c r="R7" s="12">
        <f>IF(AND(C7=1,D7=1,E7=1),Q7,-1)</f>
        <v/>
      </c>
      <c r="S7" s="12">
        <f>IF(R7&lt;0,"",COUNTIF($R$4:$R$17,"&gt;"&amp;R7)+1)</f>
        <v/>
      </c>
    </row>
    <row r="8">
      <c r="A8" s="12">
        <f>Capacity_Usage!B8</f>
        <v/>
      </c>
      <c r="B8" s="12">
        <f>Capacity_Usage!C8</f>
        <v/>
      </c>
      <c r="C8" s="12">
        <f>IF(Capacity_Usage!C8=Setup!$B$3,1,0)</f>
        <v/>
      </c>
      <c r="D8" s="12">
        <f>IF(HC_Gate!J8="YES",1,0)</f>
        <v/>
      </c>
      <c r="E8" s="12">
        <f>IF(OR(Capacity_Usage!V8="Standard",Capacity_Usage!B8=Setup!$B$8),1,0)</f>
        <v/>
      </c>
      <c r="F8" s="12">
        <f>SUMIFS(Capacity_Usage!$U$4:$U$17,Capacity_Usage!$C$4:$C$17,Capacity_Usage!C8)</f>
        <v/>
      </c>
      <c r="G8" s="32">
        <f>IFERROR(Capacity_Usage!N8/Capacity_Usage!F8,0)</f>
        <v/>
      </c>
      <c r="H8" s="32">
        <f>MIN(MAX(G8,0),1)</f>
        <v/>
      </c>
      <c r="I8" s="32">
        <f>IFERROR(Capacity_Usage!K8/Capacity_Usage!I8,0)</f>
        <v/>
      </c>
      <c r="J8" s="32">
        <f>MIN(MAX(I8,0),1)</f>
        <v/>
      </c>
      <c r="K8" s="32">
        <f>IF(F8=0,Policy!$B$11,1-Capacity_Usage!U8/F8)</f>
        <v/>
      </c>
      <c r="L8" s="32">
        <f>MIN(MAX(K8,0),1)</f>
        <v/>
      </c>
      <c r="M8" s="32">
        <f>IFERROR(Capacity_Usage!T8,0)</f>
        <v/>
      </c>
      <c r="N8" s="32">
        <f>MIN(MAX(M8,0),1)</f>
        <v/>
      </c>
      <c r="O8" s="32">
        <f>Capacity_Usage!E8/3</f>
        <v/>
      </c>
      <c r="P8" s="32">
        <f>MIN(MAX(O8,0),1)</f>
        <v/>
      </c>
      <c r="Q8" s="32">
        <f>Policy!$B$2*H8+Policy!$B$3*J8+Policy!$B$4*L8+Policy!$B$5*N8+Policy!$B$6*P8</f>
        <v/>
      </c>
      <c r="R8" s="12">
        <f>IF(AND(C8=1,D8=1,E8=1),Q8,-1)</f>
        <v/>
      </c>
      <c r="S8" s="12">
        <f>IF(R8&lt;0,"",COUNTIF($R$4:$R$17,"&gt;"&amp;R8)+1)</f>
        <v/>
      </c>
    </row>
    <row r="9">
      <c r="A9" s="12">
        <f>Capacity_Usage!B9</f>
        <v/>
      </c>
      <c r="B9" s="12">
        <f>Capacity_Usage!C9</f>
        <v/>
      </c>
      <c r="C9" s="12">
        <f>IF(Capacity_Usage!C9=Setup!$B$3,1,0)</f>
        <v/>
      </c>
      <c r="D9" s="12">
        <f>IF(HC_Gate!J9="YES",1,0)</f>
        <v/>
      </c>
      <c r="E9" s="12">
        <f>IF(OR(Capacity_Usage!V9="Standard",Capacity_Usage!B9=Setup!$B$8),1,0)</f>
        <v/>
      </c>
      <c r="F9" s="12">
        <f>SUMIFS(Capacity_Usage!$U$4:$U$17,Capacity_Usage!$C$4:$C$17,Capacity_Usage!C9)</f>
        <v/>
      </c>
      <c r="G9" s="32">
        <f>IFERROR(Capacity_Usage!N9/Capacity_Usage!F9,0)</f>
        <v/>
      </c>
      <c r="H9" s="32">
        <f>MIN(MAX(G9,0),1)</f>
        <v/>
      </c>
      <c r="I9" s="32">
        <f>IFERROR(Capacity_Usage!K9/Capacity_Usage!I9,0)</f>
        <v/>
      </c>
      <c r="J9" s="32">
        <f>MIN(MAX(I9,0),1)</f>
        <v/>
      </c>
      <c r="K9" s="32">
        <f>IF(F9=0,Policy!$B$11,1-Capacity_Usage!U9/F9)</f>
        <v/>
      </c>
      <c r="L9" s="32">
        <f>MIN(MAX(K9,0),1)</f>
        <v/>
      </c>
      <c r="M9" s="32">
        <f>IFERROR(Capacity_Usage!T9,0)</f>
        <v/>
      </c>
      <c r="N9" s="32">
        <f>MIN(MAX(M9,0),1)</f>
        <v/>
      </c>
      <c r="O9" s="32">
        <f>Capacity_Usage!E9/3</f>
        <v/>
      </c>
      <c r="P9" s="32">
        <f>MIN(MAX(O9,0),1)</f>
        <v/>
      </c>
      <c r="Q9" s="32">
        <f>Policy!$B$2*H9+Policy!$B$3*J9+Policy!$B$4*L9+Policy!$B$5*N9+Policy!$B$6*P9</f>
        <v/>
      </c>
      <c r="R9" s="12">
        <f>IF(AND(C9=1,D9=1,E9=1),Q9,-1)</f>
        <v/>
      </c>
      <c r="S9" s="12">
        <f>IF(R9&lt;0,"",COUNTIF($R$4:$R$17,"&gt;"&amp;R9)+1)</f>
        <v/>
      </c>
    </row>
    <row r="10">
      <c r="A10" s="12">
        <f>Capacity_Usage!B10</f>
        <v/>
      </c>
      <c r="B10" s="12">
        <f>Capacity_Usage!C10</f>
        <v/>
      </c>
      <c r="C10" s="12">
        <f>IF(Capacity_Usage!C10=Setup!$B$3,1,0)</f>
        <v/>
      </c>
      <c r="D10" s="12">
        <f>IF(HC_Gate!J10="YES",1,0)</f>
        <v/>
      </c>
      <c r="E10" s="12">
        <f>IF(OR(Capacity_Usage!V10="Standard",Capacity_Usage!B10=Setup!$B$8),1,0)</f>
        <v/>
      </c>
      <c r="F10" s="12">
        <f>SUMIFS(Capacity_Usage!$U$4:$U$17,Capacity_Usage!$C$4:$C$17,Capacity_Usage!C10)</f>
        <v/>
      </c>
      <c r="G10" s="32">
        <f>IFERROR(Capacity_Usage!N10/Capacity_Usage!F10,0)</f>
        <v/>
      </c>
      <c r="H10" s="32">
        <f>MIN(MAX(G10,0),1)</f>
        <v/>
      </c>
      <c r="I10" s="32">
        <f>IFERROR(Capacity_Usage!K10/Capacity_Usage!I10,0)</f>
        <v/>
      </c>
      <c r="J10" s="32">
        <f>MIN(MAX(I10,0),1)</f>
        <v/>
      </c>
      <c r="K10" s="32">
        <f>IF(F10=0,Policy!$B$11,1-Capacity_Usage!U10/F10)</f>
        <v/>
      </c>
      <c r="L10" s="32">
        <f>MIN(MAX(K10,0),1)</f>
        <v/>
      </c>
      <c r="M10" s="32">
        <f>IFERROR(Capacity_Usage!T10,0)</f>
        <v/>
      </c>
      <c r="N10" s="32">
        <f>MIN(MAX(M10,0),1)</f>
        <v/>
      </c>
      <c r="O10" s="32">
        <f>Capacity_Usage!E10/3</f>
        <v/>
      </c>
      <c r="P10" s="32">
        <f>MIN(MAX(O10,0),1)</f>
        <v/>
      </c>
      <c r="Q10" s="32">
        <f>Policy!$B$2*H10+Policy!$B$3*J10+Policy!$B$4*L10+Policy!$B$5*N10+Policy!$B$6*P10</f>
        <v/>
      </c>
      <c r="R10" s="12">
        <f>IF(AND(C10=1,D10=1,E10=1),Q10,-1)</f>
        <v/>
      </c>
      <c r="S10" s="12">
        <f>IF(R10&lt;0,"",COUNTIF($R$4:$R$17,"&gt;"&amp;R10)+1)</f>
        <v/>
      </c>
    </row>
    <row r="11">
      <c r="A11" s="12">
        <f>Capacity_Usage!B11</f>
        <v/>
      </c>
      <c r="B11" s="12">
        <f>Capacity_Usage!C11</f>
        <v/>
      </c>
      <c r="C11" s="12">
        <f>IF(Capacity_Usage!C11=Setup!$B$3,1,0)</f>
        <v/>
      </c>
      <c r="D11" s="12">
        <f>IF(HC_Gate!J11="YES",1,0)</f>
        <v/>
      </c>
      <c r="E11" s="12">
        <f>IF(OR(Capacity_Usage!V11="Standard",Capacity_Usage!B11=Setup!$B$8),1,0)</f>
        <v/>
      </c>
      <c r="F11" s="12">
        <f>SUMIFS(Capacity_Usage!$U$4:$U$17,Capacity_Usage!$C$4:$C$17,Capacity_Usage!C11)</f>
        <v/>
      </c>
      <c r="G11" s="32">
        <f>IFERROR(Capacity_Usage!N11/Capacity_Usage!F11,0)</f>
        <v/>
      </c>
      <c r="H11" s="32">
        <f>MIN(MAX(G11,0),1)</f>
        <v/>
      </c>
      <c r="I11" s="32">
        <f>IFERROR(Capacity_Usage!K11/Capacity_Usage!I11,0)</f>
        <v/>
      </c>
      <c r="J11" s="32">
        <f>MIN(MAX(I11,0),1)</f>
        <v/>
      </c>
      <c r="K11" s="32">
        <f>IF(F11=0,Policy!$B$11,1-Capacity_Usage!U11/F11)</f>
        <v/>
      </c>
      <c r="L11" s="32">
        <f>MIN(MAX(K11,0),1)</f>
        <v/>
      </c>
      <c r="M11" s="32">
        <f>IFERROR(Capacity_Usage!T11,0)</f>
        <v/>
      </c>
      <c r="N11" s="32">
        <f>MIN(MAX(M11,0),1)</f>
        <v/>
      </c>
      <c r="O11" s="32">
        <f>Capacity_Usage!E11/3</f>
        <v/>
      </c>
      <c r="P11" s="32">
        <f>MIN(MAX(O11,0),1)</f>
        <v/>
      </c>
      <c r="Q11" s="32">
        <f>Policy!$B$2*H11+Policy!$B$3*J11+Policy!$B$4*L11+Policy!$B$5*N11+Policy!$B$6*P11</f>
        <v/>
      </c>
      <c r="R11" s="12">
        <f>IF(AND(C11=1,D11=1,E11=1),Q11,-1)</f>
        <v/>
      </c>
      <c r="S11" s="12">
        <f>IF(R11&lt;0,"",COUNTIF($R$4:$R$17,"&gt;"&amp;R11)+1)</f>
        <v/>
      </c>
    </row>
    <row r="12">
      <c r="A12" s="12">
        <f>Capacity_Usage!B12</f>
        <v/>
      </c>
      <c r="B12" s="12">
        <f>Capacity_Usage!C12</f>
        <v/>
      </c>
      <c r="C12" s="12">
        <f>IF(Capacity_Usage!C12=Setup!$B$3,1,0)</f>
        <v/>
      </c>
      <c r="D12" s="12">
        <f>IF(HC_Gate!J12="YES",1,0)</f>
        <v/>
      </c>
      <c r="E12" s="12">
        <f>IF(OR(Capacity_Usage!V12="Standard",Capacity_Usage!B12=Setup!$B$8),1,0)</f>
        <v/>
      </c>
      <c r="F12" s="12">
        <f>SUMIFS(Capacity_Usage!$U$4:$U$17,Capacity_Usage!$C$4:$C$17,Capacity_Usage!C12)</f>
        <v/>
      </c>
      <c r="G12" s="32">
        <f>IFERROR(Capacity_Usage!N12/Capacity_Usage!F12,0)</f>
        <v/>
      </c>
      <c r="H12" s="32">
        <f>MIN(MAX(G12,0),1)</f>
        <v/>
      </c>
      <c r="I12" s="32">
        <f>IFERROR(Capacity_Usage!K12/Capacity_Usage!I12,0)</f>
        <v/>
      </c>
      <c r="J12" s="32">
        <f>MIN(MAX(I12,0),1)</f>
        <v/>
      </c>
      <c r="K12" s="32">
        <f>IF(F12=0,Policy!$B$11,1-Capacity_Usage!U12/F12)</f>
        <v/>
      </c>
      <c r="L12" s="32">
        <f>MIN(MAX(K12,0),1)</f>
        <v/>
      </c>
      <c r="M12" s="32">
        <f>IFERROR(Capacity_Usage!T12,0)</f>
        <v/>
      </c>
      <c r="N12" s="32">
        <f>MIN(MAX(M12,0),1)</f>
        <v/>
      </c>
      <c r="O12" s="32">
        <f>Capacity_Usage!E12/3</f>
        <v/>
      </c>
      <c r="P12" s="32">
        <f>MIN(MAX(O12,0),1)</f>
        <v/>
      </c>
      <c r="Q12" s="32">
        <f>Policy!$B$2*H12+Policy!$B$3*J12+Policy!$B$4*L12+Policy!$B$5*N12+Policy!$B$6*P12</f>
        <v/>
      </c>
      <c r="R12" s="12">
        <f>IF(AND(C12=1,D12=1,E12=1),Q12,-1)</f>
        <v/>
      </c>
      <c r="S12" s="12">
        <f>IF(R12&lt;0,"",COUNTIF($R$4:$R$17,"&gt;"&amp;R12)+1)</f>
        <v/>
      </c>
    </row>
    <row r="13">
      <c r="A13" s="12">
        <f>Capacity_Usage!B13</f>
        <v/>
      </c>
      <c r="B13" s="12">
        <f>Capacity_Usage!C13</f>
        <v/>
      </c>
      <c r="C13" s="12">
        <f>IF(Capacity_Usage!C13=Setup!$B$3,1,0)</f>
        <v/>
      </c>
      <c r="D13" s="12">
        <f>IF(HC_Gate!J13="YES",1,0)</f>
        <v/>
      </c>
      <c r="E13" s="12">
        <f>IF(OR(Capacity_Usage!V13="Standard",Capacity_Usage!B13=Setup!$B$8),1,0)</f>
        <v/>
      </c>
      <c r="F13" s="12">
        <f>SUMIFS(Capacity_Usage!$U$4:$U$17,Capacity_Usage!$C$4:$C$17,Capacity_Usage!C13)</f>
        <v/>
      </c>
      <c r="G13" s="32">
        <f>IFERROR(Capacity_Usage!N13/Capacity_Usage!F13,0)</f>
        <v/>
      </c>
      <c r="H13" s="32">
        <f>MIN(MAX(G13,0),1)</f>
        <v/>
      </c>
      <c r="I13" s="32">
        <f>IFERROR(Capacity_Usage!K13/Capacity_Usage!I13,0)</f>
        <v/>
      </c>
      <c r="J13" s="32">
        <f>MIN(MAX(I13,0),1)</f>
        <v/>
      </c>
      <c r="K13" s="32">
        <f>IF(F13=0,Policy!$B$11,1-Capacity_Usage!U13/F13)</f>
        <v/>
      </c>
      <c r="L13" s="32">
        <f>MIN(MAX(K13,0),1)</f>
        <v/>
      </c>
      <c r="M13" s="32">
        <f>IFERROR(Capacity_Usage!T13,0)</f>
        <v/>
      </c>
      <c r="N13" s="32">
        <f>MIN(MAX(M13,0),1)</f>
        <v/>
      </c>
      <c r="O13" s="32">
        <f>Capacity_Usage!E13/3</f>
        <v/>
      </c>
      <c r="P13" s="32">
        <f>MIN(MAX(O13,0),1)</f>
        <v/>
      </c>
      <c r="Q13" s="32">
        <f>Policy!$B$2*H13+Policy!$B$3*J13+Policy!$B$4*L13+Policy!$B$5*N13+Policy!$B$6*P13</f>
        <v/>
      </c>
      <c r="R13" s="12">
        <f>IF(AND(C13=1,D13=1,E13=1),Q13,-1)</f>
        <v/>
      </c>
      <c r="S13" s="12">
        <f>IF(R13&lt;0,"",COUNTIF($R$4:$R$17,"&gt;"&amp;R13)+1)</f>
        <v/>
      </c>
    </row>
    <row r="14">
      <c r="A14" s="12">
        <f>Capacity_Usage!B14</f>
        <v/>
      </c>
      <c r="B14" s="12">
        <f>Capacity_Usage!C14</f>
        <v/>
      </c>
      <c r="C14" s="12">
        <f>IF(Capacity_Usage!C14=Setup!$B$3,1,0)</f>
        <v/>
      </c>
      <c r="D14" s="12">
        <f>IF(HC_Gate!J14="YES",1,0)</f>
        <v/>
      </c>
      <c r="E14" s="12">
        <f>IF(OR(Capacity_Usage!V14="Standard",Capacity_Usage!B14=Setup!$B$8),1,0)</f>
        <v/>
      </c>
      <c r="F14" s="12">
        <f>SUMIFS(Capacity_Usage!$U$4:$U$17,Capacity_Usage!$C$4:$C$17,Capacity_Usage!C14)</f>
        <v/>
      </c>
      <c r="G14" s="32">
        <f>IFERROR(Capacity_Usage!N14/Capacity_Usage!F14,0)</f>
        <v/>
      </c>
      <c r="H14" s="32">
        <f>MIN(MAX(G14,0),1)</f>
        <v/>
      </c>
      <c r="I14" s="32">
        <f>IFERROR(Capacity_Usage!K14/Capacity_Usage!I14,0)</f>
        <v/>
      </c>
      <c r="J14" s="32">
        <f>MIN(MAX(I14,0),1)</f>
        <v/>
      </c>
      <c r="K14" s="32">
        <f>IF(F14=0,Policy!$B$11,1-Capacity_Usage!U14/F14)</f>
        <v/>
      </c>
      <c r="L14" s="32">
        <f>MIN(MAX(K14,0),1)</f>
        <v/>
      </c>
      <c r="M14" s="32">
        <f>IFERROR(Capacity_Usage!T14,0)</f>
        <v/>
      </c>
      <c r="N14" s="32">
        <f>MIN(MAX(M14,0),1)</f>
        <v/>
      </c>
      <c r="O14" s="32">
        <f>Capacity_Usage!E14/3</f>
        <v/>
      </c>
      <c r="P14" s="32">
        <f>MIN(MAX(O14,0),1)</f>
        <v/>
      </c>
      <c r="Q14" s="32">
        <f>Policy!$B$2*H14+Policy!$B$3*J14+Policy!$B$4*L14+Policy!$B$5*N14+Policy!$B$6*P14</f>
        <v/>
      </c>
      <c r="R14" s="12">
        <f>IF(AND(C14=1,D14=1,E14=1),Q14,-1)</f>
        <v/>
      </c>
      <c r="S14" s="12">
        <f>IF(R14&lt;0,"",COUNTIF($R$4:$R$17,"&gt;"&amp;R14)+1)</f>
        <v/>
      </c>
    </row>
    <row r="15">
      <c r="A15" s="12">
        <f>Capacity_Usage!B15</f>
        <v/>
      </c>
      <c r="B15" s="12">
        <f>Capacity_Usage!C15</f>
        <v/>
      </c>
      <c r="C15" s="12">
        <f>IF(Capacity_Usage!C15=Setup!$B$3,1,0)</f>
        <v/>
      </c>
      <c r="D15" s="12">
        <f>IF(HC_Gate!J15="YES",1,0)</f>
        <v/>
      </c>
      <c r="E15" s="12">
        <f>IF(OR(Capacity_Usage!V15="Standard",Capacity_Usage!B15=Setup!$B$8),1,0)</f>
        <v/>
      </c>
      <c r="F15" s="12">
        <f>SUMIFS(Capacity_Usage!$U$4:$U$17,Capacity_Usage!$C$4:$C$17,Capacity_Usage!C15)</f>
        <v/>
      </c>
      <c r="G15" s="32">
        <f>IFERROR(Capacity_Usage!N15/Capacity_Usage!F15,0)</f>
        <v/>
      </c>
      <c r="H15" s="32">
        <f>MIN(MAX(G15,0),1)</f>
        <v/>
      </c>
      <c r="I15" s="32">
        <f>IFERROR(Capacity_Usage!K15/Capacity_Usage!I15,0)</f>
        <v/>
      </c>
      <c r="J15" s="32">
        <f>MIN(MAX(I15,0),1)</f>
        <v/>
      </c>
      <c r="K15" s="32">
        <f>IF(F15=0,Policy!$B$11,1-Capacity_Usage!U15/F15)</f>
        <v/>
      </c>
      <c r="L15" s="32">
        <f>MIN(MAX(K15,0),1)</f>
        <v/>
      </c>
      <c r="M15" s="32">
        <f>IFERROR(Capacity_Usage!T15,0)</f>
        <v/>
      </c>
      <c r="N15" s="32">
        <f>MIN(MAX(M15,0),1)</f>
        <v/>
      </c>
      <c r="O15" s="32">
        <f>Capacity_Usage!E15/3</f>
        <v/>
      </c>
      <c r="P15" s="32">
        <f>MIN(MAX(O15,0),1)</f>
        <v/>
      </c>
      <c r="Q15" s="32">
        <f>Policy!$B$2*H15+Policy!$B$3*J15+Policy!$B$4*L15+Policy!$B$5*N15+Policy!$B$6*P15</f>
        <v/>
      </c>
      <c r="R15" s="12">
        <f>IF(AND(C15=1,D15=1,E15=1),Q15,-1)</f>
        <v/>
      </c>
      <c r="S15" s="12">
        <f>IF(R15&lt;0,"",COUNTIF($R$4:$R$17,"&gt;"&amp;R15)+1)</f>
        <v/>
      </c>
    </row>
    <row r="16">
      <c r="A16" s="12">
        <f>Capacity_Usage!B16</f>
        <v/>
      </c>
      <c r="B16" s="12">
        <f>Capacity_Usage!C16</f>
        <v/>
      </c>
      <c r="C16" s="12">
        <f>IF(Capacity_Usage!C16=Setup!$B$3,1,0)</f>
        <v/>
      </c>
      <c r="D16" s="12">
        <f>IF(HC_Gate!J16="YES",1,0)</f>
        <v/>
      </c>
      <c r="E16" s="12">
        <f>IF(OR(Capacity_Usage!V16="Standard",Capacity_Usage!B16=Setup!$B$8),1,0)</f>
        <v/>
      </c>
      <c r="F16" s="12">
        <f>SUMIFS(Capacity_Usage!$U$4:$U$17,Capacity_Usage!$C$4:$C$17,Capacity_Usage!C16)</f>
        <v/>
      </c>
      <c r="G16" s="32">
        <f>IFERROR(Capacity_Usage!N16/Capacity_Usage!F16,0)</f>
        <v/>
      </c>
      <c r="H16" s="32">
        <f>MIN(MAX(G16,0),1)</f>
        <v/>
      </c>
      <c r="I16" s="32">
        <f>IFERROR(Capacity_Usage!K16/Capacity_Usage!I16,0)</f>
        <v/>
      </c>
      <c r="J16" s="32">
        <f>MIN(MAX(I16,0),1)</f>
        <v/>
      </c>
      <c r="K16" s="32">
        <f>IF(F16=0,Policy!$B$11,1-Capacity_Usage!U16/F16)</f>
        <v/>
      </c>
      <c r="L16" s="32">
        <f>MIN(MAX(K16,0),1)</f>
        <v/>
      </c>
      <c r="M16" s="32">
        <f>IFERROR(Capacity_Usage!T16,0)</f>
        <v/>
      </c>
      <c r="N16" s="32">
        <f>MIN(MAX(M16,0),1)</f>
        <v/>
      </c>
      <c r="O16" s="32">
        <f>Capacity_Usage!E16/3</f>
        <v/>
      </c>
      <c r="P16" s="32">
        <f>MIN(MAX(O16,0),1)</f>
        <v/>
      </c>
      <c r="Q16" s="32">
        <f>Policy!$B$2*H16+Policy!$B$3*J16+Policy!$B$4*L16+Policy!$B$5*N16+Policy!$B$6*P16</f>
        <v/>
      </c>
      <c r="R16" s="12">
        <f>IF(AND(C16=1,D16=1,E16=1),Q16,-1)</f>
        <v/>
      </c>
      <c r="S16" s="12">
        <f>IF(R16&lt;0,"",COUNTIF($R$4:$R$17,"&gt;"&amp;R16)+1)</f>
        <v/>
      </c>
    </row>
    <row r="17">
      <c r="A17" s="12">
        <f>Capacity_Usage!B17</f>
        <v/>
      </c>
      <c r="B17" s="12">
        <f>Capacity_Usage!C17</f>
        <v/>
      </c>
      <c r="C17" s="12">
        <f>IF(Capacity_Usage!C17=Setup!$B$3,1,0)</f>
        <v/>
      </c>
      <c r="D17" s="12">
        <f>IF(HC_Gate!J17="YES",1,0)</f>
        <v/>
      </c>
      <c r="E17" s="12">
        <f>IF(OR(Capacity_Usage!V17="Standard",Capacity_Usage!B17=Setup!$B$8),1,0)</f>
        <v/>
      </c>
      <c r="F17" s="12">
        <f>SUMIFS(Capacity_Usage!$U$4:$U$17,Capacity_Usage!$C$4:$C$17,Capacity_Usage!C17)</f>
        <v/>
      </c>
      <c r="G17" s="32">
        <f>IFERROR(Capacity_Usage!N17/Capacity_Usage!F17,0)</f>
        <v/>
      </c>
      <c r="H17" s="32">
        <f>MIN(MAX(G17,0),1)</f>
        <v/>
      </c>
      <c r="I17" s="32">
        <f>IFERROR(Capacity_Usage!K17/Capacity_Usage!I17,0)</f>
        <v/>
      </c>
      <c r="J17" s="32">
        <f>MIN(MAX(I17,0),1)</f>
        <v/>
      </c>
      <c r="K17" s="32">
        <f>IF(F17=0,Policy!$B$11,1-Capacity_Usage!U17/F17)</f>
        <v/>
      </c>
      <c r="L17" s="32">
        <f>MIN(MAX(K17,0),1)</f>
        <v/>
      </c>
      <c r="M17" s="32">
        <f>IFERROR(Capacity_Usage!T17,0)</f>
        <v/>
      </c>
      <c r="N17" s="32">
        <f>MIN(MAX(M17,0),1)</f>
        <v/>
      </c>
      <c r="O17" s="32">
        <f>Capacity_Usage!E17/3</f>
        <v/>
      </c>
      <c r="P17" s="32">
        <f>MIN(MAX(O17,0),1)</f>
        <v/>
      </c>
      <c r="Q17" s="32">
        <f>Policy!$B$2*H17+Policy!$B$3*J17+Policy!$B$4*L17+Policy!$B$5*N17+Policy!$B$6*P17</f>
        <v/>
      </c>
      <c r="R17" s="12">
        <f>IF(AND(C17=1,D17=1,E17=1),Q17,-1)</f>
        <v/>
      </c>
      <c r="S17" s="12">
        <f>IF(R17&lt;0,"",COUNTIF($R$4:$R$17,"&gt;"&amp;R17)+1)</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U17"/>
  <sheetViews>
    <sheetView showGridLines="0" workbookViewId="0">
      <selection activeCell="A1" sqref="A1"/>
    </sheetView>
  </sheetViews>
  <sheetFormatPr baseColWidth="8" defaultRowHeight="15"/>
  <cols>
    <col width="20"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6" customWidth="1" min="19" max="19"/>
    <col width="16" customWidth="1" min="20" max="20"/>
    <col width="18" customWidth="1" min="21" max="21"/>
  </cols>
  <sheetData>
    <row r="1">
      <c r="A1" s="9" t="inlineStr">
        <is>
          <t>PS_NonProd — CVAL Placement Score  (δ duplicates α — known design gap)</t>
        </is>
      </c>
      <c r="T1" s="31" t="inlineStr">
        <is>
          <t>CVAL WINNER</t>
        </is>
      </c>
    </row>
    <row r="2">
      <c r="T2" s="15" t="inlineStr">
        <is>
          <t>Region</t>
        </is>
      </c>
      <c r="U2">
        <f>IF(Setup!$B$3="Middle East",Scoring_Prod!$U$3,IF(MAX(R4:R17)&lt;0,"NONE ELIGIBLE",INDEX(A4:A17,MATCH(MAX(R4:R17),R4:R17,0))))</f>
        <v/>
      </c>
    </row>
    <row r="3">
      <c r="A3" s="11" t="inlineStr">
        <is>
          <t>Region</t>
        </is>
      </c>
      <c r="B3" s="11" t="inlineStr">
        <is>
          <t>Geography</t>
        </is>
      </c>
      <c r="C3" s="11" t="inlineStr">
        <is>
          <t>InScope</t>
        </is>
      </c>
      <c r="D3" s="11" t="inlineStr">
        <is>
          <t>Eligible</t>
        </is>
      </c>
      <c r="E3" s="11" t="inlineStr">
        <is>
          <t>AutoSel</t>
        </is>
      </c>
      <c r="F3" s="11" t="inlineStr">
        <is>
          <t>total_cust</t>
        </is>
      </c>
      <c r="G3" s="11" t="inlineStr">
        <is>
          <t>α_raw</t>
        </is>
      </c>
      <c r="H3" s="11" t="inlineStr">
        <is>
          <t>α_c</t>
        </is>
      </c>
      <c r="I3" s="11" t="inlineStr">
        <is>
          <t>β_raw</t>
        </is>
      </c>
      <c r="J3" s="11" t="inlineStr">
        <is>
          <t>β_c</t>
        </is>
      </c>
      <c r="K3" s="11" t="inlineStr">
        <is>
          <t>γ_raw</t>
        </is>
      </c>
      <c r="L3" s="11" t="inlineStr">
        <is>
          <t>γ_c</t>
        </is>
      </c>
      <c r="M3" s="11" t="inlineStr">
        <is>
          <t>δ_raw</t>
        </is>
      </c>
      <c r="N3" s="11" t="inlineStr">
        <is>
          <t>δ_c</t>
        </is>
      </c>
      <c r="O3" s="11" t="inlineStr">
        <is>
          <t>ε_raw</t>
        </is>
      </c>
      <c r="P3" s="11" t="inlineStr">
        <is>
          <t>ε_c</t>
        </is>
      </c>
      <c r="Q3" s="11" t="inlineStr">
        <is>
          <t>PS</t>
        </is>
      </c>
      <c r="R3" s="11" t="inlineStr">
        <is>
          <t>Candidate</t>
        </is>
      </c>
      <c r="S3" s="11" t="inlineStr">
        <is>
          <t>Rank</t>
        </is>
      </c>
      <c r="T3" s="15" t="inlineStr">
        <is>
          <t>Score</t>
        </is>
      </c>
      <c r="U3" s="33">
        <f>IF(Setup!$B$3="Middle East",Scoring_Prod!$U$4,IF(MAX(R4:R17)&lt;0,"",MAX(R4:R17)))</f>
        <v/>
      </c>
    </row>
    <row r="4">
      <c r="A4" s="12">
        <f>Capacity_Usage!B4</f>
        <v/>
      </c>
      <c r="B4" s="12">
        <f>Capacity_Usage!C4</f>
        <v/>
      </c>
      <c r="C4" s="12">
        <f>IF(Capacity_Usage!C4=Setup!$B$3,1,0)</f>
        <v/>
      </c>
      <c r="D4" s="12">
        <f>IF(HC_Gate!K4="YES",1,0)</f>
        <v/>
      </c>
      <c r="E4" s="12">
        <f>IF(OR(Capacity_Usage!V4="Standard",Capacity_Usage!B4=Setup!$B$8),1,0)</f>
        <v/>
      </c>
      <c r="F4" s="12">
        <f>SUMIFS(Capacity_Usage!$U$4:$U$17,Capacity_Usage!$C$4:$C$17,Capacity_Usage!C4)</f>
        <v/>
      </c>
      <c r="G4" s="32">
        <f>IFERROR(Capacity_Usage!N4/Capacity_Usage!L4,0)</f>
        <v/>
      </c>
      <c r="H4" s="32">
        <f>MIN(MAX(G4,0),1)</f>
        <v/>
      </c>
      <c r="I4" s="32">
        <f>IFERROR(Capacity_Usage!Q4/Capacity_Usage!O4,0)</f>
        <v/>
      </c>
      <c r="J4" s="32">
        <f>MIN(MAX(I4,0),1)</f>
        <v/>
      </c>
      <c r="K4" s="32">
        <f>IF(F4=0,Policy!$B$11,1-Capacity_Usage!U4/F4)</f>
        <v/>
      </c>
      <c r="L4" s="32">
        <f>MIN(MAX(K4,0),1)</f>
        <v/>
      </c>
      <c r="M4" s="32">
        <f>IFERROR(Capacity_Usage!N4/Capacity_Usage!L4,0)</f>
        <v/>
      </c>
      <c r="N4" s="32">
        <f>MIN(MAX(M4,0),1)</f>
        <v/>
      </c>
      <c r="O4" s="32">
        <f>Capacity_Usage!E4/3</f>
        <v/>
      </c>
      <c r="P4" s="32">
        <f>MIN(MAX(O4,0),1)</f>
        <v/>
      </c>
      <c r="Q4" s="32">
        <f>Policy!$B$2*H4+Policy!$B$3*J4+Policy!$B$4*L4+Policy!$B$5*N4+Policy!$B$6*P4</f>
        <v/>
      </c>
      <c r="R4" s="12">
        <f>IF(AND(C4=1,D4=1,E4=1,A4&lt;&gt;Scoring_Prod!$U$3),Q4,-1)</f>
        <v/>
      </c>
      <c r="S4" s="12">
        <f>IF(R4&lt;0,"",COUNTIF($R$4:$R$17,"&gt;"&amp;R4)+1)</f>
        <v/>
      </c>
    </row>
    <row r="5">
      <c r="A5" s="12">
        <f>Capacity_Usage!B5</f>
        <v/>
      </c>
      <c r="B5" s="12">
        <f>Capacity_Usage!C5</f>
        <v/>
      </c>
      <c r="C5" s="12">
        <f>IF(Capacity_Usage!C5=Setup!$B$3,1,0)</f>
        <v/>
      </c>
      <c r="D5" s="12">
        <f>IF(HC_Gate!K5="YES",1,0)</f>
        <v/>
      </c>
      <c r="E5" s="12">
        <f>IF(OR(Capacity_Usage!V5="Standard",Capacity_Usage!B5=Setup!$B$8),1,0)</f>
        <v/>
      </c>
      <c r="F5" s="12">
        <f>SUMIFS(Capacity_Usage!$U$4:$U$17,Capacity_Usage!$C$4:$C$17,Capacity_Usage!C5)</f>
        <v/>
      </c>
      <c r="G5" s="32">
        <f>IFERROR(Capacity_Usage!N5/Capacity_Usage!L5,0)</f>
        <v/>
      </c>
      <c r="H5" s="32">
        <f>MIN(MAX(G5,0),1)</f>
        <v/>
      </c>
      <c r="I5" s="32">
        <f>IFERROR(Capacity_Usage!Q5/Capacity_Usage!O5,0)</f>
        <v/>
      </c>
      <c r="J5" s="32">
        <f>MIN(MAX(I5,0),1)</f>
        <v/>
      </c>
      <c r="K5" s="32">
        <f>IF(F5=0,Policy!$B$11,1-Capacity_Usage!U5/F5)</f>
        <v/>
      </c>
      <c r="L5" s="32">
        <f>MIN(MAX(K5,0),1)</f>
        <v/>
      </c>
      <c r="M5" s="32">
        <f>IFERROR(Capacity_Usage!N5/Capacity_Usage!L5,0)</f>
        <v/>
      </c>
      <c r="N5" s="32">
        <f>MIN(MAX(M5,0),1)</f>
        <v/>
      </c>
      <c r="O5" s="32">
        <f>Capacity_Usage!E5/3</f>
        <v/>
      </c>
      <c r="P5" s="32">
        <f>MIN(MAX(O5,0),1)</f>
        <v/>
      </c>
      <c r="Q5" s="32">
        <f>Policy!$B$2*H5+Policy!$B$3*J5+Policy!$B$4*L5+Policy!$B$5*N5+Policy!$B$6*P5</f>
        <v/>
      </c>
      <c r="R5" s="12">
        <f>IF(AND(C5=1,D5=1,E5=1,A5&lt;&gt;Scoring_Prod!$U$3),Q5,-1)</f>
        <v/>
      </c>
      <c r="S5" s="12">
        <f>IF(R5&lt;0,"",COUNTIF($R$4:$R$17,"&gt;"&amp;R5)+1)</f>
        <v/>
      </c>
    </row>
    <row r="6">
      <c r="A6" s="12">
        <f>Capacity_Usage!B6</f>
        <v/>
      </c>
      <c r="B6" s="12">
        <f>Capacity_Usage!C6</f>
        <v/>
      </c>
      <c r="C6" s="12">
        <f>IF(Capacity_Usage!C6=Setup!$B$3,1,0)</f>
        <v/>
      </c>
      <c r="D6" s="12">
        <f>IF(HC_Gate!K6="YES",1,0)</f>
        <v/>
      </c>
      <c r="E6" s="12">
        <f>IF(OR(Capacity_Usage!V6="Standard",Capacity_Usage!B6=Setup!$B$8),1,0)</f>
        <v/>
      </c>
      <c r="F6" s="12">
        <f>SUMIFS(Capacity_Usage!$U$4:$U$17,Capacity_Usage!$C$4:$C$17,Capacity_Usage!C6)</f>
        <v/>
      </c>
      <c r="G6" s="32">
        <f>IFERROR(Capacity_Usage!N6/Capacity_Usage!L6,0)</f>
        <v/>
      </c>
      <c r="H6" s="32">
        <f>MIN(MAX(G6,0),1)</f>
        <v/>
      </c>
      <c r="I6" s="32">
        <f>IFERROR(Capacity_Usage!Q6/Capacity_Usage!O6,0)</f>
        <v/>
      </c>
      <c r="J6" s="32">
        <f>MIN(MAX(I6,0),1)</f>
        <v/>
      </c>
      <c r="K6" s="32">
        <f>IF(F6=0,Policy!$B$11,1-Capacity_Usage!U6/F6)</f>
        <v/>
      </c>
      <c r="L6" s="32">
        <f>MIN(MAX(K6,0),1)</f>
        <v/>
      </c>
      <c r="M6" s="32">
        <f>IFERROR(Capacity_Usage!N6/Capacity_Usage!L6,0)</f>
        <v/>
      </c>
      <c r="N6" s="32">
        <f>MIN(MAX(M6,0),1)</f>
        <v/>
      </c>
      <c r="O6" s="32">
        <f>Capacity_Usage!E6/3</f>
        <v/>
      </c>
      <c r="P6" s="32">
        <f>MIN(MAX(O6,0),1)</f>
        <v/>
      </c>
      <c r="Q6" s="32">
        <f>Policy!$B$2*H6+Policy!$B$3*J6+Policy!$B$4*L6+Policy!$B$5*N6+Policy!$B$6*P6</f>
        <v/>
      </c>
      <c r="R6" s="12">
        <f>IF(AND(C6=1,D6=1,E6=1,A6&lt;&gt;Scoring_Prod!$U$3),Q6,-1)</f>
        <v/>
      </c>
      <c r="S6" s="12">
        <f>IF(R6&lt;0,"",COUNTIF($R$4:$R$17,"&gt;"&amp;R6)+1)</f>
        <v/>
      </c>
    </row>
    <row r="7">
      <c r="A7" s="12">
        <f>Capacity_Usage!B7</f>
        <v/>
      </c>
      <c r="B7" s="12">
        <f>Capacity_Usage!C7</f>
        <v/>
      </c>
      <c r="C7" s="12">
        <f>IF(Capacity_Usage!C7=Setup!$B$3,1,0)</f>
        <v/>
      </c>
      <c r="D7" s="12">
        <f>IF(HC_Gate!K7="YES",1,0)</f>
        <v/>
      </c>
      <c r="E7" s="12">
        <f>IF(OR(Capacity_Usage!V7="Standard",Capacity_Usage!B7=Setup!$B$8),1,0)</f>
        <v/>
      </c>
      <c r="F7" s="12">
        <f>SUMIFS(Capacity_Usage!$U$4:$U$17,Capacity_Usage!$C$4:$C$17,Capacity_Usage!C7)</f>
        <v/>
      </c>
      <c r="G7" s="32">
        <f>IFERROR(Capacity_Usage!N7/Capacity_Usage!L7,0)</f>
        <v/>
      </c>
      <c r="H7" s="32">
        <f>MIN(MAX(G7,0),1)</f>
        <v/>
      </c>
      <c r="I7" s="32">
        <f>IFERROR(Capacity_Usage!Q7/Capacity_Usage!O7,0)</f>
        <v/>
      </c>
      <c r="J7" s="32">
        <f>MIN(MAX(I7,0),1)</f>
        <v/>
      </c>
      <c r="K7" s="32">
        <f>IF(F7=0,Policy!$B$11,1-Capacity_Usage!U7/F7)</f>
        <v/>
      </c>
      <c r="L7" s="32">
        <f>MIN(MAX(K7,0),1)</f>
        <v/>
      </c>
      <c r="M7" s="32">
        <f>IFERROR(Capacity_Usage!N7/Capacity_Usage!L7,0)</f>
        <v/>
      </c>
      <c r="N7" s="32">
        <f>MIN(MAX(M7,0),1)</f>
        <v/>
      </c>
      <c r="O7" s="32">
        <f>Capacity_Usage!E7/3</f>
        <v/>
      </c>
      <c r="P7" s="32">
        <f>MIN(MAX(O7,0),1)</f>
        <v/>
      </c>
      <c r="Q7" s="32">
        <f>Policy!$B$2*H7+Policy!$B$3*J7+Policy!$B$4*L7+Policy!$B$5*N7+Policy!$B$6*P7</f>
        <v/>
      </c>
      <c r="R7" s="12">
        <f>IF(AND(C7=1,D7=1,E7=1,A7&lt;&gt;Scoring_Prod!$U$3),Q7,-1)</f>
        <v/>
      </c>
      <c r="S7" s="12">
        <f>IF(R7&lt;0,"",COUNTIF($R$4:$R$17,"&gt;"&amp;R7)+1)</f>
        <v/>
      </c>
    </row>
    <row r="8">
      <c r="A8" s="12">
        <f>Capacity_Usage!B8</f>
        <v/>
      </c>
      <c r="B8" s="12">
        <f>Capacity_Usage!C8</f>
        <v/>
      </c>
      <c r="C8" s="12">
        <f>IF(Capacity_Usage!C8=Setup!$B$3,1,0)</f>
        <v/>
      </c>
      <c r="D8" s="12">
        <f>IF(HC_Gate!K8="YES",1,0)</f>
        <v/>
      </c>
      <c r="E8" s="12">
        <f>IF(OR(Capacity_Usage!V8="Standard",Capacity_Usage!B8=Setup!$B$8),1,0)</f>
        <v/>
      </c>
      <c r="F8" s="12">
        <f>SUMIFS(Capacity_Usage!$U$4:$U$17,Capacity_Usage!$C$4:$C$17,Capacity_Usage!C8)</f>
        <v/>
      </c>
      <c r="G8" s="32">
        <f>IFERROR(Capacity_Usage!N8/Capacity_Usage!L8,0)</f>
        <v/>
      </c>
      <c r="H8" s="32">
        <f>MIN(MAX(G8,0),1)</f>
        <v/>
      </c>
      <c r="I8" s="32">
        <f>IFERROR(Capacity_Usage!Q8/Capacity_Usage!O8,0)</f>
        <v/>
      </c>
      <c r="J8" s="32">
        <f>MIN(MAX(I8,0),1)</f>
        <v/>
      </c>
      <c r="K8" s="32">
        <f>IF(F8=0,Policy!$B$11,1-Capacity_Usage!U8/F8)</f>
        <v/>
      </c>
      <c r="L8" s="32">
        <f>MIN(MAX(K8,0),1)</f>
        <v/>
      </c>
      <c r="M8" s="32">
        <f>IFERROR(Capacity_Usage!N8/Capacity_Usage!L8,0)</f>
        <v/>
      </c>
      <c r="N8" s="32">
        <f>MIN(MAX(M8,0),1)</f>
        <v/>
      </c>
      <c r="O8" s="32">
        <f>Capacity_Usage!E8/3</f>
        <v/>
      </c>
      <c r="P8" s="32">
        <f>MIN(MAX(O8,0),1)</f>
        <v/>
      </c>
      <c r="Q8" s="32">
        <f>Policy!$B$2*H8+Policy!$B$3*J8+Policy!$B$4*L8+Policy!$B$5*N8+Policy!$B$6*P8</f>
        <v/>
      </c>
      <c r="R8" s="12">
        <f>IF(AND(C8=1,D8=1,E8=1,A8&lt;&gt;Scoring_Prod!$U$3),Q8,-1)</f>
        <v/>
      </c>
      <c r="S8" s="12">
        <f>IF(R8&lt;0,"",COUNTIF($R$4:$R$17,"&gt;"&amp;R8)+1)</f>
        <v/>
      </c>
    </row>
    <row r="9">
      <c r="A9" s="12">
        <f>Capacity_Usage!B9</f>
        <v/>
      </c>
      <c r="B9" s="12">
        <f>Capacity_Usage!C9</f>
        <v/>
      </c>
      <c r="C9" s="12">
        <f>IF(Capacity_Usage!C9=Setup!$B$3,1,0)</f>
        <v/>
      </c>
      <c r="D9" s="12">
        <f>IF(HC_Gate!K9="YES",1,0)</f>
        <v/>
      </c>
      <c r="E9" s="12">
        <f>IF(OR(Capacity_Usage!V9="Standard",Capacity_Usage!B9=Setup!$B$8),1,0)</f>
        <v/>
      </c>
      <c r="F9" s="12">
        <f>SUMIFS(Capacity_Usage!$U$4:$U$17,Capacity_Usage!$C$4:$C$17,Capacity_Usage!C9)</f>
        <v/>
      </c>
      <c r="G9" s="32">
        <f>IFERROR(Capacity_Usage!N9/Capacity_Usage!L9,0)</f>
        <v/>
      </c>
      <c r="H9" s="32">
        <f>MIN(MAX(G9,0),1)</f>
        <v/>
      </c>
      <c r="I9" s="32">
        <f>IFERROR(Capacity_Usage!Q9/Capacity_Usage!O9,0)</f>
        <v/>
      </c>
      <c r="J9" s="32">
        <f>MIN(MAX(I9,0),1)</f>
        <v/>
      </c>
      <c r="K9" s="32">
        <f>IF(F9=0,Policy!$B$11,1-Capacity_Usage!U9/F9)</f>
        <v/>
      </c>
      <c r="L9" s="32">
        <f>MIN(MAX(K9,0),1)</f>
        <v/>
      </c>
      <c r="M9" s="32">
        <f>IFERROR(Capacity_Usage!N9/Capacity_Usage!L9,0)</f>
        <v/>
      </c>
      <c r="N9" s="32">
        <f>MIN(MAX(M9,0),1)</f>
        <v/>
      </c>
      <c r="O9" s="32">
        <f>Capacity_Usage!E9/3</f>
        <v/>
      </c>
      <c r="P9" s="32">
        <f>MIN(MAX(O9,0),1)</f>
        <v/>
      </c>
      <c r="Q9" s="32">
        <f>Policy!$B$2*H9+Policy!$B$3*J9+Policy!$B$4*L9+Policy!$B$5*N9+Policy!$B$6*P9</f>
        <v/>
      </c>
      <c r="R9" s="12">
        <f>IF(AND(C9=1,D9=1,E9=1,A9&lt;&gt;Scoring_Prod!$U$3),Q9,-1)</f>
        <v/>
      </c>
      <c r="S9" s="12">
        <f>IF(R9&lt;0,"",COUNTIF($R$4:$R$17,"&gt;"&amp;R9)+1)</f>
        <v/>
      </c>
    </row>
    <row r="10">
      <c r="A10" s="12">
        <f>Capacity_Usage!B10</f>
        <v/>
      </c>
      <c r="B10" s="12">
        <f>Capacity_Usage!C10</f>
        <v/>
      </c>
      <c r="C10" s="12">
        <f>IF(Capacity_Usage!C10=Setup!$B$3,1,0)</f>
        <v/>
      </c>
      <c r="D10" s="12">
        <f>IF(HC_Gate!K10="YES",1,0)</f>
        <v/>
      </c>
      <c r="E10" s="12">
        <f>IF(OR(Capacity_Usage!V10="Standard",Capacity_Usage!B10=Setup!$B$8),1,0)</f>
        <v/>
      </c>
      <c r="F10" s="12">
        <f>SUMIFS(Capacity_Usage!$U$4:$U$17,Capacity_Usage!$C$4:$C$17,Capacity_Usage!C10)</f>
        <v/>
      </c>
      <c r="G10" s="32">
        <f>IFERROR(Capacity_Usage!N10/Capacity_Usage!L10,0)</f>
        <v/>
      </c>
      <c r="H10" s="32">
        <f>MIN(MAX(G10,0),1)</f>
        <v/>
      </c>
      <c r="I10" s="32">
        <f>IFERROR(Capacity_Usage!Q10/Capacity_Usage!O10,0)</f>
        <v/>
      </c>
      <c r="J10" s="32">
        <f>MIN(MAX(I10,0),1)</f>
        <v/>
      </c>
      <c r="K10" s="32">
        <f>IF(F10=0,Policy!$B$11,1-Capacity_Usage!U10/F10)</f>
        <v/>
      </c>
      <c r="L10" s="32">
        <f>MIN(MAX(K10,0),1)</f>
        <v/>
      </c>
      <c r="M10" s="32">
        <f>IFERROR(Capacity_Usage!N10/Capacity_Usage!L10,0)</f>
        <v/>
      </c>
      <c r="N10" s="32">
        <f>MIN(MAX(M10,0),1)</f>
        <v/>
      </c>
      <c r="O10" s="32">
        <f>Capacity_Usage!E10/3</f>
        <v/>
      </c>
      <c r="P10" s="32">
        <f>MIN(MAX(O10,0),1)</f>
        <v/>
      </c>
      <c r="Q10" s="32">
        <f>Policy!$B$2*H10+Policy!$B$3*J10+Policy!$B$4*L10+Policy!$B$5*N10+Policy!$B$6*P10</f>
        <v/>
      </c>
      <c r="R10" s="12">
        <f>IF(AND(C10=1,D10=1,E10=1,A10&lt;&gt;Scoring_Prod!$U$3),Q10,-1)</f>
        <v/>
      </c>
      <c r="S10" s="12">
        <f>IF(R10&lt;0,"",COUNTIF($R$4:$R$17,"&gt;"&amp;R10)+1)</f>
        <v/>
      </c>
    </row>
    <row r="11">
      <c r="A11" s="12">
        <f>Capacity_Usage!B11</f>
        <v/>
      </c>
      <c r="B11" s="12">
        <f>Capacity_Usage!C11</f>
        <v/>
      </c>
      <c r="C11" s="12">
        <f>IF(Capacity_Usage!C11=Setup!$B$3,1,0)</f>
        <v/>
      </c>
      <c r="D11" s="12">
        <f>IF(HC_Gate!K11="YES",1,0)</f>
        <v/>
      </c>
      <c r="E11" s="12">
        <f>IF(OR(Capacity_Usage!V11="Standard",Capacity_Usage!B11=Setup!$B$8),1,0)</f>
        <v/>
      </c>
      <c r="F11" s="12">
        <f>SUMIFS(Capacity_Usage!$U$4:$U$17,Capacity_Usage!$C$4:$C$17,Capacity_Usage!C11)</f>
        <v/>
      </c>
      <c r="G11" s="32">
        <f>IFERROR(Capacity_Usage!N11/Capacity_Usage!L11,0)</f>
        <v/>
      </c>
      <c r="H11" s="32">
        <f>MIN(MAX(G11,0),1)</f>
        <v/>
      </c>
      <c r="I11" s="32">
        <f>IFERROR(Capacity_Usage!Q11/Capacity_Usage!O11,0)</f>
        <v/>
      </c>
      <c r="J11" s="32">
        <f>MIN(MAX(I11,0),1)</f>
        <v/>
      </c>
      <c r="K11" s="32">
        <f>IF(F11=0,Policy!$B$11,1-Capacity_Usage!U11/F11)</f>
        <v/>
      </c>
      <c r="L11" s="32">
        <f>MIN(MAX(K11,0),1)</f>
        <v/>
      </c>
      <c r="M11" s="32">
        <f>IFERROR(Capacity_Usage!N11/Capacity_Usage!L11,0)</f>
        <v/>
      </c>
      <c r="N11" s="32">
        <f>MIN(MAX(M11,0),1)</f>
        <v/>
      </c>
      <c r="O11" s="32">
        <f>Capacity_Usage!E11/3</f>
        <v/>
      </c>
      <c r="P11" s="32">
        <f>MIN(MAX(O11,0),1)</f>
        <v/>
      </c>
      <c r="Q11" s="32">
        <f>Policy!$B$2*H11+Policy!$B$3*J11+Policy!$B$4*L11+Policy!$B$5*N11+Policy!$B$6*P11</f>
        <v/>
      </c>
      <c r="R11" s="12">
        <f>IF(AND(C11=1,D11=1,E11=1,A11&lt;&gt;Scoring_Prod!$U$3),Q11,-1)</f>
        <v/>
      </c>
      <c r="S11" s="12">
        <f>IF(R11&lt;0,"",COUNTIF($R$4:$R$17,"&gt;"&amp;R11)+1)</f>
        <v/>
      </c>
    </row>
    <row r="12">
      <c r="A12" s="12">
        <f>Capacity_Usage!B12</f>
        <v/>
      </c>
      <c r="B12" s="12">
        <f>Capacity_Usage!C12</f>
        <v/>
      </c>
      <c r="C12" s="12">
        <f>IF(Capacity_Usage!C12=Setup!$B$3,1,0)</f>
        <v/>
      </c>
      <c r="D12" s="12">
        <f>IF(HC_Gate!K12="YES",1,0)</f>
        <v/>
      </c>
      <c r="E12" s="12">
        <f>IF(OR(Capacity_Usage!V12="Standard",Capacity_Usage!B12=Setup!$B$8),1,0)</f>
        <v/>
      </c>
      <c r="F12" s="12">
        <f>SUMIFS(Capacity_Usage!$U$4:$U$17,Capacity_Usage!$C$4:$C$17,Capacity_Usage!C12)</f>
        <v/>
      </c>
      <c r="G12" s="32">
        <f>IFERROR(Capacity_Usage!N12/Capacity_Usage!L12,0)</f>
        <v/>
      </c>
      <c r="H12" s="32">
        <f>MIN(MAX(G12,0),1)</f>
        <v/>
      </c>
      <c r="I12" s="32">
        <f>IFERROR(Capacity_Usage!Q12/Capacity_Usage!O12,0)</f>
        <v/>
      </c>
      <c r="J12" s="32">
        <f>MIN(MAX(I12,0),1)</f>
        <v/>
      </c>
      <c r="K12" s="32">
        <f>IF(F12=0,Policy!$B$11,1-Capacity_Usage!U12/F12)</f>
        <v/>
      </c>
      <c r="L12" s="32">
        <f>MIN(MAX(K12,0),1)</f>
        <v/>
      </c>
      <c r="M12" s="32">
        <f>IFERROR(Capacity_Usage!N12/Capacity_Usage!L12,0)</f>
        <v/>
      </c>
      <c r="N12" s="32">
        <f>MIN(MAX(M12,0),1)</f>
        <v/>
      </c>
      <c r="O12" s="32">
        <f>Capacity_Usage!E12/3</f>
        <v/>
      </c>
      <c r="P12" s="32">
        <f>MIN(MAX(O12,0),1)</f>
        <v/>
      </c>
      <c r="Q12" s="32">
        <f>Policy!$B$2*H12+Policy!$B$3*J12+Policy!$B$4*L12+Policy!$B$5*N12+Policy!$B$6*P12</f>
        <v/>
      </c>
      <c r="R12" s="12">
        <f>IF(AND(C12=1,D12=1,E12=1,A12&lt;&gt;Scoring_Prod!$U$3),Q12,-1)</f>
        <v/>
      </c>
      <c r="S12" s="12">
        <f>IF(R12&lt;0,"",COUNTIF($R$4:$R$17,"&gt;"&amp;R12)+1)</f>
        <v/>
      </c>
    </row>
    <row r="13">
      <c r="A13" s="12">
        <f>Capacity_Usage!B13</f>
        <v/>
      </c>
      <c r="B13" s="12">
        <f>Capacity_Usage!C13</f>
        <v/>
      </c>
      <c r="C13" s="12">
        <f>IF(Capacity_Usage!C13=Setup!$B$3,1,0)</f>
        <v/>
      </c>
      <c r="D13" s="12">
        <f>IF(HC_Gate!K13="YES",1,0)</f>
        <v/>
      </c>
      <c r="E13" s="12">
        <f>IF(OR(Capacity_Usage!V13="Standard",Capacity_Usage!B13=Setup!$B$8),1,0)</f>
        <v/>
      </c>
      <c r="F13" s="12">
        <f>SUMIFS(Capacity_Usage!$U$4:$U$17,Capacity_Usage!$C$4:$C$17,Capacity_Usage!C13)</f>
        <v/>
      </c>
      <c r="G13" s="32">
        <f>IFERROR(Capacity_Usage!N13/Capacity_Usage!L13,0)</f>
        <v/>
      </c>
      <c r="H13" s="32">
        <f>MIN(MAX(G13,0),1)</f>
        <v/>
      </c>
      <c r="I13" s="32">
        <f>IFERROR(Capacity_Usage!Q13/Capacity_Usage!O13,0)</f>
        <v/>
      </c>
      <c r="J13" s="32">
        <f>MIN(MAX(I13,0),1)</f>
        <v/>
      </c>
      <c r="K13" s="32">
        <f>IF(F13=0,Policy!$B$11,1-Capacity_Usage!U13/F13)</f>
        <v/>
      </c>
      <c r="L13" s="32">
        <f>MIN(MAX(K13,0),1)</f>
        <v/>
      </c>
      <c r="M13" s="32">
        <f>IFERROR(Capacity_Usage!N13/Capacity_Usage!L13,0)</f>
        <v/>
      </c>
      <c r="N13" s="32">
        <f>MIN(MAX(M13,0),1)</f>
        <v/>
      </c>
      <c r="O13" s="32">
        <f>Capacity_Usage!E13/3</f>
        <v/>
      </c>
      <c r="P13" s="32">
        <f>MIN(MAX(O13,0),1)</f>
        <v/>
      </c>
      <c r="Q13" s="32">
        <f>Policy!$B$2*H13+Policy!$B$3*J13+Policy!$B$4*L13+Policy!$B$5*N13+Policy!$B$6*P13</f>
        <v/>
      </c>
      <c r="R13" s="12">
        <f>IF(AND(C13=1,D13=1,E13=1,A13&lt;&gt;Scoring_Prod!$U$3),Q13,-1)</f>
        <v/>
      </c>
      <c r="S13" s="12">
        <f>IF(R13&lt;0,"",COUNTIF($R$4:$R$17,"&gt;"&amp;R13)+1)</f>
        <v/>
      </c>
    </row>
    <row r="14">
      <c r="A14" s="12">
        <f>Capacity_Usage!B14</f>
        <v/>
      </c>
      <c r="B14" s="12">
        <f>Capacity_Usage!C14</f>
        <v/>
      </c>
      <c r="C14" s="12">
        <f>IF(Capacity_Usage!C14=Setup!$B$3,1,0)</f>
        <v/>
      </c>
      <c r="D14" s="12">
        <f>IF(HC_Gate!K14="YES",1,0)</f>
        <v/>
      </c>
      <c r="E14" s="12">
        <f>IF(OR(Capacity_Usage!V14="Standard",Capacity_Usage!B14=Setup!$B$8),1,0)</f>
        <v/>
      </c>
      <c r="F14" s="12">
        <f>SUMIFS(Capacity_Usage!$U$4:$U$17,Capacity_Usage!$C$4:$C$17,Capacity_Usage!C14)</f>
        <v/>
      </c>
      <c r="G14" s="32">
        <f>IFERROR(Capacity_Usage!N14/Capacity_Usage!L14,0)</f>
        <v/>
      </c>
      <c r="H14" s="32">
        <f>MIN(MAX(G14,0),1)</f>
        <v/>
      </c>
      <c r="I14" s="32">
        <f>IFERROR(Capacity_Usage!Q14/Capacity_Usage!O14,0)</f>
        <v/>
      </c>
      <c r="J14" s="32">
        <f>MIN(MAX(I14,0),1)</f>
        <v/>
      </c>
      <c r="K14" s="32">
        <f>IF(F14=0,Policy!$B$11,1-Capacity_Usage!U14/F14)</f>
        <v/>
      </c>
      <c r="L14" s="32">
        <f>MIN(MAX(K14,0),1)</f>
        <v/>
      </c>
      <c r="M14" s="32">
        <f>IFERROR(Capacity_Usage!N14/Capacity_Usage!L14,0)</f>
        <v/>
      </c>
      <c r="N14" s="32">
        <f>MIN(MAX(M14,0),1)</f>
        <v/>
      </c>
      <c r="O14" s="32">
        <f>Capacity_Usage!E14/3</f>
        <v/>
      </c>
      <c r="P14" s="32">
        <f>MIN(MAX(O14,0),1)</f>
        <v/>
      </c>
      <c r="Q14" s="32">
        <f>Policy!$B$2*H14+Policy!$B$3*J14+Policy!$B$4*L14+Policy!$B$5*N14+Policy!$B$6*P14</f>
        <v/>
      </c>
      <c r="R14" s="12">
        <f>IF(AND(C14=1,D14=1,E14=1,A14&lt;&gt;Scoring_Prod!$U$3),Q14,-1)</f>
        <v/>
      </c>
      <c r="S14" s="12">
        <f>IF(R14&lt;0,"",COUNTIF($R$4:$R$17,"&gt;"&amp;R14)+1)</f>
        <v/>
      </c>
    </row>
    <row r="15">
      <c r="A15" s="12">
        <f>Capacity_Usage!B15</f>
        <v/>
      </c>
      <c r="B15" s="12">
        <f>Capacity_Usage!C15</f>
        <v/>
      </c>
      <c r="C15" s="12">
        <f>IF(Capacity_Usage!C15=Setup!$B$3,1,0)</f>
        <v/>
      </c>
      <c r="D15" s="12">
        <f>IF(HC_Gate!K15="YES",1,0)</f>
        <v/>
      </c>
      <c r="E15" s="12">
        <f>IF(OR(Capacity_Usage!V15="Standard",Capacity_Usage!B15=Setup!$B$8),1,0)</f>
        <v/>
      </c>
      <c r="F15" s="12">
        <f>SUMIFS(Capacity_Usage!$U$4:$U$17,Capacity_Usage!$C$4:$C$17,Capacity_Usage!C15)</f>
        <v/>
      </c>
      <c r="G15" s="32">
        <f>IFERROR(Capacity_Usage!N15/Capacity_Usage!L15,0)</f>
        <v/>
      </c>
      <c r="H15" s="32">
        <f>MIN(MAX(G15,0),1)</f>
        <v/>
      </c>
      <c r="I15" s="32">
        <f>IFERROR(Capacity_Usage!Q15/Capacity_Usage!O15,0)</f>
        <v/>
      </c>
      <c r="J15" s="32">
        <f>MIN(MAX(I15,0),1)</f>
        <v/>
      </c>
      <c r="K15" s="32">
        <f>IF(F15=0,Policy!$B$11,1-Capacity_Usage!U15/F15)</f>
        <v/>
      </c>
      <c r="L15" s="32">
        <f>MIN(MAX(K15,0),1)</f>
        <v/>
      </c>
      <c r="M15" s="32">
        <f>IFERROR(Capacity_Usage!N15/Capacity_Usage!L15,0)</f>
        <v/>
      </c>
      <c r="N15" s="32">
        <f>MIN(MAX(M15,0),1)</f>
        <v/>
      </c>
      <c r="O15" s="32">
        <f>Capacity_Usage!E15/3</f>
        <v/>
      </c>
      <c r="P15" s="32">
        <f>MIN(MAX(O15,0),1)</f>
        <v/>
      </c>
      <c r="Q15" s="32">
        <f>Policy!$B$2*H15+Policy!$B$3*J15+Policy!$B$4*L15+Policy!$B$5*N15+Policy!$B$6*P15</f>
        <v/>
      </c>
      <c r="R15" s="12">
        <f>IF(AND(C15=1,D15=1,E15=1,A15&lt;&gt;Scoring_Prod!$U$3),Q15,-1)</f>
        <v/>
      </c>
      <c r="S15" s="12">
        <f>IF(R15&lt;0,"",COUNTIF($R$4:$R$17,"&gt;"&amp;R15)+1)</f>
        <v/>
      </c>
    </row>
    <row r="16">
      <c r="A16" s="12">
        <f>Capacity_Usage!B16</f>
        <v/>
      </c>
      <c r="B16" s="12">
        <f>Capacity_Usage!C16</f>
        <v/>
      </c>
      <c r="C16" s="12">
        <f>IF(Capacity_Usage!C16=Setup!$B$3,1,0)</f>
        <v/>
      </c>
      <c r="D16" s="12">
        <f>IF(HC_Gate!K16="YES",1,0)</f>
        <v/>
      </c>
      <c r="E16" s="12">
        <f>IF(OR(Capacity_Usage!V16="Standard",Capacity_Usage!B16=Setup!$B$8),1,0)</f>
        <v/>
      </c>
      <c r="F16" s="12">
        <f>SUMIFS(Capacity_Usage!$U$4:$U$17,Capacity_Usage!$C$4:$C$17,Capacity_Usage!C16)</f>
        <v/>
      </c>
      <c r="G16" s="32">
        <f>IFERROR(Capacity_Usage!N16/Capacity_Usage!L16,0)</f>
        <v/>
      </c>
      <c r="H16" s="32">
        <f>MIN(MAX(G16,0),1)</f>
        <v/>
      </c>
      <c r="I16" s="32">
        <f>IFERROR(Capacity_Usage!Q16/Capacity_Usage!O16,0)</f>
        <v/>
      </c>
      <c r="J16" s="32">
        <f>MIN(MAX(I16,0),1)</f>
        <v/>
      </c>
      <c r="K16" s="32">
        <f>IF(F16=0,Policy!$B$11,1-Capacity_Usage!U16/F16)</f>
        <v/>
      </c>
      <c r="L16" s="32">
        <f>MIN(MAX(K16,0),1)</f>
        <v/>
      </c>
      <c r="M16" s="32">
        <f>IFERROR(Capacity_Usage!N16/Capacity_Usage!L16,0)</f>
        <v/>
      </c>
      <c r="N16" s="32">
        <f>MIN(MAX(M16,0),1)</f>
        <v/>
      </c>
      <c r="O16" s="32">
        <f>Capacity_Usage!E16/3</f>
        <v/>
      </c>
      <c r="P16" s="32">
        <f>MIN(MAX(O16,0),1)</f>
        <v/>
      </c>
      <c r="Q16" s="32">
        <f>Policy!$B$2*H16+Policy!$B$3*J16+Policy!$B$4*L16+Policy!$B$5*N16+Policy!$B$6*P16</f>
        <v/>
      </c>
      <c r="R16" s="12">
        <f>IF(AND(C16=1,D16=1,E16=1,A16&lt;&gt;Scoring_Prod!$U$3),Q16,-1)</f>
        <v/>
      </c>
      <c r="S16" s="12">
        <f>IF(R16&lt;0,"",COUNTIF($R$4:$R$17,"&gt;"&amp;R16)+1)</f>
        <v/>
      </c>
    </row>
    <row r="17">
      <c r="A17" s="12">
        <f>Capacity_Usage!B17</f>
        <v/>
      </c>
      <c r="B17" s="12">
        <f>Capacity_Usage!C17</f>
        <v/>
      </c>
      <c r="C17" s="12">
        <f>IF(Capacity_Usage!C17=Setup!$B$3,1,0)</f>
        <v/>
      </c>
      <c r="D17" s="12">
        <f>IF(HC_Gate!K17="YES",1,0)</f>
        <v/>
      </c>
      <c r="E17" s="12">
        <f>IF(OR(Capacity_Usage!V17="Standard",Capacity_Usage!B17=Setup!$B$8),1,0)</f>
        <v/>
      </c>
      <c r="F17" s="12">
        <f>SUMIFS(Capacity_Usage!$U$4:$U$17,Capacity_Usage!$C$4:$C$17,Capacity_Usage!C17)</f>
        <v/>
      </c>
      <c r="G17" s="32">
        <f>IFERROR(Capacity_Usage!N17/Capacity_Usage!L17,0)</f>
        <v/>
      </c>
      <c r="H17" s="32">
        <f>MIN(MAX(G17,0),1)</f>
        <v/>
      </c>
      <c r="I17" s="32">
        <f>IFERROR(Capacity_Usage!Q17/Capacity_Usage!O17,0)</f>
        <v/>
      </c>
      <c r="J17" s="32">
        <f>MIN(MAX(I17,0),1)</f>
        <v/>
      </c>
      <c r="K17" s="32">
        <f>IF(F17=0,Policy!$B$11,1-Capacity_Usage!U17/F17)</f>
        <v/>
      </c>
      <c r="L17" s="32">
        <f>MIN(MAX(K17,0),1)</f>
        <v/>
      </c>
      <c r="M17" s="32">
        <f>IFERROR(Capacity_Usage!N17/Capacity_Usage!L17,0)</f>
        <v/>
      </c>
      <c r="N17" s="32">
        <f>MIN(MAX(M17,0),1)</f>
        <v/>
      </c>
      <c r="O17" s="32">
        <f>Capacity_Usage!E17/3</f>
        <v/>
      </c>
      <c r="P17" s="32">
        <f>MIN(MAX(O17,0),1)</f>
        <v/>
      </c>
      <c r="Q17" s="32">
        <f>Policy!$B$2*H17+Policy!$B$3*J17+Policy!$B$4*L17+Policy!$B$5*N17+Policy!$B$6*P17</f>
        <v/>
      </c>
      <c r="R17" s="12">
        <f>IF(AND(C17=1,D17=1,E17=1,A17&lt;&gt;Scoring_Prod!$U$3),Q17,-1)</f>
        <v/>
      </c>
      <c r="S17" s="12">
        <f>IF(R17&lt;0,"",COUNTIF($R$4:$R$17,"&gt;"&amp;R17)+1)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7"/>
  <sheetViews>
    <sheetView showGridLines="0" workbookViewId="0">
      <selection activeCell="A1" sqref="A1"/>
    </sheetView>
  </sheetViews>
  <sheetFormatPr baseColWidth="8" defaultRowHeight="15"/>
  <cols>
    <col width="20" customWidth="1" min="1" max="1"/>
    <col width="13"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6" customWidth="1" min="19" max="19"/>
    <col width="16" customWidth="1" min="20" max="20"/>
    <col width="18" customWidth="1" min="21" max="21"/>
  </cols>
  <sheetData>
    <row r="1">
      <c r="A1" s="9" t="inlineStr">
        <is>
          <t>PS_DR — DR Placement Score  (Middle East scores EU regions cross-geo)</t>
        </is>
      </c>
      <c r="T1" s="31" t="inlineStr">
        <is>
          <t>DR WINNER</t>
        </is>
      </c>
    </row>
    <row r="2">
      <c r="T2" s="15" t="inlineStr">
        <is>
          <t>Region</t>
        </is>
      </c>
      <c r="U2">
        <f>IF(Setup!$B$10="2-region",Scoring_CVAL!$U$2,IF(MAX(R4:R17)&lt;0,"NONE ELIGIBLE",INDEX(A4:A17,MATCH(MAX(R4:R17),R4:R17,0))))</f>
        <v/>
      </c>
    </row>
    <row r="3">
      <c r="A3" s="11" t="inlineStr">
        <is>
          <t>Region</t>
        </is>
      </c>
      <c r="B3" s="11" t="inlineStr">
        <is>
          <t>Geography</t>
        </is>
      </c>
      <c r="C3" s="11" t="inlineStr">
        <is>
          <t>InScope</t>
        </is>
      </c>
      <c r="D3" s="11" t="inlineStr">
        <is>
          <t>Eligible</t>
        </is>
      </c>
      <c r="E3" s="11" t="inlineStr">
        <is>
          <t>AutoSel</t>
        </is>
      </c>
      <c r="F3" s="11" t="inlineStr">
        <is>
          <t>total_cust</t>
        </is>
      </c>
      <c r="G3" s="11" t="inlineStr">
        <is>
          <t>α_raw</t>
        </is>
      </c>
      <c r="H3" s="11" t="inlineStr">
        <is>
          <t>α_c</t>
        </is>
      </c>
      <c r="I3" s="11" t="inlineStr">
        <is>
          <t>β_raw</t>
        </is>
      </c>
      <c r="J3" s="11" t="inlineStr">
        <is>
          <t>β_c</t>
        </is>
      </c>
      <c r="K3" s="11" t="inlineStr">
        <is>
          <t>γ_raw</t>
        </is>
      </c>
      <c r="L3" s="11" t="inlineStr">
        <is>
          <t>γ_c</t>
        </is>
      </c>
      <c r="M3" s="11" t="inlineStr">
        <is>
          <t>δ_raw</t>
        </is>
      </c>
      <c r="N3" s="11" t="inlineStr">
        <is>
          <t>δ_c</t>
        </is>
      </c>
      <c r="O3" s="11" t="inlineStr">
        <is>
          <t>ε_raw</t>
        </is>
      </c>
      <c r="P3" s="11" t="inlineStr">
        <is>
          <t>ε_c</t>
        </is>
      </c>
      <c r="Q3" s="11" t="inlineStr">
        <is>
          <t>PS</t>
        </is>
      </c>
      <c r="R3" s="11" t="inlineStr">
        <is>
          <t>Candidate</t>
        </is>
      </c>
      <c r="S3" s="11" t="inlineStr">
        <is>
          <t>Rank</t>
        </is>
      </c>
      <c r="T3" s="15" t="inlineStr">
        <is>
          <t>Score</t>
        </is>
      </c>
      <c r="U3" s="33">
        <f>IF(Setup!$B$10="2-region",Scoring_CVAL!$U$3,IF(MAX(R4:R17)&lt;0,"",MAX(R4:R17)))</f>
        <v/>
      </c>
    </row>
    <row r="4">
      <c r="A4" s="12">
        <f>Capacity_Usage!B4</f>
        <v/>
      </c>
      <c r="B4" s="12">
        <f>Capacity_Usage!C4</f>
        <v/>
      </c>
      <c r="C4" s="12">
        <f>IF(Capacity_Usage!C4=Setup!$B$11,1,0)</f>
        <v/>
      </c>
      <c r="D4" s="12">
        <f>IF(HC_Gate!L4="YES",1,0)</f>
        <v/>
      </c>
      <c r="E4" s="12">
        <f>IF(OR(Capacity_Usage!V4="Standard",Capacity_Usage!B4=Setup!$B$8),1,0)</f>
        <v/>
      </c>
      <c r="F4" s="12">
        <f>SUMIFS(Capacity_Usage!$U$4:$U$17,Capacity_Usage!$C$4:$C$17,Capacity_Usage!C4)</f>
        <v/>
      </c>
      <c r="G4" s="32">
        <f>IFERROR(Capacity_Usage!S4/Capacity_Usage!R4,0)</f>
        <v/>
      </c>
      <c r="H4" s="32">
        <f>MIN(MAX(G4,0),1)</f>
        <v/>
      </c>
      <c r="I4" s="32">
        <f>IFERROR(Capacity_Usage!Q4/Capacity_Usage!O4,0)</f>
        <v/>
      </c>
      <c r="J4" s="32">
        <f>MIN(MAX(I4,0),1)</f>
        <v/>
      </c>
      <c r="K4" s="32">
        <f>IF(F4=0,Policy!$B$11,1-Capacity_Usage!U4/F4)</f>
        <v/>
      </c>
      <c r="L4" s="32">
        <f>MIN(MAX(K4,0),1)</f>
        <v/>
      </c>
      <c r="M4" s="32">
        <f>IFERROR(Capacity_Usage!T4/Policy!$B$14,0)</f>
        <v/>
      </c>
      <c r="N4" s="32">
        <f>MIN(MAX(M4,0),1)</f>
        <v/>
      </c>
      <c r="O4" s="32">
        <f>Capacity_Usage!E4/3</f>
        <v/>
      </c>
      <c r="P4" s="32">
        <f>MIN(MAX(O4,0),1)</f>
        <v/>
      </c>
      <c r="Q4" s="32">
        <f>Policy!$B$2*H4+Policy!$B$3*J4+Policy!$B$4*L4+Policy!$B$5*N4+Policy!$B$6*P4</f>
        <v/>
      </c>
      <c r="R4" s="12">
        <f>IF(AND(C4=1,D4=1,E4=1,A4&lt;&gt;Scoring_Prod!$U$3),Q4,-1)</f>
        <v/>
      </c>
      <c r="S4" s="12">
        <f>IF(R4&lt;0,"",COUNTIF($R$4:$R$17,"&gt;"&amp;R4)+1)</f>
        <v/>
      </c>
    </row>
    <row r="5">
      <c r="A5" s="12">
        <f>Capacity_Usage!B5</f>
        <v/>
      </c>
      <c r="B5" s="12">
        <f>Capacity_Usage!C5</f>
        <v/>
      </c>
      <c r="C5" s="12">
        <f>IF(Capacity_Usage!C5=Setup!$B$11,1,0)</f>
        <v/>
      </c>
      <c r="D5" s="12">
        <f>IF(HC_Gate!L5="YES",1,0)</f>
        <v/>
      </c>
      <c r="E5" s="12">
        <f>IF(OR(Capacity_Usage!V5="Standard",Capacity_Usage!B5=Setup!$B$8),1,0)</f>
        <v/>
      </c>
      <c r="F5" s="12">
        <f>SUMIFS(Capacity_Usage!$U$4:$U$17,Capacity_Usage!$C$4:$C$17,Capacity_Usage!C5)</f>
        <v/>
      </c>
      <c r="G5" s="32">
        <f>IFERROR(Capacity_Usage!S5/Capacity_Usage!R5,0)</f>
        <v/>
      </c>
      <c r="H5" s="32">
        <f>MIN(MAX(G5,0),1)</f>
        <v/>
      </c>
      <c r="I5" s="32">
        <f>IFERROR(Capacity_Usage!Q5/Capacity_Usage!O5,0)</f>
        <v/>
      </c>
      <c r="J5" s="32">
        <f>MIN(MAX(I5,0),1)</f>
        <v/>
      </c>
      <c r="K5" s="32">
        <f>IF(F5=0,Policy!$B$11,1-Capacity_Usage!U5/F5)</f>
        <v/>
      </c>
      <c r="L5" s="32">
        <f>MIN(MAX(K5,0),1)</f>
        <v/>
      </c>
      <c r="M5" s="32">
        <f>IFERROR(Capacity_Usage!T5/Policy!$B$14,0)</f>
        <v/>
      </c>
      <c r="N5" s="32">
        <f>MIN(MAX(M5,0),1)</f>
        <v/>
      </c>
      <c r="O5" s="32">
        <f>Capacity_Usage!E5/3</f>
        <v/>
      </c>
      <c r="P5" s="32">
        <f>MIN(MAX(O5,0),1)</f>
        <v/>
      </c>
      <c r="Q5" s="32">
        <f>Policy!$B$2*H5+Policy!$B$3*J5+Policy!$B$4*L5+Policy!$B$5*N5+Policy!$B$6*P5</f>
        <v/>
      </c>
      <c r="R5" s="12">
        <f>IF(AND(C5=1,D5=1,E5=1,A5&lt;&gt;Scoring_Prod!$U$3),Q5,-1)</f>
        <v/>
      </c>
      <c r="S5" s="12">
        <f>IF(R5&lt;0,"",COUNTIF($R$4:$R$17,"&gt;"&amp;R5)+1)</f>
        <v/>
      </c>
    </row>
    <row r="6">
      <c r="A6" s="12">
        <f>Capacity_Usage!B6</f>
        <v/>
      </c>
      <c r="B6" s="12">
        <f>Capacity_Usage!C6</f>
        <v/>
      </c>
      <c r="C6" s="12">
        <f>IF(Capacity_Usage!C6=Setup!$B$11,1,0)</f>
        <v/>
      </c>
      <c r="D6" s="12">
        <f>IF(HC_Gate!L6="YES",1,0)</f>
        <v/>
      </c>
      <c r="E6" s="12">
        <f>IF(OR(Capacity_Usage!V6="Standard",Capacity_Usage!B6=Setup!$B$8),1,0)</f>
        <v/>
      </c>
      <c r="F6" s="12">
        <f>SUMIFS(Capacity_Usage!$U$4:$U$17,Capacity_Usage!$C$4:$C$17,Capacity_Usage!C6)</f>
        <v/>
      </c>
      <c r="G6" s="32">
        <f>IFERROR(Capacity_Usage!S6/Capacity_Usage!R6,0)</f>
        <v/>
      </c>
      <c r="H6" s="32">
        <f>MIN(MAX(G6,0),1)</f>
        <v/>
      </c>
      <c r="I6" s="32">
        <f>IFERROR(Capacity_Usage!Q6/Capacity_Usage!O6,0)</f>
        <v/>
      </c>
      <c r="J6" s="32">
        <f>MIN(MAX(I6,0),1)</f>
        <v/>
      </c>
      <c r="K6" s="32">
        <f>IF(F6=0,Policy!$B$11,1-Capacity_Usage!U6/F6)</f>
        <v/>
      </c>
      <c r="L6" s="32">
        <f>MIN(MAX(K6,0),1)</f>
        <v/>
      </c>
      <c r="M6" s="32">
        <f>IFERROR(Capacity_Usage!T6/Policy!$B$14,0)</f>
        <v/>
      </c>
      <c r="N6" s="32">
        <f>MIN(MAX(M6,0),1)</f>
        <v/>
      </c>
      <c r="O6" s="32">
        <f>Capacity_Usage!E6/3</f>
        <v/>
      </c>
      <c r="P6" s="32">
        <f>MIN(MAX(O6,0),1)</f>
        <v/>
      </c>
      <c r="Q6" s="32">
        <f>Policy!$B$2*H6+Policy!$B$3*J6+Policy!$B$4*L6+Policy!$B$5*N6+Policy!$B$6*P6</f>
        <v/>
      </c>
      <c r="R6" s="12">
        <f>IF(AND(C6=1,D6=1,E6=1,A6&lt;&gt;Scoring_Prod!$U$3),Q6,-1)</f>
        <v/>
      </c>
      <c r="S6" s="12">
        <f>IF(R6&lt;0,"",COUNTIF($R$4:$R$17,"&gt;"&amp;R6)+1)</f>
        <v/>
      </c>
    </row>
    <row r="7">
      <c r="A7" s="12">
        <f>Capacity_Usage!B7</f>
        <v/>
      </c>
      <c r="B7" s="12">
        <f>Capacity_Usage!C7</f>
        <v/>
      </c>
      <c r="C7" s="12">
        <f>IF(Capacity_Usage!C7=Setup!$B$11,1,0)</f>
        <v/>
      </c>
      <c r="D7" s="12">
        <f>IF(HC_Gate!L7="YES",1,0)</f>
        <v/>
      </c>
      <c r="E7" s="12">
        <f>IF(OR(Capacity_Usage!V7="Standard",Capacity_Usage!B7=Setup!$B$8),1,0)</f>
        <v/>
      </c>
      <c r="F7" s="12">
        <f>SUMIFS(Capacity_Usage!$U$4:$U$17,Capacity_Usage!$C$4:$C$17,Capacity_Usage!C7)</f>
        <v/>
      </c>
      <c r="G7" s="32">
        <f>IFERROR(Capacity_Usage!S7/Capacity_Usage!R7,0)</f>
        <v/>
      </c>
      <c r="H7" s="32">
        <f>MIN(MAX(G7,0),1)</f>
        <v/>
      </c>
      <c r="I7" s="32">
        <f>IFERROR(Capacity_Usage!Q7/Capacity_Usage!O7,0)</f>
        <v/>
      </c>
      <c r="J7" s="32">
        <f>MIN(MAX(I7,0),1)</f>
        <v/>
      </c>
      <c r="K7" s="32">
        <f>IF(F7=0,Policy!$B$11,1-Capacity_Usage!U7/F7)</f>
        <v/>
      </c>
      <c r="L7" s="32">
        <f>MIN(MAX(K7,0),1)</f>
        <v/>
      </c>
      <c r="M7" s="32">
        <f>IFERROR(Capacity_Usage!T7/Policy!$B$14,0)</f>
        <v/>
      </c>
      <c r="N7" s="32">
        <f>MIN(MAX(M7,0),1)</f>
        <v/>
      </c>
      <c r="O7" s="32">
        <f>Capacity_Usage!E7/3</f>
        <v/>
      </c>
      <c r="P7" s="32">
        <f>MIN(MAX(O7,0),1)</f>
        <v/>
      </c>
      <c r="Q7" s="32">
        <f>Policy!$B$2*H7+Policy!$B$3*J7+Policy!$B$4*L7+Policy!$B$5*N7+Policy!$B$6*P7</f>
        <v/>
      </c>
      <c r="R7" s="12">
        <f>IF(AND(C7=1,D7=1,E7=1,A7&lt;&gt;Scoring_Prod!$U$3),Q7,-1)</f>
        <v/>
      </c>
      <c r="S7" s="12">
        <f>IF(R7&lt;0,"",COUNTIF($R$4:$R$17,"&gt;"&amp;R7)+1)</f>
        <v/>
      </c>
    </row>
    <row r="8">
      <c r="A8" s="12">
        <f>Capacity_Usage!B8</f>
        <v/>
      </c>
      <c r="B8" s="12">
        <f>Capacity_Usage!C8</f>
        <v/>
      </c>
      <c r="C8" s="12">
        <f>IF(Capacity_Usage!C8=Setup!$B$11,1,0)</f>
        <v/>
      </c>
      <c r="D8" s="12">
        <f>IF(HC_Gate!L8="YES",1,0)</f>
        <v/>
      </c>
      <c r="E8" s="12">
        <f>IF(OR(Capacity_Usage!V8="Standard",Capacity_Usage!B8=Setup!$B$8),1,0)</f>
        <v/>
      </c>
      <c r="F8" s="12">
        <f>SUMIFS(Capacity_Usage!$U$4:$U$17,Capacity_Usage!$C$4:$C$17,Capacity_Usage!C8)</f>
        <v/>
      </c>
      <c r="G8" s="32">
        <f>IFERROR(Capacity_Usage!S8/Capacity_Usage!R8,0)</f>
        <v/>
      </c>
      <c r="H8" s="32">
        <f>MIN(MAX(G8,0),1)</f>
        <v/>
      </c>
      <c r="I8" s="32">
        <f>IFERROR(Capacity_Usage!Q8/Capacity_Usage!O8,0)</f>
        <v/>
      </c>
      <c r="J8" s="32">
        <f>MIN(MAX(I8,0),1)</f>
        <v/>
      </c>
      <c r="K8" s="32">
        <f>IF(F8=0,Policy!$B$11,1-Capacity_Usage!U8/F8)</f>
        <v/>
      </c>
      <c r="L8" s="32">
        <f>MIN(MAX(K8,0),1)</f>
        <v/>
      </c>
      <c r="M8" s="32">
        <f>IFERROR(Capacity_Usage!T8/Policy!$B$14,0)</f>
        <v/>
      </c>
      <c r="N8" s="32">
        <f>MIN(MAX(M8,0),1)</f>
        <v/>
      </c>
      <c r="O8" s="32">
        <f>Capacity_Usage!E8/3</f>
        <v/>
      </c>
      <c r="P8" s="32">
        <f>MIN(MAX(O8,0),1)</f>
        <v/>
      </c>
      <c r="Q8" s="32">
        <f>Policy!$B$2*H8+Policy!$B$3*J8+Policy!$B$4*L8+Policy!$B$5*N8+Policy!$B$6*P8</f>
        <v/>
      </c>
      <c r="R8" s="12">
        <f>IF(AND(C8=1,D8=1,E8=1,A8&lt;&gt;Scoring_Prod!$U$3),Q8,-1)</f>
        <v/>
      </c>
      <c r="S8" s="12">
        <f>IF(R8&lt;0,"",COUNTIF($R$4:$R$17,"&gt;"&amp;R8)+1)</f>
        <v/>
      </c>
    </row>
    <row r="9">
      <c r="A9" s="12">
        <f>Capacity_Usage!B9</f>
        <v/>
      </c>
      <c r="B9" s="12">
        <f>Capacity_Usage!C9</f>
        <v/>
      </c>
      <c r="C9" s="12">
        <f>IF(Capacity_Usage!C9=Setup!$B$11,1,0)</f>
        <v/>
      </c>
      <c r="D9" s="12">
        <f>IF(HC_Gate!L9="YES",1,0)</f>
        <v/>
      </c>
      <c r="E9" s="12">
        <f>IF(OR(Capacity_Usage!V9="Standard",Capacity_Usage!B9=Setup!$B$8),1,0)</f>
        <v/>
      </c>
      <c r="F9" s="12">
        <f>SUMIFS(Capacity_Usage!$U$4:$U$17,Capacity_Usage!$C$4:$C$17,Capacity_Usage!C9)</f>
        <v/>
      </c>
      <c r="G9" s="32">
        <f>IFERROR(Capacity_Usage!S9/Capacity_Usage!R9,0)</f>
        <v/>
      </c>
      <c r="H9" s="32">
        <f>MIN(MAX(G9,0),1)</f>
        <v/>
      </c>
      <c r="I9" s="32">
        <f>IFERROR(Capacity_Usage!Q9/Capacity_Usage!O9,0)</f>
        <v/>
      </c>
      <c r="J9" s="32">
        <f>MIN(MAX(I9,0),1)</f>
        <v/>
      </c>
      <c r="K9" s="32">
        <f>IF(F9=0,Policy!$B$11,1-Capacity_Usage!U9/F9)</f>
        <v/>
      </c>
      <c r="L9" s="32">
        <f>MIN(MAX(K9,0),1)</f>
        <v/>
      </c>
      <c r="M9" s="32">
        <f>IFERROR(Capacity_Usage!T9/Policy!$B$14,0)</f>
        <v/>
      </c>
      <c r="N9" s="32">
        <f>MIN(MAX(M9,0),1)</f>
        <v/>
      </c>
      <c r="O9" s="32">
        <f>Capacity_Usage!E9/3</f>
        <v/>
      </c>
      <c r="P9" s="32">
        <f>MIN(MAX(O9,0),1)</f>
        <v/>
      </c>
      <c r="Q9" s="32">
        <f>Policy!$B$2*H9+Policy!$B$3*J9+Policy!$B$4*L9+Policy!$B$5*N9+Policy!$B$6*P9</f>
        <v/>
      </c>
      <c r="R9" s="12">
        <f>IF(AND(C9=1,D9=1,E9=1,A9&lt;&gt;Scoring_Prod!$U$3),Q9,-1)</f>
        <v/>
      </c>
      <c r="S9" s="12">
        <f>IF(R9&lt;0,"",COUNTIF($R$4:$R$17,"&gt;"&amp;R9)+1)</f>
        <v/>
      </c>
    </row>
    <row r="10">
      <c r="A10" s="12">
        <f>Capacity_Usage!B10</f>
        <v/>
      </c>
      <c r="B10" s="12">
        <f>Capacity_Usage!C10</f>
        <v/>
      </c>
      <c r="C10" s="12">
        <f>IF(Capacity_Usage!C10=Setup!$B$11,1,0)</f>
        <v/>
      </c>
      <c r="D10" s="12">
        <f>IF(HC_Gate!L10="YES",1,0)</f>
        <v/>
      </c>
      <c r="E10" s="12">
        <f>IF(OR(Capacity_Usage!V10="Standard",Capacity_Usage!B10=Setup!$B$8),1,0)</f>
        <v/>
      </c>
      <c r="F10" s="12">
        <f>SUMIFS(Capacity_Usage!$U$4:$U$17,Capacity_Usage!$C$4:$C$17,Capacity_Usage!C10)</f>
        <v/>
      </c>
      <c r="G10" s="32">
        <f>IFERROR(Capacity_Usage!S10/Capacity_Usage!R10,0)</f>
        <v/>
      </c>
      <c r="H10" s="32">
        <f>MIN(MAX(G10,0),1)</f>
        <v/>
      </c>
      <c r="I10" s="32">
        <f>IFERROR(Capacity_Usage!Q10/Capacity_Usage!O10,0)</f>
        <v/>
      </c>
      <c r="J10" s="32">
        <f>MIN(MAX(I10,0),1)</f>
        <v/>
      </c>
      <c r="K10" s="32">
        <f>IF(F10=0,Policy!$B$11,1-Capacity_Usage!U10/F10)</f>
        <v/>
      </c>
      <c r="L10" s="32">
        <f>MIN(MAX(K10,0),1)</f>
        <v/>
      </c>
      <c r="M10" s="32">
        <f>IFERROR(Capacity_Usage!T10/Policy!$B$14,0)</f>
        <v/>
      </c>
      <c r="N10" s="32">
        <f>MIN(MAX(M10,0),1)</f>
        <v/>
      </c>
      <c r="O10" s="32">
        <f>Capacity_Usage!E10/3</f>
        <v/>
      </c>
      <c r="P10" s="32">
        <f>MIN(MAX(O10,0),1)</f>
        <v/>
      </c>
      <c r="Q10" s="32">
        <f>Policy!$B$2*H10+Policy!$B$3*J10+Policy!$B$4*L10+Policy!$B$5*N10+Policy!$B$6*P10</f>
        <v/>
      </c>
      <c r="R10" s="12">
        <f>IF(AND(C10=1,D10=1,E10=1,A10&lt;&gt;Scoring_Prod!$U$3),Q10,-1)</f>
        <v/>
      </c>
      <c r="S10" s="12">
        <f>IF(R10&lt;0,"",COUNTIF($R$4:$R$17,"&gt;"&amp;R10)+1)</f>
        <v/>
      </c>
    </row>
    <row r="11">
      <c r="A11" s="12">
        <f>Capacity_Usage!B11</f>
        <v/>
      </c>
      <c r="B11" s="12">
        <f>Capacity_Usage!C11</f>
        <v/>
      </c>
      <c r="C11" s="12">
        <f>IF(Capacity_Usage!C11=Setup!$B$11,1,0)</f>
        <v/>
      </c>
      <c r="D11" s="12">
        <f>IF(HC_Gate!L11="YES",1,0)</f>
        <v/>
      </c>
      <c r="E11" s="12">
        <f>IF(OR(Capacity_Usage!V11="Standard",Capacity_Usage!B11=Setup!$B$8),1,0)</f>
        <v/>
      </c>
      <c r="F11" s="12">
        <f>SUMIFS(Capacity_Usage!$U$4:$U$17,Capacity_Usage!$C$4:$C$17,Capacity_Usage!C11)</f>
        <v/>
      </c>
      <c r="G11" s="32">
        <f>IFERROR(Capacity_Usage!S11/Capacity_Usage!R11,0)</f>
        <v/>
      </c>
      <c r="H11" s="32">
        <f>MIN(MAX(G11,0),1)</f>
        <v/>
      </c>
      <c r="I11" s="32">
        <f>IFERROR(Capacity_Usage!Q11/Capacity_Usage!O11,0)</f>
        <v/>
      </c>
      <c r="J11" s="32">
        <f>MIN(MAX(I11,0),1)</f>
        <v/>
      </c>
      <c r="K11" s="32">
        <f>IF(F11=0,Policy!$B$11,1-Capacity_Usage!U11/F11)</f>
        <v/>
      </c>
      <c r="L11" s="32">
        <f>MIN(MAX(K11,0),1)</f>
        <v/>
      </c>
      <c r="M11" s="32">
        <f>IFERROR(Capacity_Usage!T11/Policy!$B$14,0)</f>
        <v/>
      </c>
      <c r="N11" s="32">
        <f>MIN(MAX(M11,0),1)</f>
        <v/>
      </c>
      <c r="O11" s="32">
        <f>Capacity_Usage!E11/3</f>
        <v/>
      </c>
      <c r="P11" s="32">
        <f>MIN(MAX(O11,0),1)</f>
        <v/>
      </c>
      <c r="Q11" s="32">
        <f>Policy!$B$2*H11+Policy!$B$3*J11+Policy!$B$4*L11+Policy!$B$5*N11+Policy!$B$6*P11</f>
        <v/>
      </c>
      <c r="R11" s="12">
        <f>IF(AND(C11=1,D11=1,E11=1,A11&lt;&gt;Scoring_Prod!$U$3),Q11,-1)</f>
        <v/>
      </c>
      <c r="S11" s="12">
        <f>IF(R11&lt;0,"",COUNTIF($R$4:$R$17,"&gt;"&amp;R11)+1)</f>
        <v/>
      </c>
    </row>
    <row r="12">
      <c r="A12" s="12">
        <f>Capacity_Usage!B12</f>
        <v/>
      </c>
      <c r="B12" s="12">
        <f>Capacity_Usage!C12</f>
        <v/>
      </c>
      <c r="C12" s="12">
        <f>IF(Capacity_Usage!C12=Setup!$B$11,1,0)</f>
        <v/>
      </c>
      <c r="D12" s="12">
        <f>IF(HC_Gate!L12="YES",1,0)</f>
        <v/>
      </c>
      <c r="E12" s="12">
        <f>IF(OR(Capacity_Usage!V12="Standard",Capacity_Usage!B12=Setup!$B$8),1,0)</f>
        <v/>
      </c>
      <c r="F12" s="12">
        <f>SUMIFS(Capacity_Usage!$U$4:$U$17,Capacity_Usage!$C$4:$C$17,Capacity_Usage!C12)</f>
        <v/>
      </c>
      <c r="G12" s="32">
        <f>IFERROR(Capacity_Usage!S12/Capacity_Usage!R12,0)</f>
        <v/>
      </c>
      <c r="H12" s="32">
        <f>MIN(MAX(G12,0),1)</f>
        <v/>
      </c>
      <c r="I12" s="32">
        <f>IFERROR(Capacity_Usage!Q12/Capacity_Usage!O12,0)</f>
        <v/>
      </c>
      <c r="J12" s="32">
        <f>MIN(MAX(I12,0),1)</f>
        <v/>
      </c>
      <c r="K12" s="32">
        <f>IF(F12=0,Policy!$B$11,1-Capacity_Usage!U12/F12)</f>
        <v/>
      </c>
      <c r="L12" s="32">
        <f>MIN(MAX(K12,0),1)</f>
        <v/>
      </c>
      <c r="M12" s="32">
        <f>IFERROR(Capacity_Usage!T12/Policy!$B$14,0)</f>
        <v/>
      </c>
      <c r="N12" s="32">
        <f>MIN(MAX(M12,0),1)</f>
        <v/>
      </c>
      <c r="O12" s="32">
        <f>Capacity_Usage!E12/3</f>
        <v/>
      </c>
      <c r="P12" s="32">
        <f>MIN(MAX(O12,0),1)</f>
        <v/>
      </c>
      <c r="Q12" s="32">
        <f>Policy!$B$2*H12+Policy!$B$3*J12+Policy!$B$4*L12+Policy!$B$5*N12+Policy!$B$6*P12</f>
        <v/>
      </c>
      <c r="R12" s="12">
        <f>IF(AND(C12=1,D12=1,E12=1,A12&lt;&gt;Scoring_Prod!$U$3),Q12,-1)</f>
        <v/>
      </c>
      <c r="S12" s="12">
        <f>IF(R12&lt;0,"",COUNTIF($R$4:$R$17,"&gt;"&amp;R12)+1)</f>
        <v/>
      </c>
    </row>
    <row r="13">
      <c r="A13" s="12">
        <f>Capacity_Usage!B13</f>
        <v/>
      </c>
      <c r="B13" s="12">
        <f>Capacity_Usage!C13</f>
        <v/>
      </c>
      <c r="C13" s="12">
        <f>IF(Capacity_Usage!C13=Setup!$B$11,1,0)</f>
        <v/>
      </c>
      <c r="D13" s="12">
        <f>IF(HC_Gate!L13="YES",1,0)</f>
        <v/>
      </c>
      <c r="E13" s="12">
        <f>IF(OR(Capacity_Usage!V13="Standard",Capacity_Usage!B13=Setup!$B$8),1,0)</f>
        <v/>
      </c>
      <c r="F13" s="12">
        <f>SUMIFS(Capacity_Usage!$U$4:$U$17,Capacity_Usage!$C$4:$C$17,Capacity_Usage!C13)</f>
        <v/>
      </c>
      <c r="G13" s="32">
        <f>IFERROR(Capacity_Usage!S13/Capacity_Usage!R13,0)</f>
        <v/>
      </c>
      <c r="H13" s="32">
        <f>MIN(MAX(G13,0),1)</f>
        <v/>
      </c>
      <c r="I13" s="32">
        <f>IFERROR(Capacity_Usage!Q13/Capacity_Usage!O13,0)</f>
        <v/>
      </c>
      <c r="J13" s="32">
        <f>MIN(MAX(I13,0),1)</f>
        <v/>
      </c>
      <c r="K13" s="32">
        <f>IF(F13=0,Policy!$B$11,1-Capacity_Usage!U13/F13)</f>
        <v/>
      </c>
      <c r="L13" s="32">
        <f>MIN(MAX(K13,0),1)</f>
        <v/>
      </c>
      <c r="M13" s="32">
        <f>IFERROR(Capacity_Usage!T13/Policy!$B$14,0)</f>
        <v/>
      </c>
      <c r="N13" s="32">
        <f>MIN(MAX(M13,0),1)</f>
        <v/>
      </c>
      <c r="O13" s="32">
        <f>Capacity_Usage!E13/3</f>
        <v/>
      </c>
      <c r="P13" s="32">
        <f>MIN(MAX(O13,0),1)</f>
        <v/>
      </c>
      <c r="Q13" s="32">
        <f>Policy!$B$2*H13+Policy!$B$3*J13+Policy!$B$4*L13+Policy!$B$5*N13+Policy!$B$6*P13</f>
        <v/>
      </c>
      <c r="R13" s="12">
        <f>IF(AND(C13=1,D13=1,E13=1,A13&lt;&gt;Scoring_Prod!$U$3),Q13,-1)</f>
        <v/>
      </c>
      <c r="S13" s="12">
        <f>IF(R13&lt;0,"",COUNTIF($R$4:$R$17,"&gt;"&amp;R13)+1)</f>
        <v/>
      </c>
    </row>
    <row r="14">
      <c r="A14" s="12">
        <f>Capacity_Usage!B14</f>
        <v/>
      </c>
      <c r="B14" s="12">
        <f>Capacity_Usage!C14</f>
        <v/>
      </c>
      <c r="C14" s="12">
        <f>IF(Capacity_Usage!C14=Setup!$B$11,1,0)</f>
        <v/>
      </c>
      <c r="D14" s="12">
        <f>IF(HC_Gate!L14="YES",1,0)</f>
        <v/>
      </c>
      <c r="E14" s="12">
        <f>IF(OR(Capacity_Usage!V14="Standard",Capacity_Usage!B14=Setup!$B$8),1,0)</f>
        <v/>
      </c>
      <c r="F14" s="12">
        <f>SUMIFS(Capacity_Usage!$U$4:$U$17,Capacity_Usage!$C$4:$C$17,Capacity_Usage!C14)</f>
        <v/>
      </c>
      <c r="G14" s="32">
        <f>IFERROR(Capacity_Usage!S14/Capacity_Usage!R14,0)</f>
        <v/>
      </c>
      <c r="H14" s="32">
        <f>MIN(MAX(G14,0),1)</f>
        <v/>
      </c>
      <c r="I14" s="32">
        <f>IFERROR(Capacity_Usage!Q14/Capacity_Usage!O14,0)</f>
        <v/>
      </c>
      <c r="J14" s="32">
        <f>MIN(MAX(I14,0),1)</f>
        <v/>
      </c>
      <c r="K14" s="32">
        <f>IF(F14=0,Policy!$B$11,1-Capacity_Usage!U14/F14)</f>
        <v/>
      </c>
      <c r="L14" s="32">
        <f>MIN(MAX(K14,0),1)</f>
        <v/>
      </c>
      <c r="M14" s="32">
        <f>IFERROR(Capacity_Usage!T14/Policy!$B$14,0)</f>
        <v/>
      </c>
      <c r="N14" s="32">
        <f>MIN(MAX(M14,0),1)</f>
        <v/>
      </c>
      <c r="O14" s="32">
        <f>Capacity_Usage!E14/3</f>
        <v/>
      </c>
      <c r="P14" s="32">
        <f>MIN(MAX(O14,0),1)</f>
        <v/>
      </c>
      <c r="Q14" s="32">
        <f>Policy!$B$2*H14+Policy!$B$3*J14+Policy!$B$4*L14+Policy!$B$5*N14+Policy!$B$6*P14</f>
        <v/>
      </c>
      <c r="R14" s="12">
        <f>IF(AND(C14=1,D14=1,E14=1,A14&lt;&gt;Scoring_Prod!$U$3),Q14,-1)</f>
        <v/>
      </c>
      <c r="S14" s="12">
        <f>IF(R14&lt;0,"",COUNTIF($R$4:$R$17,"&gt;"&amp;R14)+1)</f>
        <v/>
      </c>
    </row>
    <row r="15">
      <c r="A15" s="12">
        <f>Capacity_Usage!B15</f>
        <v/>
      </c>
      <c r="B15" s="12">
        <f>Capacity_Usage!C15</f>
        <v/>
      </c>
      <c r="C15" s="12">
        <f>IF(Capacity_Usage!C15=Setup!$B$11,1,0)</f>
        <v/>
      </c>
      <c r="D15" s="12">
        <f>IF(HC_Gate!L15="YES",1,0)</f>
        <v/>
      </c>
      <c r="E15" s="12">
        <f>IF(OR(Capacity_Usage!V15="Standard",Capacity_Usage!B15=Setup!$B$8),1,0)</f>
        <v/>
      </c>
      <c r="F15" s="12">
        <f>SUMIFS(Capacity_Usage!$U$4:$U$17,Capacity_Usage!$C$4:$C$17,Capacity_Usage!C15)</f>
        <v/>
      </c>
      <c r="G15" s="32">
        <f>IFERROR(Capacity_Usage!S15/Capacity_Usage!R15,0)</f>
        <v/>
      </c>
      <c r="H15" s="32">
        <f>MIN(MAX(G15,0),1)</f>
        <v/>
      </c>
      <c r="I15" s="32">
        <f>IFERROR(Capacity_Usage!Q15/Capacity_Usage!O15,0)</f>
        <v/>
      </c>
      <c r="J15" s="32">
        <f>MIN(MAX(I15,0),1)</f>
        <v/>
      </c>
      <c r="K15" s="32">
        <f>IF(F15=0,Policy!$B$11,1-Capacity_Usage!U15/F15)</f>
        <v/>
      </c>
      <c r="L15" s="32">
        <f>MIN(MAX(K15,0),1)</f>
        <v/>
      </c>
      <c r="M15" s="32">
        <f>IFERROR(Capacity_Usage!T15/Policy!$B$14,0)</f>
        <v/>
      </c>
      <c r="N15" s="32">
        <f>MIN(MAX(M15,0),1)</f>
        <v/>
      </c>
      <c r="O15" s="32">
        <f>Capacity_Usage!E15/3</f>
        <v/>
      </c>
      <c r="P15" s="32">
        <f>MIN(MAX(O15,0),1)</f>
        <v/>
      </c>
      <c r="Q15" s="32">
        <f>Policy!$B$2*H15+Policy!$B$3*J15+Policy!$B$4*L15+Policy!$B$5*N15+Policy!$B$6*P15</f>
        <v/>
      </c>
      <c r="R15" s="12">
        <f>IF(AND(C15=1,D15=1,E15=1,A15&lt;&gt;Scoring_Prod!$U$3),Q15,-1)</f>
        <v/>
      </c>
      <c r="S15" s="12">
        <f>IF(R15&lt;0,"",COUNTIF($R$4:$R$17,"&gt;"&amp;R15)+1)</f>
        <v/>
      </c>
    </row>
    <row r="16">
      <c r="A16" s="12">
        <f>Capacity_Usage!B16</f>
        <v/>
      </c>
      <c r="B16" s="12">
        <f>Capacity_Usage!C16</f>
        <v/>
      </c>
      <c r="C16" s="12">
        <f>IF(Capacity_Usage!C16=Setup!$B$11,1,0)</f>
        <v/>
      </c>
      <c r="D16" s="12">
        <f>IF(HC_Gate!L16="YES",1,0)</f>
        <v/>
      </c>
      <c r="E16" s="12">
        <f>IF(OR(Capacity_Usage!V16="Standard",Capacity_Usage!B16=Setup!$B$8),1,0)</f>
        <v/>
      </c>
      <c r="F16" s="12">
        <f>SUMIFS(Capacity_Usage!$U$4:$U$17,Capacity_Usage!$C$4:$C$17,Capacity_Usage!C16)</f>
        <v/>
      </c>
      <c r="G16" s="32">
        <f>IFERROR(Capacity_Usage!S16/Capacity_Usage!R16,0)</f>
        <v/>
      </c>
      <c r="H16" s="32">
        <f>MIN(MAX(G16,0),1)</f>
        <v/>
      </c>
      <c r="I16" s="32">
        <f>IFERROR(Capacity_Usage!Q16/Capacity_Usage!O16,0)</f>
        <v/>
      </c>
      <c r="J16" s="32">
        <f>MIN(MAX(I16,0),1)</f>
        <v/>
      </c>
      <c r="K16" s="32">
        <f>IF(F16=0,Policy!$B$11,1-Capacity_Usage!U16/F16)</f>
        <v/>
      </c>
      <c r="L16" s="32">
        <f>MIN(MAX(K16,0),1)</f>
        <v/>
      </c>
      <c r="M16" s="32">
        <f>IFERROR(Capacity_Usage!T16/Policy!$B$14,0)</f>
        <v/>
      </c>
      <c r="N16" s="32">
        <f>MIN(MAX(M16,0),1)</f>
        <v/>
      </c>
      <c r="O16" s="32">
        <f>Capacity_Usage!E16/3</f>
        <v/>
      </c>
      <c r="P16" s="32">
        <f>MIN(MAX(O16,0),1)</f>
        <v/>
      </c>
      <c r="Q16" s="32">
        <f>Policy!$B$2*H16+Policy!$B$3*J16+Policy!$B$4*L16+Policy!$B$5*N16+Policy!$B$6*P16</f>
        <v/>
      </c>
      <c r="R16" s="12">
        <f>IF(AND(C16=1,D16=1,E16=1,A16&lt;&gt;Scoring_Prod!$U$3),Q16,-1)</f>
        <v/>
      </c>
      <c r="S16" s="12">
        <f>IF(R16&lt;0,"",COUNTIF($R$4:$R$17,"&gt;"&amp;R16)+1)</f>
        <v/>
      </c>
    </row>
    <row r="17">
      <c r="A17" s="12">
        <f>Capacity_Usage!B17</f>
        <v/>
      </c>
      <c r="B17" s="12">
        <f>Capacity_Usage!C17</f>
        <v/>
      </c>
      <c r="C17" s="12">
        <f>IF(Capacity_Usage!C17=Setup!$B$11,1,0)</f>
        <v/>
      </c>
      <c r="D17" s="12">
        <f>IF(HC_Gate!L17="YES",1,0)</f>
        <v/>
      </c>
      <c r="E17" s="12">
        <f>IF(OR(Capacity_Usage!V17="Standard",Capacity_Usage!B17=Setup!$B$8),1,0)</f>
        <v/>
      </c>
      <c r="F17" s="12">
        <f>SUMIFS(Capacity_Usage!$U$4:$U$17,Capacity_Usage!$C$4:$C$17,Capacity_Usage!C17)</f>
        <v/>
      </c>
      <c r="G17" s="32">
        <f>IFERROR(Capacity_Usage!S17/Capacity_Usage!R17,0)</f>
        <v/>
      </c>
      <c r="H17" s="32">
        <f>MIN(MAX(G17,0),1)</f>
        <v/>
      </c>
      <c r="I17" s="32">
        <f>IFERROR(Capacity_Usage!Q17/Capacity_Usage!O17,0)</f>
        <v/>
      </c>
      <c r="J17" s="32">
        <f>MIN(MAX(I17,0),1)</f>
        <v/>
      </c>
      <c r="K17" s="32">
        <f>IF(F17=0,Policy!$B$11,1-Capacity_Usage!U17/F17)</f>
        <v/>
      </c>
      <c r="L17" s="32">
        <f>MIN(MAX(K17,0),1)</f>
        <v/>
      </c>
      <c r="M17" s="32">
        <f>IFERROR(Capacity_Usage!T17/Policy!$B$14,0)</f>
        <v/>
      </c>
      <c r="N17" s="32">
        <f>MIN(MAX(M17,0),1)</f>
        <v/>
      </c>
      <c r="O17" s="32">
        <f>Capacity_Usage!E17/3</f>
        <v/>
      </c>
      <c r="P17" s="32">
        <f>MIN(MAX(O17,0),1)</f>
        <v/>
      </c>
      <c r="Q17" s="32">
        <f>Policy!$B$2*H17+Policy!$B$3*J17+Policy!$B$4*L17+Policy!$B$5*N17+Policy!$B$6*P17</f>
        <v/>
      </c>
      <c r="R17" s="12">
        <f>IF(AND(C17=1,D17=1,E17=1,A17&lt;&gt;Scoring_Prod!$U$3),Q17,-1)</f>
        <v/>
      </c>
      <c r="S17" s="12">
        <f>IF(R17&lt;0,"",COUNTIF($R$4:$R$17,"&gt;"&amp;R17)+1)</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9"/>
  <sheetViews>
    <sheetView showGridLines="0" workbookViewId="0">
      <selection activeCell="A1" sqref="A1"/>
    </sheetView>
  </sheetViews>
  <sheetFormatPr baseColWidth="8" defaultRowHeight="15"/>
  <cols>
    <col width="26" customWidth="1" min="1" max="1"/>
    <col width="28" customWidth="1" min="2" max="2"/>
    <col width="14" customWidth="1" min="3" max="3"/>
    <col width="4" customWidth="1" min="4" max="4"/>
    <col width="30" customWidth="1" min="5" max="5"/>
    <col width="16" customWidth="1" min="6" max="6"/>
    <col width="6" customWidth="1" min="8" max="8"/>
    <col width="20" customWidth="1" min="9" max="9"/>
    <col width="8" customWidth="1" min="10" max="10"/>
    <col width="6" customWidth="1" min="11" max="11"/>
    <col width="20" customWidth="1" min="12" max="12"/>
    <col width="8" customWidth="1" min="13" max="13"/>
    <col width="6" customWidth="1" min="14" max="14"/>
    <col width="20" customWidth="1" min="15" max="15"/>
    <col width="8" customWidth="1" min="16" max="16"/>
  </cols>
  <sheetData>
    <row r="1">
      <c r="A1" s="9" t="inlineStr">
        <is>
          <t>RESULT — Region Selection (What-If, ACRME catalogue)</t>
        </is>
      </c>
    </row>
    <row r="3">
      <c r="A3" s="15" t="inlineStr">
        <is>
          <t>Customer ID</t>
        </is>
      </c>
      <c r="B3" s="12">
        <f>Setup!B9</f>
        <v/>
      </c>
      <c r="E3" s="31" t="inlineStr">
        <is>
          <t>DR SIZING (max-not-sum, A.6 / DR-017)</t>
        </is>
      </c>
      <c r="H3" s="34" t="inlineStr">
        <is>
          <t>RANKED CANDIDATE REGIONS  (Rank 1 = highest PS; blank = not a candidate for this mode)</t>
        </is>
      </c>
    </row>
    <row r="4">
      <c r="A4" s="15" t="inlineStr">
        <is>
          <t>Geography</t>
        </is>
      </c>
      <c r="B4" s="12">
        <f>Setup!B3</f>
        <v/>
      </c>
      <c r="H4" s="23" t="inlineStr">
        <is>
          <t>Prod</t>
        </is>
      </c>
      <c r="K4" s="23" t="inlineStr">
        <is>
          <t>CVAL</t>
        </is>
      </c>
      <c r="N4" s="23" t="inlineStr">
        <is>
          <t>DR</t>
        </is>
      </c>
    </row>
    <row r="5">
      <c r="A5" s="15" t="inlineStr">
        <is>
          <t>SKU</t>
        </is>
      </c>
      <c r="B5" s="12">
        <f>Setup!B4</f>
        <v/>
      </c>
      <c r="E5" s="15" t="inlineStr">
        <is>
          <t>DR region</t>
        </is>
      </c>
      <c r="F5" s="12">
        <f>B11</f>
        <v/>
      </c>
      <c r="H5" s="11" t="inlineStr">
        <is>
          <t>Rank</t>
        </is>
      </c>
      <c r="I5" s="11" t="inlineStr">
        <is>
          <t>Region</t>
        </is>
      </c>
      <c r="J5" s="11" t="inlineStr">
        <is>
          <t>PS</t>
        </is>
      </c>
      <c r="K5" s="11" t="inlineStr">
        <is>
          <t>Rank</t>
        </is>
      </c>
      <c r="L5" s="11" t="inlineStr">
        <is>
          <t>Region</t>
        </is>
      </c>
      <c r="M5" s="11" t="inlineStr">
        <is>
          <t>PS</t>
        </is>
      </c>
      <c r="N5" s="11" t="inlineStr">
        <is>
          <t>Rank</t>
        </is>
      </c>
      <c r="O5" s="11" t="inlineStr">
        <is>
          <t>Region</t>
        </is>
      </c>
      <c r="P5" s="11" t="inlineStr">
        <is>
          <t>PS</t>
        </is>
      </c>
    </row>
    <row r="6">
      <c r="A6" s="15" t="inlineStr">
        <is>
          <t>Requested vCPU</t>
        </is>
      </c>
      <c r="B6" s="12">
        <f>Setup!B7</f>
        <v/>
      </c>
      <c r="E6" s="15" t="inlineStr">
        <is>
          <t>Max source customers</t>
        </is>
      </c>
      <c r="F6" s="12">
        <f>SUMPRODUCT(MAX((Capacity_Usage!$C$4:$C$17=Setup!$B$11)*Capacity_Usage!$U$4:$U$17))</f>
        <v/>
      </c>
      <c r="H6" s="12">
        <f>IFERROR(IF(INDEX(Scoring_Prod!$S$4:$S$17,MATCH(1,Scoring_Prod!$S$4:$S$17,0))="","",1),"")</f>
        <v/>
      </c>
      <c r="I6" s="12">
        <f>IFERROR(INDEX(Scoring_Prod!$A$4:$A$17,MATCH(1,Scoring_Prod!$S$4:$S$17,0)),"")</f>
        <v/>
      </c>
      <c r="J6" s="32">
        <f>IFERROR(INDEX(Scoring_Prod!$Q$4:$Q$17,MATCH(1,Scoring_Prod!$S$4:$S$17,0)),"")</f>
        <v/>
      </c>
      <c r="K6" s="12">
        <f>IFERROR(IF(INDEX(Scoring_CVAL!$S$4:$S$17,MATCH(1,Scoring_CVAL!$S$4:$S$17,0))="","",1),"")</f>
        <v/>
      </c>
      <c r="L6" s="12">
        <f>IFERROR(INDEX(Scoring_CVAL!$A$4:$A$17,MATCH(1,Scoring_CVAL!$S$4:$S$17,0)),"")</f>
        <v/>
      </c>
      <c r="M6" s="32">
        <f>IFERROR(INDEX(Scoring_CVAL!$Q$4:$Q$17,MATCH(1,Scoring_CVAL!$S$4:$S$17,0)),"")</f>
        <v/>
      </c>
      <c r="N6" s="12">
        <f>IFERROR(IF(INDEX(Scoring_DR!$S$4:$S$17,MATCH(1,Scoring_DR!$S$4:$S$17,0))="","",1),"")</f>
        <v/>
      </c>
      <c r="O6" s="12">
        <f>IFERROR(INDEX(Scoring_DR!$A$4:$A$17,MATCH(1,Scoring_DR!$S$4:$S$17,0)),"")</f>
        <v/>
      </c>
      <c r="P6" s="32">
        <f>IFERROR(INDEX(Scoring_DR!$Q$4:$Q$17,MATCH(1,Scoring_DR!$S$4:$S$17,0)),"")</f>
        <v/>
      </c>
    </row>
    <row r="7">
      <c r="E7" s="15" t="inlineStr">
        <is>
          <t>× Requested vCPU</t>
        </is>
      </c>
      <c r="F7" s="12">
        <f>Setup!B7</f>
        <v/>
      </c>
      <c r="H7" s="12">
        <f>IFERROR(IF(INDEX(Scoring_Prod!$S$4:$S$17,MATCH(2,Scoring_Prod!$S$4:$S$17,0))="","",2),"")</f>
        <v/>
      </c>
      <c r="I7" s="12">
        <f>IFERROR(INDEX(Scoring_Prod!$A$4:$A$17,MATCH(2,Scoring_Prod!$S$4:$S$17,0)),"")</f>
        <v/>
      </c>
      <c r="J7" s="32">
        <f>IFERROR(INDEX(Scoring_Prod!$Q$4:$Q$17,MATCH(2,Scoring_Prod!$S$4:$S$17,0)),"")</f>
        <v/>
      </c>
      <c r="K7" s="12">
        <f>IFERROR(IF(INDEX(Scoring_CVAL!$S$4:$S$17,MATCH(2,Scoring_CVAL!$S$4:$S$17,0))="","",2),"")</f>
        <v/>
      </c>
      <c r="L7" s="12">
        <f>IFERROR(INDEX(Scoring_CVAL!$A$4:$A$17,MATCH(2,Scoring_CVAL!$S$4:$S$17,0)),"")</f>
        <v/>
      </c>
      <c r="M7" s="32">
        <f>IFERROR(INDEX(Scoring_CVAL!$Q$4:$Q$17,MATCH(2,Scoring_CVAL!$S$4:$S$17,0)),"")</f>
        <v/>
      </c>
      <c r="N7" s="12">
        <f>IFERROR(IF(INDEX(Scoring_DR!$S$4:$S$17,MATCH(2,Scoring_DR!$S$4:$S$17,0))="","",2),"")</f>
        <v/>
      </c>
      <c r="O7" s="12">
        <f>IFERROR(INDEX(Scoring_DR!$A$4:$A$17,MATCH(2,Scoring_DR!$S$4:$S$17,0)),"")</f>
        <v/>
      </c>
      <c r="P7" s="32">
        <f>IFERROR(INDEX(Scoring_DR!$Q$4:$Q$17,MATCH(2,Scoring_DR!$S$4:$S$17,0)),"")</f>
        <v/>
      </c>
    </row>
    <row r="8">
      <c r="A8" s="11" t="inlineStr">
        <is>
          <t>Environment</t>
        </is>
      </c>
      <c r="B8" s="11" t="inlineStr">
        <is>
          <t>Region</t>
        </is>
      </c>
      <c r="C8" s="11" t="inlineStr">
        <is>
          <t>Score</t>
        </is>
      </c>
      <c r="E8" s="15" t="inlineStr">
        <is>
          <t>DR Requirement (max-not-sum)</t>
        </is>
      </c>
      <c r="F8" s="35">
        <f>F6*F7</f>
        <v/>
      </c>
      <c r="H8" s="12">
        <f>IFERROR(IF(INDEX(Scoring_Prod!$S$4:$S$17,MATCH(3,Scoring_Prod!$S$4:$S$17,0))="","",3),"")</f>
        <v/>
      </c>
      <c r="I8" s="12">
        <f>IFERROR(INDEX(Scoring_Prod!$A$4:$A$17,MATCH(3,Scoring_Prod!$S$4:$S$17,0)),"")</f>
        <v/>
      </c>
      <c r="J8" s="32">
        <f>IFERROR(INDEX(Scoring_Prod!$Q$4:$Q$17,MATCH(3,Scoring_Prod!$S$4:$S$17,0)),"")</f>
        <v/>
      </c>
      <c r="K8" s="12">
        <f>IFERROR(IF(INDEX(Scoring_CVAL!$S$4:$S$17,MATCH(3,Scoring_CVAL!$S$4:$S$17,0))="","",3),"")</f>
        <v/>
      </c>
      <c r="L8" s="12">
        <f>IFERROR(INDEX(Scoring_CVAL!$A$4:$A$17,MATCH(3,Scoring_CVAL!$S$4:$S$17,0)),"")</f>
        <v/>
      </c>
      <c r="M8" s="32">
        <f>IFERROR(INDEX(Scoring_CVAL!$Q$4:$Q$17,MATCH(3,Scoring_CVAL!$S$4:$S$17,0)),"")</f>
        <v/>
      </c>
      <c r="N8" s="12">
        <f>IFERROR(IF(INDEX(Scoring_DR!$S$4:$S$17,MATCH(3,Scoring_DR!$S$4:$S$17,0))="","",3),"")</f>
        <v/>
      </c>
      <c r="O8" s="12">
        <f>IFERROR(INDEX(Scoring_DR!$A$4:$A$17,MATCH(3,Scoring_DR!$S$4:$S$17,0)),"")</f>
        <v/>
      </c>
      <c r="P8" s="32">
        <f>IFERROR(INDEX(Scoring_DR!$Q$4:$Q$17,MATCH(3,Scoring_DR!$S$4:$S$17,0)),"")</f>
        <v/>
      </c>
    </row>
    <row r="9">
      <c r="A9" s="15" t="inlineStr">
        <is>
          <t>Prod</t>
        </is>
      </c>
      <c r="B9" s="12">
        <f>Scoring_Prod!U3</f>
        <v/>
      </c>
      <c r="C9" s="32">
        <f>Scoring_Prod!U4</f>
        <v/>
      </c>
      <c r="E9" s="15" t="inlineStr">
        <is>
          <t>DR Reserved (region)</t>
        </is>
      </c>
      <c r="F9" s="12">
        <f>IFERROR(INDEX(Capacity_Usage!$R$4:$R$17,MATCH(B11,Capacity_Usage!$B$4:$B$17,0)),0)</f>
        <v/>
      </c>
      <c r="H9" s="12">
        <f>IFERROR(IF(INDEX(Scoring_Prod!$S$4:$S$17,MATCH(4,Scoring_Prod!$S$4:$S$17,0))="","",4),"")</f>
        <v/>
      </c>
      <c r="I9" s="12">
        <f>IFERROR(INDEX(Scoring_Prod!$A$4:$A$17,MATCH(4,Scoring_Prod!$S$4:$S$17,0)),"")</f>
        <v/>
      </c>
      <c r="J9" s="32">
        <f>IFERROR(INDEX(Scoring_Prod!$Q$4:$Q$17,MATCH(4,Scoring_Prod!$S$4:$S$17,0)),"")</f>
        <v/>
      </c>
      <c r="K9" s="12">
        <f>IFERROR(IF(INDEX(Scoring_CVAL!$S$4:$S$17,MATCH(4,Scoring_CVAL!$S$4:$S$17,0))="","",4),"")</f>
        <v/>
      </c>
      <c r="L9" s="12">
        <f>IFERROR(INDEX(Scoring_CVAL!$A$4:$A$17,MATCH(4,Scoring_CVAL!$S$4:$S$17,0)),"")</f>
        <v/>
      </c>
      <c r="M9" s="32">
        <f>IFERROR(INDEX(Scoring_CVAL!$Q$4:$Q$17,MATCH(4,Scoring_CVAL!$S$4:$S$17,0)),"")</f>
        <v/>
      </c>
      <c r="N9" s="12">
        <f>IFERROR(IF(INDEX(Scoring_DR!$S$4:$S$17,MATCH(4,Scoring_DR!$S$4:$S$17,0))="","",4),"")</f>
        <v/>
      </c>
      <c r="O9" s="12">
        <f>IFERROR(INDEX(Scoring_DR!$A$4:$A$17,MATCH(4,Scoring_DR!$S$4:$S$17,0)),"")</f>
        <v/>
      </c>
      <c r="P9" s="32">
        <f>IFERROR(INDEX(Scoring_DR!$Q$4:$Q$17,MATCH(4,Scoring_DR!$S$4:$S$17,0)),"")</f>
        <v/>
      </c>
    </row>
    <row r="10">
      <c r="A10" s="15" t="inlineStr">
        <is>
          <t>CVAL</t>
        </is>
      </c>
      <c r="B10" s="12">
        <f>Scoring_CVAL!U2</f>
        <v/>
      </c>
      <c r="C10" s="32">
        <f>Scoring_CVAL!U3</f>
        <v/>
      </c>
      <c r="E10" s="15" t="inlineStr">
        <is>
          <t>DR Gap</t>
        </is>
      </c>
      <c r="F10" s="12">
        <f>MAX(0,F8-F9)</f>
        <v/>
      </c>
      <c r="H10" s="12">
        <f>IFERROR(IF(INDEX(Scoring_Prod!$S$4:$S$17,MATCH(5,Scoring_Prod!$S$4:$S$17,0))="","",5),"")</f>
        <v/>
      </c>
      <c r="I10" s="12">
        <f>IFERROR(INDEX(Scoring_Prod!$A$4:$A$17,MATCH(5,Scoring_Prod!$S$4:$S$17,0)),"")</f>
        <v/>
      </c>
      <c r="J10" s="32">
        <f>IFERROR(INDEX(Scoring_Prod!$Q$4:$Q$17,MATCH(5,Scoring_Prod!$S$4:$S$17,0)),"")</f>
        <v/>
      </c>
      <c r="K10" s="12">
        <f>IFERROR(IF(INDEX(Scoring_CVAL!$S$4:$S$17,MATCH(5,Scoring_CVAL!$S$4:$S$17,0))="","",5),"")</f>
        <v/>
      </c>
      <c r="L10" s="12">
        <f>IFERROR(INDEX(Scoring_CVAL!$A$4:$A$17,MATCH(5,Scoring_CVAL!$S$4:$S$17,0)),"")</f>
        <v/>
      </c>
      <c r="M10" s="32">
        <f>IFERROR(INDEX(Scoring_CVAL!$Q$4:$Q$17,MATCH(5,Scoring_CVAL!$S$4:$S$17,0)),"")</f>
        <v/>
      </c>
      <c r="N10" s="12">
        <f>IFERROR(IF(INDEX(Scoring_DR!$S$4:$S$17,MATCH(5,Scoring_DR!$S$4:$S$17,0))="","",5),"")</f>
        <v/>
      </c>
      <c r="O10" s="12">
        <f>IFERROR(INDEX(Scoring_DR!$A$4:$A$17,MATCH(5,Scoring_DR!$S$4:$S$17,0)),"")</f>
        <v/>
      </c>
      <c r="P10" s="32">
        <f>IFERROR(INDEX(Scoring_DR!$Q$4:$Q$17,MATCH(5,Scoring_DR!$S$4:$S$17,0)),"")</f>
        <v/>
      </c>
    </row>
    <row r="11">
      <c r="A11" s="15" t="inlineStr">
        <is>
          <t>DR</t>
        </is>
      </c>
      <c r="B11" s="12">
        <f>Scoring_DR!U2</f>
        <v/>
      </c>
      <c r="C11" s="32">
        <f>Scoring_DR!U3</f>
        <v/>
      </c>
      <c r="E11" s="36" t="inlineStr">
        <is>
          <t>Note: illustrative — sources = regions in DR scope geography.</t>
        </is>
      </c>
      <c r="H11" s="12">
        <f>IFERROR(IF(INDEX(Scoring_Prod!$S$4:$S$17,MATCH(6,Scoring_Prod!$S$4:$S$17,0))="","",6),"")</f>
        <v/>
      </c>
      <c r="I11" s="12">
        <f>IFERROR(INDEX(Scoring_Prod!$A$4:$A$17,MATCH(6,Scoring_Prod!$S$4:$S$17,0)),"")</f>
        <v/>
      </c>
      <c r="J11" s="32">
        <f>IFERROR(INDEX(Scoring_Prod!$Q$4:$Q$17,MATCH(6,Scoring_Prod!$S$4:$S$17,0)),"")</f>
        <v/>
      </c>
      <c r="K11" s="12">
        <f>IFERROR(IF(INDEX(Scoring_CVAL!$S$4:$S$17,MATCH(6,Scoring_CVAL!$S$4:$S$17,0))="","",6),"")</f>
        <v/>
      </c>
      <c r="L11" s="12">
        <f>IFERROR(INDEX(Scoring_CVAL!$A$4:$A$17,MATCH(6,Scoring_CVAL!$S$4:$S$17,0)),"")</f>
        <v/>
      </c>
      <c r="M11" s="32">
        <f>IFERROR(INDEX(Scoring_CVAL!$Q$4:$Q$17,MATCH(6,Scoring_CVAL!$S$4:$S$17,0)),"")</f>
        <v/>
      </c>
      <c r="N11" s="12">
        <f>IFERROR(IF(INDEX(Scoring_DR!$S$4:$S$17,MATCH(6,Scoring_DR!$S$4:$S$17,0))="","",6),"")</f>
        <v/>
      </c>
      <c r="O11" s="12">
        <f>IFERROR(INDEX(Scoring_DR!$A$4:$A$17,MATCH(6,Scoring_DR!$S$4:$S$17,0)),"")</f>
        <v/>
      </c>
      <c r="P11" s="32">
        <f>IFERROR(INDEX(Scoring_DR!$Q$4:$Q$17,MATCH(6,Scoring_DR!$S$4:$S$17,0)),"")</f>
        <v/>
      </c>
    </row>
    <row r="12">
      <c r="H12" s="12">
        <f>IFERROR(IF(INDEX(Scoring_Prod!$S$4:$S$17,MATCH(7,Scoring_Prod!$S$4:$S$17,0))="","",7),"")</f>
        <v/>
      </c>
      <c r="I12" s="12">
        <f>IFERROR(INDEX(Scoring_Prod!$A$4:$A$17,MATCH(7,Scoring_Prod!$S$4:$S$17,0)),"")</f>
        <v/>
      </c>
      <c r="J12" s="32">
        <f>IFERROR(INDEX(Scoring_Prod!$Q$4:$Q$17,MATCH(7,Scoring_Prod!$S$4:$S$17,0)),"")</f>
        <v/>
      </c>
      <c r="K12" s="12">
        <f>IFERROR(IF(INDEX(Scoring_CVAL!$S$4:$S$17,MATCH(7,Scoring_CVAL!$S$4:$S$17,0))="","",7),"")</f>
        <v/>
      </c>
      <c r="L12" s="12">
        <f>IFERROR(INDEX(Scoring_CVAL!$A$4:$A$17,MATCH(7,Scoring_CVAL!$S$4:$S$17,0)),"")</f>
        <v/>
      </c>
      <c r="M12" s="32">
        <f>IFERROR(INDEX(Scoring_CVAL!$Q$4:$Q$17,MATCH(7,Scoring_CVAL!$S$4:$S$17,0)),"")</f>
        <v/>
      </c>
      <c r="N12" s="12">
        <f>IFERROR(IF(INDEX(Scoring_DR!$S$4:$S$17,MATCH(7,Scoring_DR!$S$4:$S$17,0))="","",7),"")</f>
        <v/>
      </c>
      <c r="O12" s="12">
        <f>IFERROR(INDEX(Scoring_DR!$A$4:$A$17,MATCH(7,Scoring_DR!$S$4:$S$17,0)),"")</f>
        <v/>
      </c>
      <c r="P12" s="32">
        <f>IFERROR(INDEX(Scoring_DR!$Q$4:$Q$17,MATCH(7,Scoring_DR!$S$4:$S$17,0)),"")</f>
        <v/>
      </c>
    </row>
    <row r="13">
      <c r="A13" s="15" t="inlineStr">
        <is>
          <t>Readiness State</t>
        </is>
      </c>
      <c r="B13" s="35">
        <f>IF(B9="NONE ELIGIBLE","QUOTA_DEFICIT / NEEDS EXPLICIT REGION (Prod)",IF(B10="NONE ELIGIBLE","CAPACITY_UNAVAILABLE (CVAL)",IF(B11="NONE ELIGIBLE","READY_WITH_RISK (no DR region)","READY")))</f>
        <v/>
      </c>
      <c r="H13" s="12">
        <f>IFERROR(IF(INDEX(Scoring_Prod!$S$4:$S$17,MATCH(8,Scoring_Prod!$S$4:$S$17,0))="","",8),"")</f>
        <v/>
      </c>
      <c r="I13" s="12">
        <f>IFERROR(INDEX(Scoring_Prod!$A$4:$A$17,MATCH(8,Scoring_Prod!$S$4:$S$17,0)),"")</f>
        <v/>
      </c>
      <c r="J13" s="32">
        <f>IFERROR(INDEX(Scoring_Prod!$Q$4:$Q$17,MATCH(8,Scoring_Prod!$S$4:$S$17,0)),"")</f>
        <v/>
      </c>
      <c r="K13" s="12">
        <f>IFERROR(IF(INDEX(Scoring_CVAL!$S$4:$S$17,MATCH(8,Scoring_CVAL!$S$4:$S$17,0))="","",8),"")</f>
        <v/>
      </c>
      <c r="L13" s="12">
        <f>IFERROR(INDEX(Scoring_CVAL!$A$4:$A$17,MATCH(8,Scoring_CVAL!$S$4:$S$17,0)),"")</f>
        <v/>
      </c>
      <c r="M13" s="32">
        <f>IFERROR(INDEX(Scoring_CVAL!$Q$4:$Q$17,MATCH(8,Scoring_CVAL!$S$4:$S$17,0)),"")</f>
        <v/>
      </c>
      <c r="N13" s="12">
        <f>IFERROR(IF(INDEX(Scoring_DR!$S$4:$S$17,MATCH(8,Scoring_DR!$S$4:$S$17,0))="","",8),"")</f>
        <v/>
      </c>
      <c r="O13" s="12">
        <f>IFERROR(INDEX(Scoring_DR!$A$4:$A$17,MATCH(8,Scoring_DR!$S$4:$S$17,0)),"")</f>
        <v/>
      </c>
      <c r="P13" s="32">
        <f>IFERROR(INDEX(Scoring_DR!$Q$4:$Q$17,MATCH(8,Scoring_DR!$S$4:$S$17,0)),"")</f>
        <v/>
      </c>
    </row>
    <row r="14">
      <c r="H14" s="12">
        <f>IFERROR(IF(INDEX(Scoring_Prod!$S$4:$S$17,MATCH(9,Scoring_Prod!$S$4:$S$17,0))="","",9),"")</f>
        <v/>
      </c>
      <c r="I14" s="12">
        <f>IFERROR(INDEX(Scoring_Prod!$A$4:$A$17,MATCH(9,Scoring_Prod!$S$4:$S$17,0)),"")</f>
        <v/>
      </c>
      <c r="J14" s="32">
        <f>IFERROR(INDEX(Scoring_Prod!$Q$4:$Q$17,MATCH(9,Scoring_Prod!$S$4:$S$17,0)),"")</f>
        <v/>
      </c>
      <c r="K14" s="12">
        <f>IFERROR(IF(INDEX(Scoring_CVAL!$S$4:$S$17,MATCH(9,Scoring_CVAL!$S$4:$S$17,0))="","",9),"")</f>
        <v/>
      </c>
      <c r="L14" s="12">
        <f>IFERROR(INDEX(Scoring_CVAL!$A$4:$A$17,MATCH(9,Scoring_CVAL!$S$4:$S$17,0)),"")</f>
        <v/>
      </c>
      <c r="M14" s="32">
        <f>IFERROR(INDEX(Scoring_CVAL!$Q$4:$Q$17,MATCH(9,Scoring_CVAL!$S$4:$S$17,0)),"")</f>
        <v/>
      </c>
      <c r="N14" s="12">
        <f>IFERROR(IF(INDEX(Scoring_DR!$S$4:$S$17,MATCH(9,Scoring_DR!$S$4:$S$17,0))="","",9),"")</f>
        <v/>
      </c>
      <c r="O14" s="12">
        <f>IFERROR(INDEX(Scoring_DR!$A$4:$A$17,MATCH(9,Scoring_DR!$S$4:$S$17,0)),"")</f>
        <v/>
      </c>
      <c r="P14" s="32">
        <f>IFERROR(INDEX(Scoring_DR!$Q$4:$Q$17,MATCH(9,Scoring_DR!$S$4:$S$17,0)),"")</f>
        <v/>
      </c>
    </row>
    <row r="15">
      <c r="A15" s="15" t="inlineStr">
        <is>
          <t>Policy version</t>
        </is>
      </c>
      <c r="B15" s="12">
        <f>"whatif-catalogue-v1  (weights "&amp;TEXT(Policy!B7,"0.00")&amp;" — "&amp;Policy!B8&amp;")"</f>
        <v/>
      </c>
      <c r="H15" s="12">
        <f>IFERROR(IF(INDEX(Scoring_Prod!$S$4:$S$17,MATCH(10,Scoring_Prod!$S$4:$S$17,0))="","",10),"")</f>
        <v/>
      </c>
      <c r="I15" s="12">
        <f>IFERROR(INDEX(Scoring_Prod!$A$4:$A$17,MATCH(10,Scoring_Prod!$S$4:$S$17,0)),"")</f>
        <v/>
      </c>
      <c r="J15" s="32">
        <f>IFERROR(INDEX(Scoring_Prod!$Q$4:$Q$17,MATCH(10,Scoring_Prod!$S$4:$S$17,0)),"")</f>
        <v/>
      </c>
      <c r="K15" s="12">
        <f>IFERROR(IF(INDEX(Scoring_CVAL!$S$4:$S$17,MATCH(10,Scoring_CVAL!$S$4:$S$17,0))="","",10),"")</f>
        <v/>
      </c>
      <c r="L15" s="12">
        <f>IFERROR(INDEX(Scoring_CVAL!$A$4:$A$17,MATCH(10,Scoring_CVAL!$S$4:$S$17,0)),"")</f>
        <v/>
      </c>
      <c r="M15" s="32">
        <f>IFERROR(INDEX(Scoring_CVAL!$Q$4:$Q$17,MATCH(10,Scoring_CVAL!$S$4:$S$17,0)),"")</f>
        <v/>
      </c>
      <c r="N15" s="12">
        <f>IFERROR(IF(INDEX(Scoring_DR!$S$4:$S$17,MATCH(10,Scoring_DR!$S$4:$S$17,0))="","",10),"")</f>
        <v/>
      </c>
      <c r="O15" s="12">
        <f>IFERROR(INDEX(Scoring_DR!$A$4:$A$17,MATCH(10,Scoring_DR!$S$4:$S$17,0)),"")</f>
        <v/>
      </c>
      <c r="P15" s="32">
        <f>IFERROR(INDEX(Scoring_DR!$Q$4:$Q$17,MATCH(10,Scoring_DR!$S$4:$S$17,0)),"")</f>
        <v/>
      </c>
    </row>
    <row r="16">
      <c r="H16" s="12">
        <f>IFERROR(IF(INDEX(Scoring_Prod!$S$4:$S$17,MATCH(11,Scoring_Prod!$S$4:$S$17,0))="","",11),"")</f>
        <v/>
      </c>
      <c r="I16" s="12">
        <f>IFERROR(INDEX(Scoring_Prod!$A$4:$A$17,MATCH(11,Scoring_Prod!$S$4:$S$17,0)),"")</f>
        <v/>
      </c>
      <c r="J16" s="32">
        <f>IFERROR(INDEX(Scoring_Prod!$Q$4:$Q$17,MATCH(11,Scoring_Prod!$S$4:$S$17,0)),"")</f>
        <v/>
      </c>
      <c r="K16" s="12">
        <f>IFERROR(IF(INDEX(Scoring_CVAL!$S$4:$S$17,MATCH(11,Scoring_CVAL!$S$4:$S$17,0))="","",11),"")</f>
        <v/>
      </c>
      <c r="L16" s="12">
        <f>IFERROR(INDEX(Scoring_CVAL!$A$4:$A$17,MATCH(11,Scoring_CVAL!$S$4:$S$17,0)),"")</f>
        <v/>
      </c>
      <c r="M16" s="32">
        <f>IFERROR(INDEX(Scoring_CVAL!$Q$4:$Q$17,MATCH(11,Scoring_CVAL!$S$4:$S$17,0)),"")</f>
        <v/>
      </c>
      <c r="N16" s="12">
        <f>IFERROR(IF(INDEX(Scoring_DR!$S$4:$S$17,MATCH(11,Scoring_DR!$S$4:$S$17,0))="","",11),"")</f>
        <v/>
      </c>
      <c r="O16" s="12">
        <f>IFERROR(INDEX(Scoring_DR!$A$4:$A$17,MATCH(11,Scoring_DR!$S$4:$S$17,0)),"")</f>
        <v/>
      </c>
      <c r="P16" s="32">
        <f>IFERROR(INDEX(Scoring_DR!$Q$4:$Q$17,MATCH(11,Scoring_DR!$S$4:$S$17,0)),"")</f>
        <v/>
      </c>
    </row>
    <row r="17">
      <c r="H17" s="12">
        <f>IFERROR(IF(INDEX(Scoring_Prod!$S$4:$S$17,MATCH(12,Scoring_Prod!$S$4:$S$17,0))="","",12),"")</f>
        <v/>
      </c>
      <c r="I17" s="12">
        <f>IFERROR(INDEX(Scoring_Prod!$A$4:$A$17,MATCH(12,Scoring_Prod!$S$4:$S$17,0)),"")</f>
        <v/>
      </c>
      <c r="J17" s="32">
        <f>IFERROR(INDEX(Scoring_Prod!$Q$4:$Q$17,MATCH(12,Scoring_Prod!$S$4:$S$17,0)),"")</f>
        <v/>
      </c>
      <c r="K17" s="12">
        <f>IFERROR(IF(INDEX(Scoring_CVAL!$S$4:$S$17,MATCH(12,Scoring_CVAL!$S$4:$S$17,0))="","",12),"")</f>
        <v/>
      </c>
      <c r="L17" s="12">
        <f>IFERROR(INDEX(Scoring_CVAL!$A$4:$A$17,MATCH(12,Scoring_CVAL!$S$4:$S$17,0)),"")</f>
        <v/>
      </c>
      <c r="M17" s="32">
        <f>IFERROR(INDEX(Scoring_CVAL!$Q$4:$Q$17,MATCH(12,Scoring_CVAL!$S$4:$S$17,0)),"")</f>
        <v/>
      </c>
      <c r="N17" s="12">
        <f>IFERROR(IF(INDEX(Scoring_DR!$S$4:$S$17,MATCH(12,Scoring_DR!$S$4:$S$17,0))="","",12),"")</f>
        <v/>
      </c>
      <c r="O17" s="12">
        <f>IFERROR(INDEX(Scoring_DR!$A$4:$A$17,MATCH(12,Scoring_DR!$S$4:$S$17,0)),"")</f>
        <v/>
      </c>
      <c r="P17" s="32">
        <f>IFERROR(INDEX(Scoring_DR!$Q$4:$Q$17,MATCH(12,Scoring_DR!$S$4:$S$17,0)),"")</f>
        <v/>
      </c>
    </row>
    <row r="18">
      <c r="H18" s="12">
        <f>IFERROR(IF(INDEX(Scoring_Prod!$S$4:$S$17,MATCH(13,Scoring_Prod!$S$4:$S$17,0))="","",13),"")</f>
        <v/>
      </c>
      <c r="I18" s="12">
        <f>IFERROR(INDEX(Scoring_Prod!$A$4:$A$17,MATCH(13,Scoring_Prod!$S$4:$S$17,0)),"")</f>
        <v/>
      </c>
      <c r="J18" s="32">
        <f>IFERROR(INDEX(Scoring_Prod!$Q$4:$Q$17,MATCH(13,Scoring_Prod!$S$4:$S$17,0)),"")</f>
        <v/>
      </c>
      <c r="K18" s="12">
        <f>IFERROR(IF(INDEX(Scoring_CVAL!$S$4:$S$17,MATCH(13,Scoring_CVAL!$S$4:$S$17,0))="","",13),"")</f>
        <v/>
      </c>
      <c r="L18" s="12">
        <f>IFERROR(INDEX(Scoring_CVAL!$A$4:$A$17,MATCH(13,Scoring_CVAL!$S$4:$S$17,0)),"")</f>
        <v/>
      </c>
      <c r="M18" s="32">
        <f>IFERROR(INDEX(Scoring_CVAL!$Q$4:$Q$17,MATCH(13,Scoring_CVAL!$S$4:$S$17,0)),"")</f>
        <v/>
      </c>
      <c r="N18" s="12">
        <f>IFERROR(IF(INDEX(Scoring_DR!$S$4:$S$17,MATCH(13,Scoring_DR!$S$4:$S$17,0))="","",13),"")</f>
        <v/>
      </c>
      <c r="O18" s="12">
        <f>IFERROR(INDEX(Scoring_DR!$A$4:$A$17,MATCH(13,Scoring_DR!$S$4:$S$17,0)),"")</f>
        <v/>
      </c>
      <c r="P18" s="32">
        <f>IFERROR(INDEX(Scoring_DR!$Q$4:$Q$17,MATCH(13,Scoring_DR!$S$4:$S$17,0)),"")</f>
        <v/>
      </c>
    </row>
    <row r="19">
      <c r="H19" s="12">
        <f>IFERROR(IF(INDEX(Scoring_Prod!$S$4:$S$17,MATCH(14,Scoring_Prod!$S$4:$S$17,0))="","",14),"")</f>
        <v/>
      </c>
      <c r="I19" s="12">
        <f>IFERROR(INDEX(Scoring_Prod!$A$4:$A$17,MATCH(14,Scoring_Prod!$S$4:$S$17,0)),"")</f>
        <v/>
      </c>
      <c r="J19" s="32">
        <f>IFERROR(INDEX(Scoring_Prod!$Q$4:$Q$17,MATCH(14,Scoring_Prod!$S$4:$S$17,0)),"")</f>
        <v/>
      </c>
      <c r="K19" s="12">
        <f>IFERROR(IF(INDEX(Scoring_CVAL!$S$4:$S$17,MATCH(14,Scoring_CVAL!$S$4:$S$17,0))="","",14),"")</f>
        <v/>
      </c>
      <c r="L19" s="12">
        <f>IFERROR(INDEX(Scoring_CVAL!$A$4:$A$17,MATCH(14,Scoring_CVAL!$S$4:$S$17,0)),"")</f>
        <v/>
      </c>
      <c r="M19" s="32">
        <f>IFERROR(INDEX(Scoring_CVAL!$Q$4:$Q$17,MATCH(14,Scoring_CVAL!$S$4:$S$17,0)),"")</f>
        <v/>
      </c>
      <c r="N19" s="12">
        <f>IFERROR(IF(INDEX(Scoring_DR!$S$4:$S$17,MATCH(14,Scoring_DR!$S$4:$S$17,0))="","",14),"")</f>
        <v/>
      </c>
      <c r="O19" s="12">
        <f>IFERROR(INDEX(Scoring_DR!$A$4:$A$17,MATCH(14,Scoring_DR!$S$4:$S$17,0)),"")</f>
        <v/>
      </c>
      <c r="P19" s="32">
        <f>IFERROR(INDEX(Scoring_DR!$Q$4:$Q$17,MATCH(14,Scoring_DR!$S$4:$S$17,0)),"")</f>
        <v/>
      </c>
    </row>
  </sheetData>
  <mergeCells count="6">
    <mergeCell ref="K4:M4"/>
    <mergeCell ref="E11:F11"/>
    <mergeCell ref="H4:J4"/>
    <mergeCell ref="N4:P4"/>
    <mergeCell ref="H3:P3"/>
    <mergeCell ref="E3:F3"/>
  </mergeCells>
  <conditionalFormatting sqref="B13">
    <cfRule type="cellIs" priority="1" operator="equal" dxfId="0">
      <formula>"READY"</formula>
    </cfRule>
    <cfRule type="expression" priority="2" dxfId="1">
      <formula>ISNUMBER(SEARCH("DEFICIT",B13))</formula>
    </cfRule>
    <cfRule type="expression" priority="3" dxfId="1">
      <formula>ISNUMBER(SEARCH("UNAVAILABLE",B13))</formula>
    </cfRule>
    <cfRule type="expression" priority="4" dxfId="3">
      <formula>ISNUMBER(SEARCH("RISK",B13))</formula>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2026-10-07T09:47:28Z</dcterms:created>
  <dcterms:modified xmlns:dcterms="http://purl.org/dc/terms/" xmlns:xsi="http://www.w3.org/2001/XMLSchema-instance" xsi:type="dcterms:W3CDTF">2026-10-07T09:47:28Z</dcterms:modified>
</cp:coreProperties>
</file>